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tables/table4.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Nexthikes Project\"/>
    </mc:Choice>
  </mc:AlternateContent>
  <xr:revisionPtr revIDLastSave="0" documentId="13_ncr:1_{E2E8BB64-827D-465B-9F8C-EE2228EAD088}" xr6:coauthVersionLast="36" xr6:coauthVersionMax="36" xr10:uidLastSave="{00000000-0000-0000-0000-000000000000}"/>
  <bookViews>
    <workbookView xWindow="0" yWindow="0" windowWidth="15200" windowHeight="6320" firstSheet="5" activeTab="6" xr2:uid="{EE6C692E-315F-45E9-B15B-27105460821B}"/>
  </bookViews>
  <sheets>
    <sheet name="Datasheet_1" sheetId="1" r:id="rId1"/>
    <sheet name="Datasheet_2" sheetId="2" r:id="rId2"/>
    <sheet name="Datasheet_3" sheetId="3" r:id="rId3"/>
    <sheet name="Datasheet A (1+2)" sheetId="10" r:id="rId4"/>
    <sheet name="Datasheet B(A+3)" sheetId="13" r:id="rId5"/>
    <sheet name="Original Data" sheetId="14" r:id="rId6"/>
    <sheet name="Statistical &amp; Correlation" sheetId="15" r:id="rId7"/>
    <sheet name="pivot chart" sheetId="16" r:id="rId8"/>
    <sheet name="  Forecast &amp; Anomaly " sheetId="24" r:id="rId9"/>
    <sheet name="Dashboard" sheetId="18" r:id="rId10"/>
  </sheets>
  <externalReferences>
    <externalReference r:id="rId11"/>
  </externalReferences>
  <definedNames>
    <definedName name="_xlnm._FilterDatabase" localSheetId="0" hidden="1">Datasheet_1!$A$1:$J$611</definedName>
    <definedName name="_xlnm._FilterDatabase" localSheetId="1" hidden="1">Datasheet_2!$A$1:$H$1</definedName>
    <definedName name="_xlnm._FilterDatabase" localSheetId="2" hidden="1">Datasheet_3!$A$1:$R$391</definedName>
    <definedName name="_xlchart.v2.0" hidden="1">'pivot chart'!$C$81:$E$81</definedName>
    <definedName name="_xlchart.v2.1" hidden="1">'pivot chart'!$C$82:$E$82</definedName>
    <definedName name="_xlchart.v2.2" hidden="1">'pivot chart'!$C$81:$E$81</definedName>
    <definedName name="_xlchart.v2.3" hidden="1">'pivot chart'!$C$82:$E$82</definedName>
    <definedName name="_xlchart.v2.4" hidden="1">'pivot chart'!$C$81:$E$81</definedName>
    <definedName name="_xlchart.v2.5" hidden="1">'pivot chart'!$C$82:$E$82</definedName>
    <definedName name="_xlcn.WorksheetConnection_Sheet2A17D221" hidden="1">'Statistical &amp; Correlation'!$A$17:$D$22</definedName>
    <definedName name="ExternalData_1" localSheetId="3" hidden="1">'Datasheet A (1+2)'!$A$1:$P$611</definedName>
    <definedName name="ExternalData_1" localSheetId="4" hidden="1">'Datasheet B(A+3)'!$A$1:$P$1001</definedName>
    <definedName name="ExternalData_1" localSheetId="5" hidden="1">'Original Data'!$A$1:$P$1001</definedName>
    <definedName name="Slicer_casual">#N/A</definedName>
    <definedName name="Slicer_casual1">#N/A</definedName>
    <definedName name="Slicer_cnt">#N/A</definedName>
    <definedName name="Slicer_cnt1">#N/A</definedName>
    <definedName name="Slicer_Date">#N/A</definedName>
    <definedName name="Slicer_Date1">#N/A</definedName>
    <definedName name="Slicer_Hours">#N/A</definedName>
    <definedName name="Slicer_Hours1">#N/A</definedName>
    <definedName name="Slicer_registered">#N/A</definedName>
    <definedName name="Slicer_registered1">#N/A</definedName>
    <definedName name="Slicer_Temp">#N/A</definedName>
    <definedName name="Slicer_Temp1">#N/A</definedName>
    <definedName name="Slicer_Weekday">#N/A</definedName>
    <definedName name="Slicer_Weekday1">#N/A</definedName>
    <definedName name="Slicer_Wethers">#N/A</definedName>
    <definedName name="Slicer_Wethers1">#N/A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17:$D$22"/>
        </x15:modelTables>
      </x15:dataModel>
    </ext>
  </extLst>
</workbook>
</file>

<file path=xl/calcChain.xml><?xml version="1.0" encoding="utf-8"?>
<calcChain xmlns="http://schemas.openxmlformats.org/spreadsheetml/2006/main">
  <c r="D50" i="24" l="1"/>
  <c r="D49" i="24"/>
  <c r="D48" i="24"/>
  <c r="D47" i="24"/>
  <c r="D46" i="24"/>
  <c r="D45" i="24"/>
  <c r="D44" i="24"/>
  <c r="D43" i="24"/>
  <c r="C50" i="24"/>
  <c r="C49" i="24"/>
  <c r="C48" i="24"/>
  <c r="C47" i="24"/>
  <c r="C46" i="24"/>
  <c r="C45" i="24"/>
  <c r="C44" i="24"/>
  <c r="C43" i="24"/>
  <c r="B50" i="24"/>
  <c r="B49" i="24"/>
  <c r="B48" i="24"/>
  <c r="B47" i="24"/>
  <c r="B46" i="24"/>
  <c r="B45" i="24"/>
  <c r="B44" i="24"/>
  <c r="B43" i="24"/>
  <c r="B4" i="15" l="1"/>
  <c r="C27" i="24"/>
  <c r="C31" i="24"/>
  <c r="C35" i="24"/>
  <c r="C39" i="24"/>
  <c r="C33" i="24"/>
  <c r="C34" i="24"/>
  <c r="C38" i="24"/>
  <c r="C28" i="24"/>
  <c r="C32" i="24"/>
  <c r="C36" i="24"/>
  <c r="C29" i="24"/>
  <c r="C37" i="24"/>
  <c r="C30" i="24"/>
  <c r="F18" i="15" l="1"/>
  <c r="F19" i="15"/>
  <c r="F20" i="15"/>
  <c r="F21" i="15"/>
  <c r="F22" i="15"/>
  <c r="C65" i="15"/>
  <c r="C64" i="15"/>
  <c r="C63" i="15"/>
  <c r="C62" i="15"/>
  <c r="C61" i="15"/>
  <c r="C60" i="15"/>
  <c r="C59" i="15"/>
  <c r="C58" i="15"/>
  <c r="C57" i="15"/>
  <c r="C56" i="15"/>
  <c r="B57" i="15"/>
  <c r="B56" i="15"/>
  <c r="B65" i="15"/>
  <c r="B64" i="15"/>
  <c r="B63" i="15"/>
  <c r="B62" i="15"/>
  <c r="B61" i="15"/>
  <c r="B60" i="15"/>
  <c r="B59" i="15"/>
  <c r="B58" i="15"/>
  <c r="E51" i="15"/>
  <c r="D51" i="15"/>
  <c r="F28" i="15"/>
  <c r="F29" i="15"/>
  <c r="F30" i="15"/>
  <c r="F31" i="15"/>
  <c r="F32" i="15"/>
  <c r="F33" i="15"/>
  <c r="F34" i="15"/>
  <c r="F35" i="15"/>
  <c r="F36" i="15"/>
  <c r="F37" i="15"/>
  <c r="F38" i="15"/>
  <c r="F39" i="15"/>
  <c r="F40" i="15"/>
  <c r="F41" i="15"/>
  <c r="F42" i="15"/>
  <c r="F43" i="15"/>
  <c r="F44" i="15"/>
  <c r="F45" i="15"/>
  <c r="F46" i="15"/>
  <c r="F47" i="15"/>
  <c r="F48" i="15"/>
  <c r="F49" i="15"/>
  <c r="F50" i="15"/>
  <c r="F27" i="15"/>
  <c r="E45" i="15"/>
  <c r="D45" i="15"/>
  <c r="C45" i="15"/>
  <c r="B45" i="15"/>
  <c r="E46" i="15"/>
  <c r="E47" i="15"/>
  <c r="E48" i="15"/>
  <c r="E49" i="15"/>
  <c r="E50" i="15"/>
  <c r="D46" i="15"/>
  <c r="D47" i="15"/>
  <c r="D48" i="15"/>
  <c r="D49" i="15"/>
  <c r="D50" i="15"/>
  <c r="C46" i="15"/>
  <c r="C47" i="15"/>
  <c r="C48" i="15"/>
  <c r="C49" i="15"/>
  <c r="C50" i="15"/>
  <c r="E44" i="15"/>
  <c r="D44" i="15"/>
  <c r="C44" i="15"/>
  <c r="B44" i="15"/>
  <c r="B46" i="15"/>
  <c r="B47" i="15"/>
  <c r="B48" i="15"/>
  <c r="B49" i="15"/>
  <c r="B50" i="15"/>
  <c r="E28" i="15"/>
  <c r="E29" i="15"/>
  <c r="E30" i="15"/>
  <c r="E31" i="15"/>
  <c r="E32" i="15"/>
  <c r="E33" i="15"/>
  <c r="E34" i="15"/>
  <c r="E35" i="15"/>
  <c r="E36" i="15"/>
  <c r="E37" i="15"/>
  <c r="E38" i="15"/>
  <c r="E39" i="15"/>
  <c r="E40" i="15"/>
  <c r="E41" i="15"/>
  <c r="E42" i="15"/>
  <c r="E43" i="15"/>
  <c r="D28" i="15"/>
  <c r="D29" i="15"/>
  <c r="D30" i="15"/>
  <c r="D31" i="15"/>
  <c r="D32" i="15"/>
  <c r="D33" i="15"/>
  <c r="D34" i="15"/>
  <c r="D35" i="15"/>
  <c r="D36" i="15"/>
  <c r="D37" i="15"/>
  <c r="D38" i="15"/>
  <c r="D39" i="15"/>
  <c r="D40" i="15"/>
  <c r="D41" i="15"/>
  <c r="D42" i="15"/>
  <c r="D43" i="15"/>
  <c r="C28" i="15"/>
  <c r="C29" i="15"/>
  <c r="C30" i="15"/>
  <c r="C31" i="15"/>
  <c r="C32" i="15"/>
  <c r="C33" i="15"/>
  <c r="C34" i="15"/>
  <c r="C35" i="15"/>
  <c r="C36" i="15"/>
  <c r="C37" i="15"/>
  <c r="C38" i="15"/>
  <c r="C39" i="15"/>
  <c r="C40" i="15"/>
  <c r="C41" i="15"/>
  <c r="C42" i="15"/>
  <c r="C43" i="15"/>
  <c r="C27" i="15"/>
  <c r="B28" i="15"/>
  <c r="B29" i="15"/>
  <c r="B30" i="15"/>
  <c r="B31" i="15"/>
  <c r="B32" i="15"/>
  <c r="B33" i="15"/>
  <c r="B34" i="15"/>
  <c r="B35" i="15"/>
  <c r="B36" i="15"/>
  <c r="B37" i="15"/>
  <c r="B38" i="15"/>
  <c r="B39" i="15"/>
  <c r="B40" i="15"/>
  <c r="B41" i="15"/>
  <c r="B42" i="15"/>
  <c r="B43" i="15"/>
  <c r="B27" i="15"/>
  <c r="E27" i="15"/>
  <c r="D27" i="15"/>
  <c r="E21" i="15"/>
  <c r="E20" i="15"/>
  <c r="E19" i="15"/>
  <c r="E18" i="15"/>
  <c r="D21" i="15"/>
  <c r="D20" i="15"/>
  <c r="D19" i="15"/>
  <c r="D18" i="15"/>
  <c r="C21" i="15"/>
  <c r="C20" i="15"/>
  <c r="C19" i="15"/>
  <c r="C18" i="15"/>
  <c r="B21" i="15"/>
  <c r="B20" i="15"/>
  <c r="B19" i="15"/>
  <c r="B18" i="15"/>
  <c r="D12" i="15"/>
  <c r="C12" i="15"/>
  <c r="B12" i="15"/>
  <c r="D11" i="15"/>
  <c r="C11" i="15"/>
  <c r="B11" i="15"/>
  <c r="D9" i="15"/>
  <c r="D10" i="15" s="1"/>
  <c r="C9" i="15"/>
  <c r="C10" i="15" s="1"/>
  <c r="B9" i="15"/>
  <c r="B10" i="15" s="1"/>
  <c r="J4" i="15"/>
  <c r="H4" i="15"/>
  <c r="F4" i="15"/>
  <c r="D4" i="15"/>
  <c r="D30" i="24"/>
  <c r="E29" i="24"/>
  <c r="D32" i="24"/>
  <c r="D38" i="24"/>
  <c r="E33" i="24"/>
  <c r="D35" i="24"/>
  <c r="E27" i="24"/>
  <c r="D28" i="24"/>
  <c r="E39" i="24"/>
  <c r="E31" i="24"/>
  <c r="E36" i="24"/>
  <c r="E34" i="24"/>
  <c r="D31" i="24"/>
  <c r="E30" i="24"/>
  <c r="D29" i="24"/>
  <c r="E32" i="24"/>
  <c r="E38" i="24"/>
  <c r="D33" i="24"/>
  <c r="E35" i="24"/>
  <c r="D27" i="24"/>
  <c r="D36" i="24"/>
  <c r="D34" i="24"/>
  <c r="D37" i="24"/>
  <c r="E28" i="24"/>
  <c r="D39" i="24"/>
  <c r="E37" i="24"/>
  <c r="C51" i="15" l="1"/>
  <c r="B51" i="15"/>
  <c r="B22" i="15"/>
  <c r="C22" i="15"/>
  <c r="B13" i="15"/>
  <c r="D22" i="15"/>
  <c r="E22" i="15"/>
  <c r="X8" i="3"/>
  <c r="X10" i="3" s="1"/>
  <c r="X5" i="3"/>
  <c r="X4" i="3"/>
  <c r="X3" i="3"/>
  <c r="X2" i="3"/>
  <c r="T301" i="3"/>
  <c r="T333" i="3"/>
  <c r="S8" i="3"/>
  <c r="S24" i="3"/>
  <c r="S40" i="3"/>
  <c r="S56" i="3"/>
  <c r="S72" i="3"/>
  <c r="S88" i="3"/>
  <c r="S104" i="3"/>
  <c r="S120" i="3"/>
  <c r="S136" i="3"/>
  <c r="S152" i="3"/>
  <c r="S168" i="3"/>
  <c r="S184" i="3"/>
  <c r="S200" i="3"/>
  <c r="S216" i="3"/>
  <c r="S232" i="3"/>
  <c r="S248" i="3"/>
  <c r="S264" i="3"/>
  <c r="S280" i="3"/>
  <c r="S296" i="3"/>
  <c r="S312" i="3"/>
  <c r="S328" i="3"/>
  <c r="S344" i="3"/>
  <c r="S360" i="3"/>
  <c r="S376" i="3"/>
  <c r="S2" i="3"/>
  <c r="R3" i="3"/>
  <c r="S3" i="3" s="1"/>
  <c r="R4" i="3"/>
  <c r="S4" i="3" s="1"/>
  <c r="R5" i="3"/>
  <c r="R6" i="3"/>
  <c r="R7" i="3"/>
  <c r="S7" i="3" s="1"/>
  <c r="R8" i="3"/>
  <c r="R9" i="3"/>
  <c r="R10" i="3"/>
  <c r="R11" i="3"/>
  <c r="S11" i="3" s="1"/>
  <c r="R12" i="3"/>
  <c r="S12" i="3" s="1"/>
  <c r="R13" i="3"/>
  <c r="R14" i="3"/>
  <c r="R15" i="3"/>
  <c r="S15" i="3" s="1"/>
  <c r="R16" i="3"/>
  <c r="S16" i="3" s="1"/>
  <c r="R17" i="3"/>
  <c r="R18" i="3"/>
  <c r="R19" i="3"/>
  <c r="S19" i="3" s="1"/>
  <c r="R20" i="3"/>
  <c r="S20" i="3" s="1"/>
  <c r="R21" i="3"/>
  <c r="R22" i="3"/>
  <c r="R23" i="3"/>
  <c r="S23" i="3" s="1"/>
  <c r="R24" i="3"/>
  <c r="R25" i="3"/>
  <c r="R26" i="3"/>
  <c r="R27" i="3"/>
  <c r="S27" i="3" s="1"/>
  <c r="R28" i="3"/>
  <c r="S28" i="3" s="1"/>
  <c r="R29" i="3"/>
  <c r="R30" i="3"/>
  <c r="R31" i="3"/>
  <c r="S31" i="3" s="1"/>
  <c r="R32" i="3"/>
  <c r="S32" i="3" s="1"/>
  <c r="R33" i="3"/>
  <c r="R34" i="3"/>
  <c r="R35" i="3"/>
  <c r="S35" i="3" s="1"/>
  <c r="R36" i="3"/>
  <c r="S36" i="3" s="1"/>
  <c r="R37" i="3"/>
  <c r="R38" i="3"/>
  <c r="R39" i="3"/>
  <c r="S39" i="3" s="1"/>
  <c r="R40" i="3"/>
  <c r="R41" i="3"/>
  <c r="R42" i="3"/>
  <c r="R43" i="3"/>
  <c r="S43" i="3" s="1"/>
  <c r="R44" i="3"/>
  <c r="S44" i="3" s="1"/>
  <c r="R45" i="3"/>
  <c r="R46" i="3"/>
  <c r="R47" i="3"/>
  <c r="S47" i="3" s="1"/>
  <c r="R48" i="3"/>
  <c r="S48" i="3" s="1"/>
  <c r="R49" i="3"/>
  <c r="R50" i="3"/>
  <c r="R51" i="3"/>
  <c r="S51" i="3" s="1"/>
  <c r="R52" i="3"/>
  <c r="S52" i="3" s="1"/>
  <c r="R53" i="3"/>
  <c r="R54" i="3"/>
  <c r="R55" i="3"/>
  <c r="S55" i="3" s="1"/>
  <c r="R56" i="3"/>
  <c r="R57" i="3"/>
  <c r="R58" i="3"/>
  <c r="R59" i="3"/>
  <c r="S59" i="3" s="1"/>
  <c r="R60" i="3"/>
  <c r="S60" i="3" s="1"/>
  <c r="R61" i="3"/>
  <c r="R62" i="3"/>
  <c r="R63" i="3"/>
  <c r="S63" i="3" s="1"/>
  <c r="R64" i="3"/>
  <c r="S64" i="3" s="1"/>
  <c r="R65" i="3"/>
  <c r="R66" i="3"/>
  <c r="R67" i="3"/>
  <c r="S67" i="3" s="1"/>
  <c r="R68" i="3"/>
  <c r="S68" i="3" s="1"/>
  <c r="R69" i="3"/>
  <c r="R70" i="3"/>
  <c r="R71" i="3"/>
  <c r="S71" i="3" s="1"/>
  <c r="R72" i="3"/>
  <c r="R73" i="3"/>
  <c r="R74" i="3"/>
  <c r="R75" i="3"/>
  <c r="S75" i="3" s="1"/>
  <c r="R76" i="3"/>
  <c r="S76" i="3" s="1"/>
  <c r="R77" i="3"/>
  <c r="R78" i="3"/>
  <c r="R79" i="3"/>
  <c r="S79" i="3" s="1"/>
  <c r="R80" i="3"/>
  <c r="S80" i="3" s="1"/>
  <c r="R81" i="3"/>
  <c r="R82" i="3"/>
  <c r="R83" i="3"/>
  <c r="S83" i="3" s="1"/>
  <c r="R84" i="3"/>
  <c r="S84" i="3" s="1"/>
  <c r="R85" i="3"/>
  <c r="R86" i="3"/>
  <c r="R87" i="3"/>
  <c r="S87" i="3" s="1"/>
  <c r="R88" i="3"/>
  <c r="R89" i="3"/>
  <c r="R90" i="3"/>
  <c r="R91" i="3"/>
  <c r="S91" i="3" s="1"/>
  <c r="R92" i="3"/>
  <c r="S92" i="3" s="1"/>
  <c r="R93" i="3"/>
  <c r="R94" i="3"/>
  <c r="R95" i="3"/>
  <c r="S95" i="3" s="1"/>
  <c r="R96" i="3"/>
  <c r="S96" i="3" s="1"/>
  <c r="R97" i="3"/>
  <c r="R98" i="3"/>
  <c r="R99" i="3"/>
  <c r="S99" i="3" s="1"/>
  <c r="R100" i="3"/>
  <c r="S100" i="3" s="1"/>
  <c r="R101" i="3"/>
  <c r="R102" i="3"/>
  <c r="R103" i="3"/>
  <c r="S103" i="3" s="1"/>
  <c r="R104" i="3"/>
  <c r="R105" i="3"/>
  <c r="R106" i="3"/>
  <c r="R107" i="3"/>
  <c r="S107" i="3" s="1"/>
  <c r="R108" i="3"/>
  <c r="S108" i="3" s="1"/>
  <c r="R109" i="3"/>
  <c r="R110" i="3"/>
  <c r="R111" i="3"/>
  <c r="S111" i="3" s="1"/>
  <c r="R112" i="3"/>
  <c r="S112" i="3" s="1"/>
  <c r="R113" i="3"/>
  <c r="R114" i="3"/>
  <c r="R115" i="3"/>
  <c r="S115" i="3" s="1"/>
  <c r="R116" i="3"/>
  <c r="S116" i="3" s="1"/>
  <c r="R117" i="3"/>
  <c r="R118" i="3"/>
  <c r="R119" i="3"/>
  <c r="S119" i="3" s="1"/>
  <c r="R120" i="3"/>
  <c r="R121" i="3"/>
  <c r="R122" i="3"/>
  <c r="R123" i="3"/>
  <c r="S123" i="3" s="1"/>
  <c r="R124" i="3"/>
  <c r="S124" i="3" s="1"/>
  <c r="R125" i="3"/>
  <c r="R126" i="3"/>
  <c r="R127" i="3"/>
  <c r="S127" i="3" s="1"/>
  <c r="R128" i="3"/>
  <c r="S128" i="3" s="1"/>
  <c r="R129" i="3"/>
  <c r="R130" i="3"/>
  <c r="R131" i="3"/>
  <c r="S131" i="3" s="1"/>
  <c r="R132" i="3"/>
  <c r="S132" i="3" s="1"/>
  <c r="R133" i="3"/>
  <c r="R134" i="3"/>
  <c r="R135" i="3"/>
  <c r="S135" i="3" s="1"/>
  <c r="R136" i="3"/>
  <c r="R137" i="3"/>
  <c r="R138" i="3"/>
  <c r="R139" i="3"/>
  <c r="S139" i="3" s="1"/>
  <c r="R140" i="3"/>
  <c r="S140" i="3" s="1"/>
  <c r="R141" i="3"/>
  <c r="R142" i="3"/>
  <c r="R143" i="3"/>
  <c r="S143" i="3" s="1"/>
  <c r="R144" i="3"/>
  <c r="S144" i="3" s="1"/>
  <c r="R145" i="3"/>
  <c r="R146" i="3"/>
  <c r="R147" i="3"/>
  <c r="S147" i="3" s="1"/>
  <c r="R148" i="3"/>
  <c r="S148" i="3" s="1"/>
  <c r="R149" i="3"/>
  <c r="R150" i="3"/>
  <c r="R151" i="3"/>
  <c r="S151" i="3" s="1"/>
  <c r="R152" i="3"/>
  <c r="R153" i="3"/>
  <c r="R154" i="3"/>
  <c r="R155" i="3"/>
  <c r="S155" i="3" s="1"/>
  <c r="R156" i="3"/>
  <c r="S156" i="3" s="1"/>
  <c r="R157" i="3"/>
  <c r="R158" i="3"/>
  <c r="R159" i="3"/>
  <c r="S159" i="3" s="1"/>
  <c r="R160" i="3"/>
  <c r="S160" i="3" s="1"/>
  <c r="R161" i="3"/>
  <c r="R162" i="3"/>
  <c r="R163" i="3"/>
  <c r="S163" i="3" s="1"/>
  <c r="R164" i="3"/>
  <c r="S164" i="3" s="1"/>
  <c r="R165" i="3"/>
  <c r="R166" i="3"/>
  <c r="R167" i="3"/>
  <c r="S167" i="3" s="1"/>
  <c r="R168" i="3"/>
  <c r="R169" i="3"/>
  <c r="R170" i="3"/>
  <c r="R171" i="3"/>
  <c r="S171" i="3" s="1"/>
  <c r="R172" i="3"/>
  <c r="S172" i="3" s="1"/>
  <c r="R173" i="3"/>
  <c r="R174" i="3"/>
  <c r="R175" i="3"/>
  <c r="S175" i="3" s="1"/>
  <c r="R176" i="3"/>
  <c r="S176" i="3" s="1"/>
  <c r="R177" i="3"/>
  <c r="R178" i="3"/>
  <c r="R179" i="3"/>
  <c r="S179" i="3" s="1"/>
  <c r="R180" i="3"/>
  <c r="S180" i="3" s="1"/>
  <c r="R181" i="3"/>
  <c r="R182" i="3"/>
  <c r="R183" i="3"/>
  <c r="S183" i="3" s="1"/>
  <c r="R184" i="3"/>
  <c r="R185" i="3"/>
  <c r="R186" i="3"/>
  <c r="R187" i="3"/>
  <c r="S187" i="3" s="1"/>
  <c r="R188" i="3"/>
  <c r="S188" i="3" s="1"/>
  <c r="R189" i="3"/>
  <c r="R190" i="3"/>
  <c r="R191" i="3"/>
  <c r="S191" i="3" s="1"/>
  <c r="R192" i="3"/>
  <c r="S192" i="3" s="1"/>
  <c r="R193" i="3"/>
  <c r="R194" i="3"/>
  <c r="R195" i="3"/>
  <c r="S195" i="3" s="1"/>
  <c r="R196" i="3"/>
  <c r="S196" i="3" s="1"/>
  <c r="R197" i="3"/>
  <c r="R198" i="3"/>
  <c r="R199" i="3"/>
  <c r="S199" i="3" s="1"/>
  <c r="R200" i="3"/>
  <c r="R201" i="3"/>
  <c r="R202" i="3"/>
  <c r="R203" i="3"/>
  <c r="S203" i="3" s="1"/>
  <c r="R204" i="3"/>
  <c r="S204" i="3" s="1"/>
  <c r="R205" i="3"/>
  <c r="R206" i="3"/>
  <c r="R207" i="3"/>
  <c r="S207" i="3" s="1"/>
  <c r="R208" i="3"/>
  <c r="S208" i="3" s="1"/>
  <c r="R209" i="3"/>
  <c r="R210" i="3"/>
  <c r="R211" i="3"/>
  <c r="S211" i="3" s="1"/>
  <c r="R212" i="3"/>
  <c r="S212" i="3" s="1"/>
  <c r="R213" i="3"/>
  <c r="R214" i="3"/>
  <c r="R215" i="3"/>
  <c r="S215" i="3" s="1"/>
  <c r="R216" i="3"/>
  <c r="R217" i="3"/>
  <c r="R218" i="3"/>
  <c r="R219" i="3"/>
  <c r="S219" i="3" s="1"/>
  <c r="R220" i="3"/>
  <c r="S220" i="3" s="1"/>
  <c r="R221" i="3"/>
  <c r="R222" i="3"/>
  <c r="R223" i="3"/>
  <c r="S223" i="3" s="1"/>
  <c r="R224" i="3"/>
  <c r="S224" i="3" s="1"/>
  <c r="R225" i="3"/>
  <c r="R226" i="3"/>
  <c r="R227" i="3"/>
  <c r="S227" i="3" s="1"/>
  <c r="R228" i="3"/>
  <c r="S228" i="3" s="1"/>
  <c r="R229" i="3"/>
  <c r="R230" i="3"/>
  <c r="R231" i="3"/>
  <c r="S231" i="3" s="1"/>
  <c r="R232" i="3"/>
  <c r="R233" i="3"/>
  <c r="R234" i="3"/>
  <c r="R235" i="3"/>
  <c r="S235" i="3" s="1"/>
  <c r="R236" i="3"/>
  <c r="S236" i="3" s="1"/>
  <c r="R237" i="3"/>
  <c r="R238" i="3"/>
  <c r="R239" i="3"/>
  <c r="S239" i="3" s="1"/>
  <c r="R240" i="3"/>
  <c r="S240" i="3" s="1"/>
  <c r="R241" i="3"/>
  <c r="R242" i="3"/>
  <c r="R243" i="3"/>
  <c r="S243" i="3" s="1"/>
  <c r="R244" i="3"/>
  <c r="S244" i="3" s="1"/>
  <c r="R245" i="3"/>
  <c r="R246" i="3"/>
  <c r="R247" i="3"/>
  <c r="S247" i="3" s="1"/>
  <c r="R248" i="3"/>
  <c r="R249" i="3"/>
  <c r="R250" i="3"/>
  <c r="R251" i="3"/>
  <c r="S251" i="3" s="1"/>
  <c r="R252" i="3"/>
  <c r="S252" i="3" s="1"/>
  <c r="R253" i="3"/>
  <c r="R254" i="3"/>
  <c r="R255" i="3"/>
  <c r="S255" i="3" s="1"/>
  <c r="R256" i="3"/>
  <c r="S256" i="3" s="1"/>
  <c r="R257" i="3"/>
  <c r="R258" i="3"/>
  <c r="R259" i="3"/>
  <c r="S259" i="3" s="1"/>
  <c r="R260" i="3"/>
  <c r="S260" i="3" s="1"/>
  <c r="R261" i="3"/>
  <c r="R262" i="3"/>
  <c r="R263" i="3"/>
  <c r="S263" i="3" s="1"/>
  <c r="R264" i="3"/>
  <c r="R265" i="3"/>
  <c r="R266" i="3"/>
  <c r="R267" i="3"/>
  <c r="S267" i="3" s="1"/>
  <c r="R268" i="3"/>
  <c r="S268" i="3" s="1"/>
  <c r="R269" i="3"/>
  <c r="R270" i="3"/>
  <c r="R271" i="3"/>
  <c r="S271" i="3" s="1"/>
  <c r="R272" i="3"/>
  <c r="S272" i="3" s="1"/>
  <c r="R273" i="3"/>
  <c r="R274" i="3"/>
  <c r="R275" i="3"/>
  <c r="S275" i="3" s="1"/>
  <c r="R276" i="3"/>
  <c r="S276" i="3" s="1"/>
  <c r="R277" i="3"/>
  <c r="R278" i="3"/>
  <c r="R279" i="3"/>
  <c r="S279" i="3" s="1"/>
  <c r="R280" i="3"/>
  <c r="R281" i="3"/>
  <c r="R282" i="3"/>
  <c r="R283" i="3"/>
  <c r="S283" i="3" s="1"/>
  <c r="R284" i="3"/>
  <c r="S284" i="3" s="1"/>
  <c r="R285" i="3"/>
  <c r="R286" i="3"/>
  <c r="R287" i="3"/>
  <c r="S287" i="3" s="1"/>
  <c r="R288" i="3"/>
  <c r="S288" i="3" s="1"/>
  <c r="R289" i="3"/>
  <c r="R290" i="3"/>
  <c r="R291" i="3"/>
  <c r="S291" i="3" s="1"/>
  <c r="R292" i="3"/>
  <c r="S292" i="3" s="1"/>
  <c r="R293" i="3"/>
  <c r="R294" i="3"/>
  <c r="R295" i="3"/>
  <c r="S295" i="3" s="1"/>
  <c r="R296" i="3"/>
  <c r="R297" i="3"/>
  <c r="R298" i="3"/>
  <c r="R299" i="3"/>
  <c r="S299" i="3" s="1"/>
  <c r="R300" i="3"/>
  <c r="S300" i="3" s="1"/>
  <c r="R301" i="3"/>
  <c r="U301" i="3" s="1"/>
  <c r="R302" i="3"/>
  <c r="R303" i="3"/>
  <c r="S303" i="3" s="1"/>
  <c r="R304" i="3"/>
  <c r="S304" i="3" s="1"/>
  <c r="R305" i="3"/>
  <c r="U305" i="3" s="1"/>
  <c r="R306" i="3"/>
  <c r="R307" i="3"/>
  <c r="S307" i="3" s="1"/>
  <c r="R308" i="3"/>
  <c r="S308" i="3" s="1"/>
  <c r="R309" i="3"/>
  <c r="U309" i="3" s="1"/>
  <c r="R310" i="3"/>
  <c r="R311" i="3"/>
  <c r="S311" i="3" s="1"/>
  <c r="R312" i="3"/>
  <c r="R313" i="3"/>
  <c r="U313" i="3" s="1"/>
  <c r="R314" i="3"/>
  <c r="R315" i="3"/>
  <c r="S315" i="3" s="1"/>
  <c r="R316" i="3"/>
  <c r="S316" i="3" s="1"/>
  <c r="R317" i="3"/>
  <c r="U317" i="3" s="1"/>
  <c r="R318" i="3"/>
  <c r="R319" i="3"/>
  <c r="S319" i="3" s="1"/>
  <c r="R320" i="3"/>
  <c r="S320" i="3" s="1"/>
  <c r="R321" i="3"/>
  <c r="U321" i="3" s="1"/>
  <c r="R322" i="3"/>
  <c r="R323" i="3"/>
  <c r="S323" i="3" s="1"/>
  <c r="R324" i="3"/>
  <c r="T324" i="3" s="1"/>
  <c r="R325" i="3"/>
  <c r="U325" i="3" s="1"/>
  <c r="R326" i="3"/>
  <c r="R327" i="3"/>
  <c r="S327" i="3" s="1"/>
  <c r="R328" i="3"/>
  <c r="R329" i="3"/>
  <c r="U329" i="3" s="1"/>
  <c r="R330" i="3"/>
  <c r="R331" i="3"/>
  <c r="S331" i="3" s="1"/>
  <c r="R332" i="3"/>
  <c r="S332" i="3" s="1"/>
  <c r="R333" i="3"/>
  <c r="U333" i="3" s="1"/>
  <c r="R334" i="3"/>
  <c r="R335" i="3"/>
  <c r="S335" i="3" s="1"/>
  <c r="R336" i="3"/>
  <c r="S336" i="3" s="1"/>
  <c r="R337" i="3"/>
  <c r="U337" i="3" s="1"/>
  <c r="R338" i="3"/>
  <c r="R339" i="3"/>
  <c r="S339" i="3" s="1"/>
  <c r="R340" i="3"/>
  <c r="S340" i="3" s="1"/>
  <c r="R341" i="3"/>
  <c r="U341" i="3" s="1"/>
  <c r="R342" i="3"/>
  <c r="R343" i="3"/>
  <c r="S343" i="3" s="1"/>
  <c r="R344" i="3"/>
  <c r="T344" i="3" s="1"/>
  <c r="R345" i="3"/>
  <c r="U345" i="3" s="1"/>
  <c r="R346" i="3"/>
  <c r="R347" i="3"/>
  <c r="S347" i="3" s="1"/>
  <c r="R348" i="3"/>
  <c r="S348" i="3" s="1"/>
  <c r="R349" i="3"/>
  <c r="U349" i="3" s="1"/>
  <c r="R350" i="3"/>
  <c r="R351" i="3"/>
  <c r="U351" i="3" s="1"/>
  <c r="R352" i="3"/>
  <c r="S352" i="3" s="1"/>
  <c r="R353" i="3"/>
  <c r="U353" i="3" s="1"/>
  <c r="R354" i="3"/>
  <c r="R355" i="3"/>
  <c r="U355" i="3" s="1"/>
  <c r="R356" i="3"/>
  <c r="U356" i="3" s="1"/>
  <c r="R357" i="3"/>
  <c r="U357" i="3" s="1"/>
  <c r="R358" i="3"/>
  <c r="T358" i="3" s="1"/>
  <c r="R359" i="3"/>
  <c r="U359" i="3" s="1"/>
  <c r="R360" i="3"/>
  <c r="T360" i="3" s="1"/>
  <c r="R361" i="3"/>
  <c r="U361" i="3" s="1"/>
  <c r="R362" i="3"/>
  <c r="R363" i="3"/>
  <c r="U363" i="3" s="1"/>
  <c r="R364" i="3"/>
  <c r="U364" i="3" s="1"/>
  <c r="R365" i="3"/>
  <c r="U365" i="3" s="1"/>
  <c r="R366" i="3"/>
  <c r="R367" i="3"/>
  <c r="U367" i="3" s="1"/>
  <c r="R368" i="3"/>
  <c r="U368" i="3" s="1"/>
  <c r="R369" i="3"/>
  <c r="U369" i="3" s="1"/>
  <c r="R370" i="3"/>
  <c r="T370" i="3" s="1"/>
  <c r="R371" i="3"/>
  <c r="U371" i="3" s="1"/>
  <c r="R372" i="3"/>
  <c r="U372" i="3" s="1"/>
  <c r="R373" i="3"/>
  <c r="U373" i="3" s="1"/>
  <c r="R374" i="3"/>
  <c r="T374" i="3" s="1"/>
  <c r="R375" i="3"/>
  <c r="U375" i="3" s="1"/>
  <c r="R376" i="3"/>
  <c r="T376" i="3" s="1"/>
  <c r="R377" i="3"/>
  <c r="U377" i="3" s="1"/>
  <c r="R378" i="3"/>
  <c r="R379" i="3"/>
  <c r="U379" i="3" s="1"/>
  <c r="R380" i="3"/>
  <c r="U380" i="3" s="1"/>
  <c r="R381" i="3"/>
  <c r="U381" i="3" s="1"/>
  <c r="R382" i="3"/>
  <c r="T382" i="3" s="1"/>
  <c r="R383" i="3"/>
  <c r="R384" i="3"/>
  <c r="U384" i="3" s="1"/>
  <c r="R385" i="3"/>
  <c r="U385" i="3" s="1"/>
  <c r="R386" i="3"/>
  <c r="T386" i="3" s="1"/>
  <c r="R387" i="3"/>
  <c r="R388" i="3"/>
  <c r="U388" i="3" s="1"/>
  <c r="R389" i="3"/>
  <c r="U389" i="3" s="1"/>
  <c r="R390" i="3"/>
  <c r="R391" i="3"/>
  <c r="R2" i="3"/>
  <c r="U2" i="3" s="1"/>
  <c r="S388" i="3" l="1"/>
  <c r="S372" i="3"/>
  <c r="S356" i="3"/>
  <c r="S324" i="3"/>
  <c r="T325" i="3"/>
  <c r="U376" i="3"/>
  <c r="S384" i="3"/>
  <c r="S368" i="3"/>
  <c r="T349" i="3"/>
  <c r="T317" i="3"/>
  <c r="S380" i="3"/>
  <c r="S364" i="3"/>
  <c r="T341" i="3"/>
  <c r="T309" i="3"/>
  <c r="X11" i="3"/>
  <c r="U390" i="3"/>
  <c r="S390" i="3"/>
  <c r="U378" i="3"/>
  <c r="S378" i="3"/>
  <c r="U366" i="3"/>
  <c r="S366" i="3"/>
  <c r="U354" i="3"/>
  <c r="S354" i="3"/>
  <c r="U350" i="3"/>
  <c r="T350" i="3"/>
  <c r="S350" i="3"/>
  <c r="U338" i="3"/>
  <c r="S338" i="3"/>
  <c r="T338" i="3"/>
  <c r="U326" i="3"/>
  <c r="T326" i="3"/>
  <c r="S326" i="3"/>
  <c r="U322" i="3"/>
  <c r="S322" i="3"/>
  <c r="T322" i="3"/>
  <c r="U310" i="3"/>
  <c r="T310" i="3"/>
  <c r="S310" i="3"/>
  <c r="U298" i="3"/>
  <c r="S298" i="3"/>
  <c r="T298" i="3"/>
  <c r="U294" i="3"/>
  <c r="T294" i="3"/>
  <c r="S294" i="3"/>
  <c r="U282" i="3"/>
  <c r="S282" i="3"/>
  <c r="T282" i="3"/>
  <c r="S270" i="3"/>
  <c r="U270" i="3"/>
  <c r="T270" i="3"/>
  <c r="U266" i="3"/>
  <c r="S266" i="3"/>
  <c r="T266" i="3"/>
  <c r="U254" i="3"/>
  <c r="S254" i="3"/>
  <c r="T254" i="3"/>
  <c r="U242" i="3"/>
  <c r="T242" i="3"/>
  <c r="S242" i="3"/>
  <c r="U238" i="3"/>
  <c r="S238" i="3"/>
  <c r="T238" i="3"/>
  <c r="U226" i="3"/>
  <c r="T226" i="3"/>
  <c r="S226" i="3"/>
  <c r="U214" i="3"/>
  <c r="T214" i="3"/>
  <c r="S214" i="3"/>
  <c r="U202" i="3"/>
  <c r="S202" i="3"/>
  <c r="T202" i="3"/>
  <c r="U198" i="3"/>
  <c r="T198" i="3"/>
  <c r="S198" i="3"/>
  <c r="U186" i="3"/>
  <c r="S186" i="3"/>
  <c r="T186" i="3"/>
  <c r="S174" i="3"/>
  <c r="U174" i="3"/>
  <c r="T174" i="3"/>
  <c r="U170" i="3"/>
  <c r="S170" i="3"/>
  <c r="T170" i="3"/>
  <c r="U158" i="3"/>
  <c r="S158" i="3"/>
  <c r="T158" i="3"/>
  <c r="U146" i="3"/>
  <c r="T146" i="3"/>
  <c r="S146" i="3"/>
  <c r="U134" i="3"/>
  <c r="T134" i="3"/>
  <c r="S134" i="3"/>
  <c r="T390" i="3"/>
  <c r="U391" i="3"/>
  <c r="T391" i="3"/>
  <c r="S391" i="3"/>
  <c r="U387" i="3"/>
  <c r="T387" i="3"/>
  <c r="S387" i="3"/>
  <c r="U383" i="3"/>
  <c r="T383" i="3"/>
  <c r="S383" i="3"/>
  <c r="T354" i="3"/>
  <c r="U386" i="3"/>
  <c r="S386" i="3"/>
  <c r="U370" i="3"/>
  <c r="S370" i="3"/>
  <c r="U362" i="3"/>
  <c r="S362" i="3"/>
  <c r="U342" i="3"/>
  <c r="T342" i="3"/>
  <c r="S342" i="3"/>
  <c r="U330" i="3"/>
  <c r="S330" i="3"/>
  <c r="T330" i="3"/>
  <c r="U318" i="3"/>
  <c r="T318" i="3"/>
  <c r="S318" i="3"/>
  <c r="U306" i="3"/>
  <c r="S306" i="3"/>
  <c r="T306" i="3"/>
  <c r="U290" i="3"/>
  <c r="T290" i="3"/>
  <c r="S290" i="3"/>
  <c r="U274" i="3"/>
  <c r="T274" i="3"/>
  <c r="S274" i="3"/>
  <c r="U258" i="3"/>
  <c r="T258" i="3"/>
  <c r="S258" i="3"/>
  <c r="U246" i="3"/>
  <c r="T246" i="3"/>
  <c r="S246" i="3"/>
  <c r="U234" i="3"/>
  <c r="S234" i="3"/>
  <c r="T234" i="3"/>
  <c r="U222" i="3"/>
  <c r="S222" i="3"/>
  <c r="T222" i="3"/>
  <c r="U210" i="3"/>
  <c r="T210" i="3"/>
  <c r="S210" i="3"/>
  <c r="U190" i="3"/>
  <c r="S190" i="3"/>
  <c r="T190" i="3"/>
  <c r="U182" i="3"/>
  <c r="T182" i="3"/>
  <c r="S182" i="3"/>
  <c r="U166" i="3"/>
  <c r="T166" i="3"/>
  <c r="S166" i="3"/>
  <c r="U154" i="3"/>
  <c r="S154" i="3"/>
  <c r="T154" i="3"/>
  <c r="S142" i="3"/>
  <c r="U142" i="3"/>
  <c r="T142" i="3"/>
  <c r="U130" i="3"/>
  <c r="T130" i="3"/>
  <c r="S130" i="3"/>
  <c r="U122" i="3"/>
  <c r="S122" i="3"/>
  <c r="T122" i="3"/>
  <c r="T110" i="3"/>
  <c r="U110" i="3"/>
  <c r="S110" i="3"/>
  <c r="U106" i="3"/>
  <c r="S106" i="3"/>
  <c r="T106" i="3"/>
  <c r="U94" i="3"/>
  <c r="T94" i="3"/>
  <c r="S94" i="3"/>
  <c r="U90" i="3"/>
  <c r="T90" i="3"/>
  <c r="S90" i="3"/>
  <c r="T78" i="3"/>
  <c r="U78" i="3"/>
  <c r="S78" i="3"/>
  <c r="T70" i="3"/>
  <c r="U70" i="3"/>
  <c r="S70" i="3"/>
  <c r="U62" i="3"/>
  <c r="T62" i="3"/>
  <c r="S62" i="3"/>
  <c r="U54" i="3"/>
  <c r="T54" i="3"/>
  <c r="S54" i="3"/>
  <c r="T46" i="3"/>
  <c r="S46" i="3"/>
  <c r="U46" i="3"/>
  <c r="T38" i="3"/>
  <c r="U38" i="3"/>
  <c r="S38" i="3"/>
  <c r="U30" i="3"/>
  <c r="T30" i="3"/>
  <c r="S30" i="3"/>
  <c r="U22" i="3"/>
  <c r="T22" i="3"/>
  <c r="S22" i="3"/>
  <c r="U18" i="3"/>
  <c r="T18" i="3"/>
  <c r="S18" i="3"/>
  <c r="U10" i="3"/>
  <c r="T10" i="3"/>
  <c r="S10" i="3"/>
  <c r="T6" i="3"/>
  <c r="U6" i="3"/>
  <c r="S6" i="3"/>
  <c r="T366" i="3"/>
  <c r="U382" i="3"/>
  <c r="S382" i="3"/>
  <c r="U374" i="3"/>
  <c r="S374" i="3"/>
  <c r="U358" i="3"/>
  <c r="S358" i="3"/>
  <c r="U346" i="3"/>
  <c r="S346" i="3"/>
  <c r="T346" i="3"/>
  <c r="U334" i="3"/>
  <c r="T334" i="3"/>
  <c r="S334" i="3"/>
  <c r="U314" i="3"/>
  <c r="S314" i="3"/>
  <c r="T314" i="3"/>
  <c r="T302" i="3"/>
  <c r="S302" i="3"/>
  <c r="U302" i="3"/>
  <c r="U286" i="3"/>
  <c r="S286" i="3"/>
  <c r="T286" i="3"/>
  <c r="U278" i="3"/>
  <c r="T278" i="3"/>
  <c r="S278" i="3"/>
  <c r="U262" i="3"/>
  <c r="T262" i="3"/>
  <c r="S262" i="3"/>
  <c r="U250" i="3"/>
  <c r="S250" i="3"/>
  <c r="T250" i="3"/>
  <c r="U230" i="3"/>
  <c r="T230" i="3"/>
  <c r="S230" i="3"/>
  <c r="U218" i="3"/>
  <c r="S218" i="3"/>
  <c r="T218" i="3"/>
  <c r="U206" i="3"/>
  <c r="S206" i="3"/>
  <c r="T206" i="3"/>
  <c r="U194" i="3"/>
  <c r="T194" i="3"/>
  <c r="S194" i="3"/>
  <c r="U178" i="3"/>
  <c r="T178" i="3"/>
  <c r="S178" i="3"/>
  <c r="U162" i="3"/>
  <c r="T162" i="3"/>
  <c r="S162" i="3"/>
  <c r="U150" i="3"/>
  <c r="T150" i="3"/>
  <c r="S150" i="3"/>
  <c r="U138" i="3"/>
  <c r="S138" i="3"/>
  <c r="T138" i="3"/>
  <c r="U126" i="3"/>
  <c r="S126" i="3"/>
  <c r="T126" i="3"/>
  <c r="U118" i="3"/>
  <c r="T118" i="3"/>
  <c r="S118" i="3"/>
  <c r="U114" i="3"/>
  <c r="T114" i="3"/>
  <c r="S114" i="3"/>
  <c r="T102" i="3"/>
  <c r="U102" i="3"/>
  <c r="S102" i="3"/>
  <c r="U98" i="3"/>
  <c r="S98" i="3"/>
  <c r="T98" i="3"/>
  <c r="U86" i="3"/>
  <c r="T86" i="3"/>
  <c r="S86" i="3"/>
  <c r="U82" i="3"/>
  <c r="T82" i="3"/>
  <c r="S82" i="3"/>
  <c r="U74" i="3"/>
  <c r="S74" i="3"/>
  <c r="T74" i="3"/>
  <c r="U66" i="3"/>
  <c r="S66" i="3"/>
  <c r="T66" i="3"/>
  <c r="U58" i="3"/>
  <c r="T58" i="3"/>
  <c r="S58" i="3"/>
  <c r="U50" i="3"/>
  <c r="T50" i="3"/>
  <c r="S50" i="3"/>
  <c r="U42" i="3"/>
  <c r="S42" i="3"/>
  <c r="T42" i="3"/>
  <c r="U34" i="3"/>
  <c r="S34" i="3"/>
  <c r="T34" i="3"/>
  <c r="U26" i="3"/>
  <c r="T26" i="3"/>
  <c r="S26" i="3"/>
  <c r="T14" i="3"/>
  <c r="S14" i="3"/>
  <c r="U14" i="3"/>
  <c r="T378" i="3"/>
  <c r="T362" i="3"/>
  <c r="U297" i="3"/>
  <c r="T297" i="3"/>
  <c r="U293" i="3"/>
  <c r="T293" i="3"/>
  <c r="U289" i="3"/>
  <c r="T289" i="3"/>
  <c r="U285" i="3"/>
  <c r="T285" i="3"/>
  <c r="U281" i="3"/>
  <c r="T281" i="3"/>
  <c r="U277" i="3"/>
  <c r="T277" i="3"/>
  <c r="U273" i="3"/>
  <c r="T273" i="3"/>
  <c r="U269" i="3"/>
  <c r="T269" i="3"/>
  <c r="U265" i="3"/>
  <c r="T265" i="3"/>
  <c r="U261" i="3"/>
  <c r="T261" i="3"/>
  <c r="U257" i="3"/>
  <c r="T257" i="3"/>
  <c r="U253" i="3"/>
  <c r="T253" i="3"/>
  <c r="U249" i="3"/>
  <c r="T249" i="3"/>
  <c r="U245" i="3"/>
  <c r="T245" i="3"/>
  <c r="U241" i="3"/>
  <c r="T241" i="3"/>
  <c r="U237" i="3"/>
  <c r="T237" i="3"/>
  <c r="U233" i="3"/>
  <c r="T233" i="3"/>
  <c r="U229" i="3"/>
  <c r="T229" i="3"/>
  <c r="U225" i="3"/>
  <c r="T225" i="3"/>
  <c r="U221" i="3"/>
  <c r="T221" i="3"/>
  <c r="U217" i="3"/>
  <c r="T217" i="3"/>
  <c r="U213" i="3"/>
  <c r="T213" i="3"/>
  <c r="U209" i="3"/>
  <c r="T209" i="3"/>
  <c r="U205" i="3"/>
  <c r="T205" i="3"/>
  <c r="U201" i="3"/>
  <c r="T201" i="3"/>
  <c r="U197" i="3"/>
  <c r="T197" i="3"/>
  <c r="U193" i="3"/>
  <c r="T193" i="3"/>
  <c r="U189" i="3"/>
  <c r="T189" i="3"/>
  <c r="U185" i="3"/>
  <c r="T185" i="3"/>
  <c r="U181" i="3"/>
  <c r="T181" i="3"/>
  <c r="U177" i="3"/>
  <c r="T177" i="3"/>
  <c r="U173" i="3"/>
  <c r="T173" i="3"/>
  <c r="U169" i="3"/>
  <c r="T169" i="3"/>
  <c r="U165" i="3"/>
  <c r="T165" i="3"/>
  <c r="U161" i="3"/>
  <c r="T161" i="3"/>
  <c r="U157" i="3"/>
  <c r="T157" i="3"/>
  <c r="U153" i="3"/>
  <c r="T153" i="3"/>
  <c r="U149" i="3"/>
  <c r="T149" i="3"/>
  <c r="U145" i="3"/>
  <c r="T145" i="3"/>
  <c r="U141" i="3"/>
  <c r="T141" i="3"/>
  <c r="U137" i="3"/>
  <c r="T137" i="3"/>
  <c r="U133" i="3"/>
  <c r="T133" i="3"/>
  <c r="U129" i="3"/>
  <c r="T129" i="3"/>
  <c r="U125" i="3"/>
  <c r="T125" i="3"/>
  <c r="U121" i="3"/>
  <c r="T121" i="3"/>
  <c r="U117" i="3"/>
  <c r="T117" i="3"/>
  <c r="U113" i="3"/>
  <c r="T113" i="3"/>
  <c r="U109" i="3"/>
  <c r="T109" i="3"/>
  <c r="U105" i="3"/>
  <c r="T105" i="3"/>
  <c r="U101" i="3"/>
  <c r="T101" i="3"/>
  <c r="U97" i="3"/>
  <c r="T97" i="3"/>
  <c r="U93" i="3"/>
  <c r="T93" i="3"/>
  <c r="U89" i="3"/>
  <c r="T89" i="3"/>
  <c r="U85" i="3"/>
  <c r="T85" i="3"/>
  <c r="U81" i="3"/>
  <c r="T81" i="3"/>
  <c r="U77" i="3"/>
  <c r="T77" i="3"/>
  <c r="U73" i="3"/>
  <c r="T73" i="3"/>
  <c r="U69" i="3"/>
  <c r="T69" i="3"/>
  <c r="U65" i="3"/>
  <c r="T65" i="3"/>
  <c r="U61" i="3"/>
  <c r="T61" i="3"/>
  <c r="U57" i="3"/>
  <c r="T57" i="3"/>
  <c r="U53" i="3"/>
  <c r="T53" i="3"/>
  <c r="U49" i="3"/>
  <c r="T49" i="3"/>
  <c r="U45" i="3"/>
  <c r="T45" i="3"/>
  <c r="U41" i="3"/>
  <c r="T41" i="3"/>
  <c r="U37" i="3"/>
  <c r="T37" i="3"/>
  <c r="U33" i="3"/>
  <c r="T33" i="3"/>
  <c r="U29" i="3"/>
  <c r="T29" i="3"/>
  <c r="U25" i="3"/>
  <c r="T25" i="3"/>
  <c r="U21" i="3"/>
  <c r="T21" i="3"/>
  <c r="U17" i="3"/>
  <c r="T17" i="3"/>
  <c r="U13" i="3"/>
  <c r="T13" i="3"/>
  <c r="U9" i="3"/>
  <c r="T9" i="3"/>
  <c r="U5" i="3"/>
  <c r="T5" i="3"/>
  <c r="S379" i="3"/>
  <c r="S375" i="3"/>
  <c r="S371" i="3"/>
  <c r="S367" i="3"/>
  <c r="S363" i="3"/>
  <c r="S359" i="3"/>
  <c r="S355" i="3"/>
  <c r="S351" i="3"/>
  <c r="T389" i="3"/>
  <c r="T385" i="3"/>
  <c r="T381" i="3"/>
  <c r="T377" i="3"/>
  <c r="T373" i="3"/>
  <c r="T369" i="3"/>
  <c r="T365" i="3"/>
  <c r="T361" i="3"/>
  <c r="T357" i="3"/>
  <c r="T353" i="3"/>
  <c r="U360" i="3"/>
  <c r="U352" i="3"/>
  <c r="T352" i="3"/>
  <c r="U348" i="3"/>
  <c r="T348" i="3"/>
  <c r="T340" i="3"/>
  <c r="U340" i="3"/>
  <c r="U336" i="3"/>
  <c r="T336" i="3"/>
  <c r="U332" i="3"/>
  <c r="T332" i="3"/>
  <c r="U328" i="3"/>
  <c r="T328" i="3"/>
  <c r="U320" i="3"/>
  <c r="T320" i="3"/>
  <c r="U316" i="3"/>
  <c r="T316" i="3"/>
  <c r="U312" i="3"/>
  <c r="T312" i="3"/>
  <c r="U308" i="3"/>
  <c r="T308" i="3"/>
  <c r="U304" i="3"/>
  <c r="T304" i="3"/>
  <c r="U300" i="3"/>
  <c r="T300" i="3"/>
  <c r="U296" i="3"/>
  <c r="T296" i="3"/>
  <c r="U292" i="3"/>
  <c r="T292" i="3"/>
  <c r="U288" i="3"/>
  <c r="T288" i="3"/>
  <c r="U284" i="3"/>
  <c r="T284" i="3"/>
  <c r="U280" i="3"/>
  <c r="T280" i="3"/>
  <c r="U276" i="3"/>
  <c r="T276" i="3"/>
  <c r="U272" i="3"/>
  <c r="T272" i="3"/>
  <c r="U268" i="3"/>
  <c r="T268" i="3"/>
  <c r="U264" i="3"/>
  <c r="T264" i="3"/>
  <c r="U260" i="3"/>
  <c r="T260" i="3"/>
  <c r="U256" i="3"/>
  <c r="T256" i="3"/>
  <c r="U252" i="3"/>
  <c r="T252" i="3"/>
  <c r="U248" i="3"/>
  <c r="T248" i="3"/>
  <c r="U244" i="3"/>
  <c r="T244" i="3"/>
  <c r="U240" i="3"/>
  <c r="T240" i="3"/>
  <c r="U236" i="3"/>
  <c r="T236" i="3"/>
  <c r="U232" i="3"/>
  <c r="T232" i="3"/>
  <c r="U228" i="3"/>
  <c r="T228" i="3"/>
  <c r="U224" i="3"/>
  <c r="T224" i="3"/>
  <c r="U220" i="3"/>
  <c r="T220" i="3"/>
  <c r="U216" i="3"/>
  <c r="T216" i="3"/>
  <c r="U212" i="3"/>
  <c r="T212" i="3"/>
  <c r="U208" i="3"/>
  <c r="T208" i="3"/>
  <c r="U204" i="3"/>
  <c r="T204" i="3"/>
  <c r="U200" i="3"/>
  <c r="T200" i="3"/>
  <c r="U196" i="3"/>
  <c r="T196" i="3"/>
  <c r="U192" i="3"/>
  <c r="T192" i="3"/>
  <c r="U188" i="3"/>
  <c r="T188" i="3"/>
  <c r="U184" i="3"/>
  <c r="T184" i="3"/>
  <c r="U180" i="3"/>
  <c r="T180" i="3"/>
  <c r="U176" i="3"/>
  <c r="T176" i="3"/>
  <c r="U172" i="3"/>
  <c r="T172" i="3"/>
  <c r="U168" i="3"/>
  <c r="T168" i="3"/>
  <c r="U164" i="3"/>
  <c r="T164" i="3"/>
  <c r="U160" i="3"/>
  <c r="T160" i="3"/>
  <c r="U156" i="3"/>
  <c r="T156" i="3"/>
  <c r="U152" i="3"/>
  <c r="T152" i="3"/>
  <c r="U148" i="3"/>
  <c r="T148" i="3"/>
  <c r="U144" i="3"/>
  <c r="T144" i="3"/>
  <c r="U140" i="3"/>
  <c r="T140" i="3"/>
  <c r="U136" i="3"/>
  <c r="T136" i="3"/>
  <c r="U132" i="3"/>
  <c r="T132" i="3"/>
  <c r="U128" i="3"/>
  <c r="T128" i="3"/>
  <c r="U124" i="3"/>
  <c r="T124" i="3"/>
  <c r="U120" i="3"/>
  <c r="T120" i="3"/>
  <c r="U116" i="3"/>
  <c r="T116" i="3"/>
  <c r="U112" i="3"/>
  <c r="T112" i="3"/>
  <c r="U108" i="3"/>
  <c r="T108" i="3"/>
  <c r="U104" i="3"/>
  <c r="T104" i="3"/>
  <c r="U100" i="3"/>
  <c r="T100" i="3"/>
  <c r="U96" i="3"/>
  <c r="T96" i="3"/>
  <c r="U92" i="3"/>
  <c r="T92" i="3"/>
  <c r="U88" i="3"/>
  <c r="T88" i="3"/>
  <c r="U84" i="3"/>
  <c r="T84" i="3"/>
  <c r="U80" i="3"/>
  <c r="T80" i="3"/>
  <c r="U76" i="3"/>
  <c r="T76" i="3"/>
  <c r="U72" i="3"/>
  <c r="T72" i="3"/>
  <c r="U68" i="3"/>
  <c r="T68" i="3"/>
  <c r="U64" i="3"/>
  <c r="T64" i="3"/>
  <c r="U60" i="3"/>
  <c r="T60" i="3"/>
  <c r="U56" i="3"/>
  <c r="T56" i="3"/>
  <c r="U52" i="3"/>
  <c r="T52" i="3"/>
  <c r="U48" i="3"/>
  <c r="T48" i="3"/>
  <c r="U44" i="3"/>
  <c r="T44" i="3"/>
  <c r="U40" i="3"/>
  <c r="T40" i="3"/>
  <c r="U36" i="3"/>
  <c r="T36" i="3"/>
  <c r="U32" i="3"/>
  <c r="T32" i="3"/>
  <c r="U28" i="3"/>
  <c r="T28" i="3"/>
  <c r="U24" i="3"/>
  <c r="T24" i="3"/>
  <c r="U20" i="3"/>
  <c r="T20" i="3"/>
  <c r="U16" i="3"/>
  <c r="T16" i="3"/>
  <c r="U12" i="3"/>
  <c r="T12" i="3"/>
  <c r="U8" i="3"/>
  <c r="T8" i="3"/>
  <c r="U4" i="3"/>
  <c r="T4" i="3"/>
  <c r="T2" i="3"/>
  <c r="T388" i="3"/>
  <c r="T384" i="3"/>
  <c r="T380" i="3"/>
  <c r="T372" i="3"/>
  <c r="T368" i="3"/>
  <c r="T364" i="3"/>
  <c r="T356" i="3"/>
  <c r="T351" i="3"/>
  <c r="T345" i="3"/>
  <c r="T337" i="3"/>
  <c r="T329" i="3"/>
  <c r="T321" i="3"/>
  <c r="T313" i="3"/>
  <c r="T305" i="3"/>
  <c r="U344" i="3"/>
  <c r="U347" i="3"/>
  <c r="T347" i="3"/>
  <c r="U343" i="3"/>
  <c r="T343" i="3"/>
  <c r="U339" i="3"/>
  <c r="T339" i="3"/>
  <c r="T335" i="3"/>
  <c r="U335" i="3"/>
  <c r="U331" i="3"/>
  <c r="T331" i="3"/>
  <c r="U327" i="3"/>
  <c r="T327" i="3"/>
  <c r="U323" i="3"/>
  <c r="T323" i="3"/>
  <c r="T319" i="3"/>
  <c r="U319" i="3"/>
  <c r="U315" i="3"/>
  <c r="T315" i="3"/>
  <c r="U311" i="3"/>
  <c r="T311" i="3"/>
  <c r="U307" i="3"/>
  <c r="T307" i="3"/>
  <c r="U303" i="3"/>
  <c r="T303" i="3"/>
  <c r="U299" i="3"/>
  <c r="T299" i="3"/>
  <c r="U295" i="3"/>
  <c r="T295" i="3"/>
  <c r="U291" i="3"/>
  <c r="T291" i="3"/>
  <c r="U287" i="3"/>
  <c r="T287" i="3"/>
  <c r="U283" i="3"/>
  <c r="T283" i="3"/>
  <c r="U279" i="3"/>
  <c r="T279" i="3"/>
  <c r="U275" i="3"/>
  <c r="T275" i="3"/>
  <c r="U271" i="3"/>
  <c r="T271" i="3"/>
  <c r="U267" i="3"/>
  <c r="T267" i="3"/>
  <c r="U263" i="3"/>
  <c r="T263" i="3"/>
  <c r="U259" i="3"/>
  <c r="T259" i="3"/>
  <c r="U255" i="3"/>
  <c r="T255" i="3"/>
  <c r="U251" i="3"/>
  <c r="T251" i="3"/>
  <c r="U247" i="3"/>
  <c r="T247" i="3"/>
  <c r="U243" i="3"/>
  <c r="T243" i="3"/>
  <c r="U239" i="3"/>
  <c r="T239" i="3"/>
  <c r="U235" i="3"/>
  <c r="T235" i="3"/>
  <c r="U231" i="3"/>
  <c r="T231" i="3"/>
  <c r="U227" i="3"/>
  <c r="T227" i="3"/>
  <c r="U223" i="3"/>
  <c r="T223" i="3"/>
  <c r="U219" i="3"/>
  <c r="T219" i="3"/>
  <c r="U215" i="3"/>
  <c r="T215" i="3"/>
  <c r="U211" i="3"/>
  <c r="T211" i="3"/>
  <c r="U207" i="3"/>
  <c r="T207" i="3"/>
  <c r="U203" i="3"/>
  <c r="T203" i="3"/>
  <c r="U199" i="3"/>
  <c r="T199" i="3"/>
  <c r="U195" i="3"/>
  <c r="T195" i="3"/>
  <c r="U191" i="3"/>
  <c r="T191" i="3"/>
  <c r="U187" i="3"/>
  <c r="T187" i="3"/>
  <c r="U183" i="3"/>
  <c r="T183" i="3"/>
  <c r="U179" i="3"/>
  <c r="T179" i="3"/>
  <c r="U175" i="3"/>
  <c r="T175" i="3"/>
  <c r="U171" i="3"/>
  <c r="T171" i="3"/>
  <c r="U167" i="3"/>
  <c r="T167" i="3"/>
  <c r="U163" i="3"/>
  <c r="T163" i="3"/>
  <c r="U159" i="3"/>
  <c r="T159" i="3"/>
  <c r="U155" i="3"/>
  <c r="T155" i="3"/>
  <c r="U151" i="3"/>
  <c r="T151" i="3"/>
  <c r="U147" i="3"/>
  <c r="T147" i="3"/>
  <c r="U143" i="3"/>
  <c r="T143" i="3"/>
  <c r="U139" i="3"/>
  <c r="T139" i="3"/>
  <c r="U135" i="3"/>
  <c r="T135" i="3"/>
  <c r="U131" i="3"/>
  <c r="T131" i="3"/>
  <c r="U127" i="3"/>
  <c r="T127" i="3"/>
  <c r="U123" i="3"/>
  <c r="T123" i="3"/>
  <c r="U119" i="3"/>
  <c r="T119" i="3"/>
  <c r="U115" i="3"/>
  <c r="T115" i="3"/>
  <c r="U111" i="3"/>
  <c r="T111" i="3"/>
  <c r="U107" i="3"/>
  <c r="T107" i="3"/>
  <c r="U103" i="3"/>
  <c r="T103" i="3"/>
  <c r="U99" i="3"/>
  <c r="T99" i="3"/>
  <c r="U95" i="3"/>
  <c r="T95" i="3"/>
  <c r="U91" i="3"/>
  <c r="T91" i="3"/>
  <c r="U87" i="3"/>
  <c r="T87" i="3"/>
  <c r="U83" i="3"/>
  <c r="T83" i="3"/>
  <c r="U79" i="3"/>
  <c r="T79" i="3"/>
  <c r="U75" i="3"/>
  <c r="T75" i="3"/>
  <c r="U71" i="3"/>
  <c r="T71" i="3"/>
  <c r="U67" i="3"/>
  <c r="T67" i="3"/>
  <c r="U63" i="3"/>
  <c r="T63" i="3"/>
  <c r="U59" i="3"/>
  <c r="T59" i="3"/>
  <c r="U55" i="3"/>
  <c r="T55" i="3"/>
  <c r="U51" i="3"/>
  <c r="T51" i="3"/>
  <c r="U47" i="3"/>
  <c r="T47" i="3"/>
  <c r="U43" i="3"/>
  <c r="T43" i="3"/>
  <c r="U39" i="3"/>
  <c r="T39" i="3"/>
  <c r="U35" i="3"/>
  <c r="T35" i="3"/>
  <c r="U31" i="3"/>
  <c r="T31" i="3"/>
  <c r="T27" i="3"/>
  <c r="U27" i="3"/>
  <c r="U23" i="3"/>
  <c r="T23" i="3"/>
  <c r="T19" i="3"/>
  <c r="U19" i="3"/>
  <c r="U15" i="3"/>
  <c r="T15" i="3"/>
  <c r="T11" i="3"/>
  <c r="U11" i="3"/>
  <c r="U7" i="3"/>
  <c r="T7" i="3"/>
  <c r="T3" i="3"/>
  <c r="U3" i="3"/>
  <c r="S389" i="3"/>
  <c r="S385" i="3"/>
  <c r="S381" i="3"/>
  <c r="S377" i="3"/>
  <c r="S373" i="3"/>
  <c r="S369" i="3"/>
  <c r="S365" i="3"/>
  <c r="S361" i="3"/>
  <c r="S357" i="3"/>
  <c r="S353" i="3"/>
  <c r="S349" i="3"/>
  <c r="S345" i="3"/>
  <c r="S341" i="3"/>
  <c r="S337" i="3"/>
  <c r="S333" i="3"/>
  <c r="S329" i="3"/>
  <c r="S325" i="3"/>
  <c r="S321" i="3"/>
  <c r="S317" i="3"/>
  <c r="S313" i="3"/>
  <c r="S309" i="3"/>
  <c r="S305" i="3"/>
  <c r="S301" i="3"/>
  <c r="S297" i="3"/>
  <c r="S293" i="3"/>
  <c r="S289" i="3"/>
  <c r="S285" i="3"/>
  <c r="S281" i="3"/>
  <c r="S277" i="3"/>
  <c r="S273" i="3"/>
  <c r="S269" i="3"/>
  <c r="S265" i="3"/>
  <c r="S261" i="3"/>
  <c r="S257" i="3"/>
  <c r="S253" i="3"/>
  <c r="S249" i="3"/>
  <c r="S245" i="3"/>
  <c r="S241" i="3"/>
  <c r="S237" i="3"/>
  <c r="S233" i="3"/>
  <c r="S229" i="3"/>
  <c r="S225" i="3"/>
  <c r="S221" i="3"/>
  <c r="S217" i="3"/>
  <c r="S213" i="3"/>
  <c r="S209" i="3"/>
  <c r="S205" i="3"/>
  <c r="S201" i="3"/>
  <c r="S197" i="3"/>
  <c r="S193" i="3"/>
  <c r="S189" i="3"/>
  <c r="S185" i="3"/>
  <c r="S181" i="3"/>
  <c r="S177" i="3"/>
  <c r="S173" i="3"/>
  <c r="S169" i="3"/>
  <c r="S165" i="3"/>
  <c r="S161" i="3"/>
  <c r="S157" i="3"/>
  <c r="S153" i="3"/>
  <c r="S149" i="3"/>
  <c r="S145" i="3"/>
  <c r="S141" i="3"/>
  <c r="S137" i="3"/>
  <c r="S133" i="3"/>
  <c r="S129" i="3"/>
  <c r="S125" i="3"/>
  <c r="S121" i="3"/>
  <c r="S117" i="3"/>
  <c r="S113" i="3"/>
  <c r="S109" i="3"/>
  <c r="S105" i="3"/>
  <c r="S101" i="3"/>
  <c r="S97" i="3"/>
  <c r="S93" i="3"/>
  <c r="S89" i="3"/>
  <c r="S85" i="3"/>
  <c r="S81" i="3"/>
  <c r="S77" i="3"/>
  <c r="S73" i="3"/>
  <c r="S69" i="3"/>
  <c r="S65" i="3"/>
  <c r="S61" i="3"/>
  <c r="S57" i="3"/>
  <c r="S53" i="3"/>
  <c r="S49" i="3"/>
  <c r="S45" i="3"/>
  <c r="S41" i="3"/>
  <c r="S37" i="3"/>
  <c r="S33" i="3"/>
  <c r="S29" i="3"/>
  <c r="S25" i="3"/>
  <c r="S21" i="3"/>
  <c r="S17" i="3"/>
  <c r="S13" i="3"/>
  <c r="S9" i="3"/>
  <c r="S5" i="3"/>
  <c r="T379" i="3"/>
  <c r="T375" i="3"/>
  <c r="T371" i="3"/>
  <c r="T367" i="3"/>
  <c r="T363" i="3"/>
  <c r="T359" i="3"/>
  <c r="T355" i="3"/>
  <c r="U324" i="3"/>
  <c r="X9" i="3"/>
  <c r="O5" i="2"/>
  <c r="O4" i="2"/>
  <c r="O3" i="2"/>
  <c r="O2" i="2"/>
  <c r="I3" i="2"/>
  <c r="I4" i="2"/>
  <c r="I5" i="2"/>
  <c r="I6" i="2"/>
  <c r="I7" i="2"/>
  <c r="I8" i="2"/>
  <c r="I9" i="2"/>
  <c r="I10" i="2"/>
  <c r="J10" i="2" s="1"/>
  <c r="I11" i="2"/>
  <c r="I12" i="2"/>
  <c r="I13" i="2"/>
  <c r="I14" i="2"/>
  <c r="I15" i="2"/>
  <c r="I16" i="2"/>
  <c r="I17" i="2"/>
  <c r="I18" i="2"/>
  <c r="J18" i="2" s="1"/>
  <c r="I19" i="2"/>
  <c r="I20" i="2"/>
  <c r="I21" i="2"/>
  <c r="I22" i="2"/>
  <c r="I23" i="2"/>
  <c r="I24" i="2"/>
  <c r="I25" i="2"/>
  <c r="I26" i="2"/>
  <c r="J26" i="2" s="1"/>
  <c r="I27" i="2"/>
  <c r="I28" i="2"/>
  <c r="I29" i="2"/>
  <c r="I30" i="2"/>
  <c r="I31" i="2"/>
  <c r="I32" i="2"/>
  <c r="I33" i="2"/>
  <c r="I34" i="2"/>
  <c r="J34" i="2" s="1"/>
  <c r="I35" i="2"/>
  <c r="I36" i="2"/>
  <c r="I37" i="2"/>
  <c r="I38" i="2"/>
  <c r="I39" i="2"/>
  <c r="I40" i="2"/>
  <c r="I41" i="2"/>
  <c r="I42" i="2"/>
  <c r="J42" i="2" s="1"/>
  <c r="I43" i="2"/>
  <c r="I44" i="2"/>
  <c r="I45" i="2"/>
  <c r="I46" i="2"/>
  <c r="I47" i="2"/>
  <c r="I48" i="2"/>
  <c r="I49" i="2"/>
  <c r="J49" i="2" s="1"/>
  <c r="I50" i="2"/>
  <c r="J50" i="2" s="1"/>
  <c r="I51" i="2"/>
  <c r="I52" i="2"/>
  <c r="I53" i="2"/>
  <c r="J53" i="2" s="1"/>
  <c r="I54" i="2"/>
  <c r="J54" i="2" s="1"/>
  <c r="I55" i="2"/>
  <c r="I56" i="2"/>
  <c r="I57" i="2"/>
  <c r="J57" i="2" s="1"/>
  <c r="I58" i="2"/>
  <c r="J58" i="2" s="1"/>
  <c r="I59" i="2"/>
  <c r="I60" i="2"/>
  <c r="I61" i="2"/>
  <c r="J61" i="2" s="1"/>
  <c r="I62" i="2"/>
  <c r="J62" i="2" s="1"/>
  <c r="I63" i="2"/>
  <c r="I64" i="2"/>
  <c r="I65" i="2"/>
  <c r="J65" i="2" s="1"/>
  <c r="I66" i="2"/>
  <c r="J66" i="2" s="1"/>
  <c r="I67" i="2"/>
  <c r="I68" i="2"/>
  <c r="I69" i="2"/>
  <c r="J69" i="2" s="1"/>
  <c r="I70" i="2"/>
  <c r="J70" i="2" s="1"/>
  <c r="I71" i="2"/>
  <c r="I72" i="2"/>
  <c r="I73" i="2"/>
  <c r="J73" i="2" s="1"/>
  <c r="I74" i="2"/>
  <c r="J74" i="2" s="1"/>
  <c r="I75" i="2"/>
  <c r="I76" i="2"/>
  <c r="I77" i="2"/>
  <c r="J77" i="2" s="1"/>
  <c r="I78" i="2"/>
  <c r="J78" i="2" s="1"/>
  <c r="I79" i="2"/>
  <c r="I80" i="2"/>
  <c r="I81" i="2"/>
  <c r="J81" i="2" s="1"/>
  <c r="I82" i="2"/>
  <c r="J82" i="2" s="1"/>
  <c r="I83" i="2"/>
  <c r="I84" i="2"/>
  <c r="I85" i="2"/>
  <c r="J85" i="2" s="1"/>
  <c r="I86" i="2"/>
  <c r="J86" i="2" s="1"/>
  <c r="I87" i="2"/>
  <c r="I88" i="2"/>
  <c r="I89" i="2"/>
  <c r="J89" i="2" s="1"/>
  <c r="I90" i="2"/>
  <c r="J90" i="2" s="1"/>
  <c r="I91" i="2"/>
  <c r="I92" i="2"/>
  <c r="I93" i="2"/>
  <c r="J93" i="2" s="1"/>
  <c r="I94" i="2"/>
  <c r="J94" i="2" s="1"/>
  <c r="I95" i="2"/>
  <c r="I96" i="2"/>
  <c r="I97" i="2"/>
  <c r="J97" i="2" s="1"/>
  <c r="I98" i="2"/>
  <c r="J98" i="2" s="1"/>
  <c r="I99" i="2"/>
  <c r="I100" i="2"/>
  <c r="I101" i="2"/>
  <c r="J101" i="2" s="1"/>
  <c r="I102" i="2"/>
  <c r="J102" i="2" s="1"/>
  <c r="I103" i="2"/>
  <c r="I104" i="2"/>
  <c r="I105" i="2"/>
  <c r="J105" i="2" s="1"/>
  <c r="I106" i="2"/>
  <c r="J106" i="2" s="1"/>
  <c r="I107" i="2"/>
  <c r="I108" i="2"/>
  <c r="I109" i="2"/>
  <c r="J109" i="2" s="1"/>
  <c r="I110" i="2"/>
  <c r="J110" i="2" s="1"/>
  <c r="I111" i="2"/>
  <c r="I112" i="2"/>
  <c r="I113" i="2"/>
  <c r="J113" i="2" s="1"/>
  <c r="I114" i="2"/>
  <c r="J114" i="2" s="1"/>
  <c r="I115" i="2"/>
  <c r="I116" i="2"/>
  <c r="I117" i="2"/>
  <c r="J117" i="2" s="1"/>
  <c r="I118" i="2"/>
  <c r="J118" i="2" s="1"/>
  <c r="I119" i="2"/>
  <c r="I120" i="2"/>
  <c r="I121" i="2"/>
  <c r="J121" i="2" s="1"/>
  <c r="I122" i="2"/>
  <c r="J122" i="2" s="1"/>
  <c r="I123" i="2"/>
  <c r="I124" i="2"/>
  <c r="I125" i="2"/>
  <c r="J125" i="2" s="1"/>
  <c r="I126" i="2"/>
  <c r="J126" i="2" s="1"/>
  <c r="I127" i="2"/>
  <c r="I128" i="2"/>
  <c r="I129" i="2"/>
  <c r="J129" i="2" s="1"/>
  <c r="I130" i="2"/>
  <c r="J130" i="2" s="1"/>
  <c r="I131" i="2"/>
  <c r="I132" i="2"/>
  <c r="I133" i="2"/>
  <c r="J133" i="2" s="1"/>
  <c r="I134" i="2"/>
  <c r="J134" i="2" s="1"/>
  <c r="I135" i="2"/>
  <c r="I136" i="2"/>
  <c r="I137" i="2"/>
  <c r="J137" i="2" s="1"/>
  <c r="I138" i="2"/>
  <c r="J138" i="2" s="1"/>
  <c r="I139" i="2"/>
  <c r="I140" i="2"/>
  <c r="I141" i="2"/>
  <c r="J141" i="2" s="1"/>
  <c r="I142" i="2"/>
  <c r="J142" i="2" s="1"/>
  <c r="I143" i="2"/>
  <c r="I144" i="2"/>
  <c r="I145" i="2"/>
  <c r="J145" i="2" s="1"/>
  <c r="I146" i="2"/>
  <c r="J146" i="2" s="1"/>
  <c r="I147" i="2"/>
  <c r="I148" i="2"/>
  <c r="I149" i="2"/>
  <c r="J149" i="2" s="1"/>
  <c r="I150" i="2"/>
  <c r="J150" i="2" s="1"/>
  <c r="I151" i="2"/>
  <c r="I152" i="2"/>
  <c r="I153" i="2"/>
  <c r="J153" i="2" s="1"/>
  <c r="I154" i="2"/>
  <c r="J154" i="2" s="1"/>
  <c r="I155" i="2"/>
  <c r="I156" i="2"/>
  <c r="I157" i="2"/>
  <c r="J157" i="2" s="1"/>
  <c r="I158" i="2"/>
  <c r="J158" i="2" s="1"/>
  <c r="I159" i="2"/>
  <c r="I160" i="2"/>
  <c r="I161" i="2"/>
  <c r="J161" i="2" s="1"/>
  <c r="I162" i="2"/>
  <c r="J162" i="2" s="1"/>
  <c r="I163" i="2"/>
  <c r="I164" i="2"/>
  <c r="I165" i="2"/>
  <c r="J165" i="2" s="1"/>
  <c r="I166" i="2"/>
  <c r="J166" i="2" s="1"/>
  <c r="I167" i="2"/>
  <c r="I168" i="2"/>
  <c r="I169" i="2"/>
  <c r="J169" i="2" s="1"/>
  <c r="I170" i="2"/>
  <c r="J170" i="2" s="1"/>
  <c r="I171" i="2"/>
  <c r="I172" i="2"/>
  <c r="I173" i="2"/>
  <c r="J173" i="2" s="1"/>
  <c r="I174" i="2"/>
  <c r="J174" i="2" s="1"/>
  <c r="I175" i="2"/>
  <c r="I176" i="2"/>
  <c r="I177" i="2"/>
  <c r="J177" i="2" s="1"/>
  <c r="I178" i="2"/>
  <c r="J178" i="2" s="1"/>
  <c r="I179" i="2"/>
  <c r="I180" i="2"/>
  <c r="I181" i="2"/>
  <c r="J181" i="2" s="1"/>
  <c r="I182" i="2"/>
  <c r="J182" i="2" s="1"/>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2" i="2"/>
  <c r="L598" i="2" l="1"/>
  <c r="K598" i="2"/>
  <c r="J598" i="2"/>
  <c r="L594" i="2"/>
  <c r="K594" i="2"/>
  <c r="J594" i="2"/>
  <c r="L590" i="2"/>
  <c r="K590" i="2"/>
  <c r="J590" i="2"/>
  <c r="L586" i="2"/>
  <c r="K586" i="2"/>
  <c r="J586" i="2"/>
  <c r="L582" i="2"/>
  <c r="K582" i="2"/>
  <c r="J582" i="2"/>
  <c r="L578" i="2"/>
  <c r="K578" i="2"/>
  <c r="J578" i="2"/>
  <c r="L574" i="2"/>
  <c r="K574" i="2"/>
  <c r="J574" i="2"/>
  <c r="L570" i="2"/>
  <c r="K570" i="2"/>
  <c r="J570" i="2"/>
  <c r="L566" i="2"/>
  <c r="K566" i="2"/>
  <c r="J566" i="2"/>
  <c r="L562" i="2"/>
  <c r="K562" i="2"/>
  <c r="J562" i="2"/>
  <c r="L558" i="2"/>
  <c r="K558" i="2"/>
  <c r="J558" i="2"/>
  <c r="L554" i="2"/>
  <c r="K554" i="2"/>
  <c r="J554" i="2"/>
  <c r="L550" i="2"/>
  <c r="K550" i="2"/>
  <c r="J550" i="2"/>
  <c r="L546" i="2"/>
  <c r="K546" i="2"/>
  <c r="J546" i="2"/>
  <c r="L542" i="2"/>
  <c r="K542" i="2"/>
  <c r="J542" i="2"/>
  <c r="L538" i="2"/>
  <c r="K538" i="2"/>
  <c r="J538" i="2"/>
  <c r="L534" i="2"/>
  <c r="K534" i="2"/>
  <c r="J534" i="2"/>
  <c r="L530" i="2"/>
  <c r="K530" i="2"/>
  <c r="J530" i="2"/>
  <c r="L526" i="2"/>
  <c r="K526" i="2"/>
  <c r="J526" i="2"/>
  <c r="L522" i="2"/>
  <c r="K522" i="2"/>
  <c r="J522" i="2"/>
  <c r="L518" i="2"/>
  <c r="K518" i="2"/>
  <c r="J518" i="2"/>
  <c r="L514" i="2"/>
  <c r="K514" i="2"/>
  <c r="J514" i="2"/>
  <c r="L510" i="2"/>
  <c r="K510" i="2"/>
  <c r="J510" i="2"/>
  <c r="L506" i="2"/>
  <c r="K506" i="2"/>
  <c r="J506" i="2"/>
  <c r="L502" i="2"/>
  <c r="K502" i="2"/>
  <c r="J502" i="2"/>
  <c r="L498" i="2"/>
  <c r="K498" i="2"/>
  <c r="J498" i="2"/>
  <c r="L494" i="2"/>
  <c r="K494" i="2"/>
  <c r="J494" i="2"/>
  <c r="L490" i="2"/>
  <c r="K490" i="2"/>
  <c r="J490" i="2"/>
  <c r="L486" i="2"/>
  <c r="K486" i="2"/>
  <c r="J486" i="2"/>
  <c r="L482" i="2"/>
  <c r="K482" i="2"/>
  <c r="J482" i="2"/>
  <c r="L478" i="2"/>
  <c r="K478" i="2"/>
  <c r="J478" i="2"/>
  <c r="L474" i="2"/>
  <c r="K474" i="2"/>
  <c r="J474" i="2"/>
  <c r="L470" i="2"/>
  <c r="K470" i="2"/>
  <c r="J470" i="2"/>
  <c r="L466" i="2"/>
  <c r="K466" i="2"/>
  <c r="J466" i="2"/>
  <c r="L462" i="2"/>
  <c r="K462" i="2"/>
  <c r="J462" i="2"/>
  <c r="L458" i="2"/>
  <c r="K458" i="2"/>
  <c r="J458" i="2"/>
  <c r="L454" i="2"/>
  <c r="K454" i="2"/>
  <c r="J454" i="2"/>
  <c r="L450" i="2"/>
  <c r="K450" i="2"/>
  <c r="J450" i="2"/>
  <c r="L446" i="2"/>
  <c r="K446" i="2"/>
  <c r="J446" i="2"/>
  <c r="L442" i="2"/>
  <c r="K442" i="2"/>
  <c r="J442" i="2"/>
  <c r="L438" i="2"/>
  <c r="K438" i="2"/>
  <c r="J438" i="2"/>
  <c r="L434" i="2"/>
  <c r="K434" i="2"/>
  <c r="J434" i="2"/>
  <c r="L430" i="2"/>
  <c r="K430" i="2"/>
  <c r="J430" i="2"/>
  <c r="L426" i="2"/>
  <c r="K426" i="2"/>
  <c r="J426" i="2"/>
  <c r="L422" i="2"/>
  <c r="K422" i="2"/>
  <c r="J422" i="2"/>
  <c r="L418" i="2"/>
  <c r="K418" i="2"/>
  <c r="J418" i="2"/>
  <c r="L414" i="2"/>
  <c r="K414" i="2"/>
  <c r="J414" i="2"/>
  <c r="L410" i="2"/>
  <c r="K410" i="2"/>
  <c r="J410" i="2"/>
  <c r="L406" i="2"/>
  <c r="K406" i="2"/>
  <c r="J406" i="2"/>
  <c r="L402" i="2"/>
  <c r="K402" i="2"/>
  <c r="J402" i="2"/>
  <c r="L398" i="2"/>
  <c r="K398" i="2"/>
  <c r="J398" i="2"/>
  <c r="L394" i="2"/>
  <c r="K394" i="2"/>
  <c r="J394" i="2"/>
  <c r="L390" i="2"/>
  <c r="K390" i="2"/>
  <c r="J390" i="2"/>
  <c r="L386" i="2"/>
  <c r="K386" i="2"/>
  <c r="J386" i="2"/>
  <c r="L382" i="2"/>
  <c r="K382" i="2"/>
  <c r="J382" i="2"/>
  <c r="L378" i="2"/>
  <c r="K378" i="2"/>
  <c r="J378" i="2"/>
  <c r="L374" i="2"/>
  <c r="K374" i="2"/>
  <c r="J374" i="2"/>
  <c r="L370" i="2"/>
  <c r="K370" i="2"/>
  <c r="J370" i="2"/>
  <c r="L366" i="2"/>
  <c r="K366" i="2"/>
  <c r="J366" i="2"/>
  <c r="L362" i="2"/>
  <c r="K362" i="2"/>
  <c r="J362" i="2"/>
  <c r="L358" i="2"/>
  <c r="K358" i="2"/>
  <c r="J358" i="2"/>
  <c r="L354" i="2"/>
  <c r="K354" i="2"/>
  <c r="J354" i="2"/>
  <c r="L350" i="2"/>
  <c r="K350" i="2"/>
  <c r="J350" i="2"/>
  <c r="L346" i="2"/>
  <c r="K346" i="2"/>
  <c r="J346" i="2"/>
  <c r="L342" i="2"/>
  <c r="K342" i="2"/>
  <c r="J342" i="2"/>
  <c r="L338" i="2"/>
  <c r="K338" i="2"/>
  <c r="J338" i="2"/>
  <c r="L334" i="2"/>
  <c r="K334" i="2"/>
  <c r="J334" i="2"/>
  <c r="L330" i="2"/>
  <c r="K330" i="2"/>
  <c r="J330" i="2"/>
  <c r="L326" i="2"/>
  <c r="K326" i="2"/>
  <c r="J326" i="2"/>
  <c r="K322" i="2"/>
  <c r="L322" i="2"/>
  <c r="J322" i="2"/>
  <c r="L318" i="2"/>
  <c r="K318" i="2"/>
  <c r="J318" i="2"/>
  <c r="L314" i="2"/>
  <c r="K314" i="2"/>
  <c r="J314" i="2"/>
  <c r="L310" i="2"/>
  <c r="K310" i="2"/>
  <c r="J310" i="2"/>
  <c r="L306" i="2"/>
  <c r="K306" i="2"/>
  <c r="J306" i="2"/>
  <c r="L302" i="2"/>
  <c r="K302" i="2"/>
  <c r="J302" i="2"/>
  <c r="L298" i="2"/>
  <c r="K298" i="2"/>
  <c r="J298" i="2"/>
  <c r="L294" i="2"/>
  <c r="K294" i="2"/>
  <c r="J294" i="2"/>
  <c r="L290" i="2"/>
  <c r="K290" i="2"/>
  <c r="J290" i="2"/>
  <c r="L286" i="2"/>
  <c r="K286" i="2"/>
  <c r="J286" i="2"/>
  <c r="L282" i="2"/>
  <c r="K282" i="2"/>
  <c r="J282" i="2"/>
  <c r="L278" i="2"/>
  <c r="K278" i="2"/>
  <c r="J278" i="2"/>
  <c r="K274" i="2"/>
  <c r="L274" i="2"/>
  <c r="J274" i="2"/>
  <c r="L270" i="2"/>
  <c r="K270" i="2"/>
  <c r="J270" i="2"/>
  <c r="L266" i="2"/>
  <c r="K266" i="2"/>
  <c r="J266" i="2"/>
  <c r="L262" i="2"/>
  <c r="K262" i="2"/>
  <c r="J262" i="2"/>
  <c r="K258" i="2"/>
  <c r="L258" i="2"/>
  <c r="J258" i="2"/>
  <c r="L254" i="2"/>
  <c r="K254" i="2"/>
  <c r="J254" i="2"/>
  <c r="L250" i="2"/>
  <c r="K250" i="2"/>
  <c r="J250" i="2"/>
  <c r="L246" i="2"/>
  <c r="K246" i="2"/>
  <c r="J246" i="2"/>
  <c r="L242" i="2"/>
  <c r="K242" i="2"/>
  <c r="J242" i="2"/>
  <c r="L238" i="2"/>
  <c r="K238" i="2"/>
  <c r="J238" i="2"/>
  <c r="L234" i="2"/>
  <c r="K234" i="2"/>
  <c r="J234" i="2"/>
  <c r="L230" i="2"/>
  <c r="K230" i="2"/>
  <c r="J230" i="2"/>
  <c r="L226" i="2"/>
  <c r="K226" i="2"/>
  <c r="J226" i="2"/>
  <c r="L222" i="2"/>
  <c r="K222" i="2"/>
  <c r="J222" i="2"/>
  <c r="L218" i="2"/>
  <c r="K218" i="2"/>
  <c r="J218" i="2"/>
  <c r="L214" i="2"/>
  <c r="K214" i="2"/>
  <c r="J214" i="2"/>
  <c r="K210" i="2"/>
  <c r="L210" i="2"/>
  <c r="J210" i="2"/>
  <c r="L206" i="2"/>
  <c r="K206" i="2"/>
  <c r="J206" i="2"/>
  <c r="L202" i="2"/>
  <c r="K202" i="2"/>
  <c r="J202" i="2"/>
  <c r="L198" i="2"/>
  <c r="K198" i="2"/>
  <c r="J198" i="2"/>
  <c r="K194" i="2"/>
  <c r="L194" i="2"/>
  <c r="J194" i="2"/>
  <c r="L190" i="2"/>
  <c r="K190" i="2"/>
  <c r="J190" i="2"/>
  <c r="L186" i="2"/>
  <c r="K186" i="2"/>
  <c r="J186" i="2"/>
  <c r="L610" i="2"/>
  <c r="K610" i="2"/>
  <c r="J610" i="2"/>
  <c r="L609" i="2"/>
  <c r="K609" i="2"/>
  <c r="J609" i="2"/>
  <c r="L605" i="2"/>
  <c r="K605" i="2"/>
  <c r="J605" i="2"/>
  <c r="L601" i="2"/>
  <c r="K601" i="2"/>
  <c r="J601" i="2"/>
  <c r="L597" i="2"/>
  <c r="K597" i="2"/>
  <c r="J597" i="2"/>
  <c r="L593" i="2"/>
  <c r="K593" i="2"/>
  <c r="J593" i="2"/>
  <c r="L589" i="2"/>
  <c r="K589" i="2"/>
  <c r="J589" i="2"/>
  <c r="L585" i="2"/>
  <c r="K585" i="2"/>
  <c r="J585" i="2"/>
  <c r="L581" i="2"/>
  <c r="K581" i="2"/>
  <c r="J581" i="2"/>
  <c r="L577" i="2"/>
  <c r="K577" i="2"/>
  <c r="J577" i="2"/>
  <c r="L573" i="2"/>
  <c r="K573" i="2"/>
  <c r="J573" i="2"/>
  <c r="L569" i="2"/>
  <c r="K569" i="2"/>
  <c r="J569" i="2"/>
  <c r="L565" i="2"/>
  <c r="K565" i="2"/>
  <c r="J565" i="2"/>
  <c r="L561" i="2"/>
  <c r="K561" i="2"/>
  <c r="J561" i="2"/>
  <c r="L557" i="2"/>
  <c r="K557" i="2"/>
  <c r="J557" i="2"/>
  <c r="L553" i="2"/>
  <c r="K553" i="2"/>
  <c r="J553" i="2"/>
  <c r="L549" i="2"/>
  <c r="K549" i="2"/>
  <c r="J549" i="2"/>
  <c r="L545" i="2"/>
  <c r="K545" i="2"/>
  <c r="J545" i="2"/>
  <c r="L541" i="2"/>
  <c r="K541" i="2"/>
  <c r="J541" i="2"/>
  <c r="L537" i="2"/>
  <c r="K537" i="2"/>
  <c r="J537" i="2"/>
  <c r="L533" i="2"/>
  <c r="K533" i="2"/>
  <c r="J533" i="2"/>
  <c r="L529" i="2"/>
  <c r="K529" i="2"/>
  <c r="J529" i="2"/>
  <c r="L525" i="2"/>
  <c r="K525" i="2"/>
  <c r="J525" i="2"/>
  <c r="L521" i="2"/>
  <c r="K521" i="2"/>
  <c r="J521" i="2"/>
  <c r="L517" i="2"/>
  <c r="K517" i="2"/>
  <c r="J517" i="2"/>
  <c r="L513" i="2"/>
  <c r="K513" i="2"/>
  <c r="J513" i="2"/>
  <c r="L509" i="2"/>
  <c r="K509" i="2"/>
  <c r="J509" i="2"/>
  <c r="L505" i="2"/>
  <c r="K505" i="2"/>
  <c r="J505" i="2"/>
  <c r="L501" i="2"/>
  <c r="K501" i="2"/>
  <c r="J501" i="2"/>
  <c r="L497" i="2"/>
  <c r="K497" i="2"/>
  <c r="J497" i="2"/>
  <c r="L493" i="2"/>
  <c r="K493" i="2"/>
  <c r="J493" i="2"/>
  <c r="L489" i="2"/>
  <c r="K489" i="2"/>
  <c r="J489" i="2"/>
  <c r="L485" i="2"/>
  <c r="K485" i="2"/>
  <c r="J485" i="2"/>
  <c r="L481" i="2"/>
  <c r="K481" i="2"/>
  <c r="J481" i="2"/>
  <c r="L477" i="2"/>
  <c r="K477" i="2"/>
  <c r="J477" i="2"/>
  <c r="L473" i="2"/>
  <c r="K473" i="2"/>
  <c r="J473" i="2"/>
  <c r="L469" i="2"/>
  <c r="K469" i="2"/>
  <c r="J469" i="2"/>
  <c r="L465" i="2"/>
  <c r="K465" i="2"/>
  <c r="J465" i="2"/>
  <c r="L461" i="2"/>
  <c r="K461" i="2"/>
  <c r="J461" i="2"/>
  <c r="L457" i="2"/>
  <c r="K457" i="2"/>
  <c r="J457" i="2"/>
  <c r="L453" i="2"/>
  <c r="K453" i="2"/>
  <c r="J453" i="2"/>
  <c r="L449" i="2"/>
  <c r="K449" i="2"/>
  <c r="J449" i="2"/>
  <c r="L445" i="2"/>
  <c r="K445" i="2"/>
  <c r="J445" i="2"/>
  <c r="L441" i="2"/>
  <c r="K441" i="2"/>
  <c r="J441" i="2"/>
  <c r="L437" i="2"/>
  <c r="K437" i="2"/>
  <c r="J437" i="2"/>
  <c r="L433" i="2"/>
  <c r="K433" i="2"/>
  <c r="J433" i="2"/>
  <c r="L429" i="2"/>
  <c r="K429" i="2"/>
  <c r="J429" i="2"/>
  <c r="L425" i="2"/>
  <c r="K425" i="2"/>
  <c r="J425" i="2"/>
  <c r="L421" i="2"/>
  <c r="K421" i="2"/>
  <c r="J421" i="2"/>
  <c r="L417" i="2"/>
  <c r="K417" i="2"/>
  <c r="J417" i="2"/>
  <c r="L413" i="2"/>
  <c r="K413" i="2"/>
  <c r="J413" i="2"/>
  <c r="L409" i="2"/>
  <c r="K409" i="2"/>
  <c r="J409" i="2"/>
  <c r="L405" i="2"/>
  <c r="K405" i="2"/>
  <c r="J405" i="2"/>
  <c r="L401" i="2"/>
  <c r="K401" i="2"/>
  <c r="J401" i="2"/>
  <c r="L397" i="2"/>
  <c r="K397" i="2"/>
  <c r="J397" i="2"/>
  <c r="L393" i="2"/>
  <c r="K393" i="2"/>
  <c r="J393" i="2"/>
  <c r="L389" i="2"/>
  <c r="K389" i="2"/>
  <c r="J389" i="2"/>
  <c r="L385" i="2"/>
  <c r="K385" i="2"/>
  <c r="J385" i="2"/>
  <c r="L381" i="2"/>
  <c r="K381" i="2"/>
  <c r="J381" i="2"/>
  <c r="L377" i="2"/>
  <c r="K377" i="2"/>
  <c r="J377" i="2"/>
  <c r="L373" i="2"/>
  <c r="K373" i="2"/>
  <c r="J373" i="2"/>
  <c r="L369" i="2"/>
  <c r="K369" i="2"/>
  <c r="J369" i="2"/>
  <c r="L365" i="2"/>
  <c r="K365" i="2"/>
  <c r="J365" i="2"/>
  <c r="L361" i="2"/>
  <c r="K361" i="2"/>
  <c r="J361" i="2"/>
  <c r="L357" i="2"/>
  <c r="K357" i="2"/>
  <c r="J357" i="2"/>
  <c r="L353" i="2"/>
  <c r="K353" i="2"/>
  <c r="J353" i="2"/>
  <c r="L349" i="2"/>
  <c r="K349" i="2"/>
  <c r="J349" i="2"/>
  <c r="L345" i="2"/>
  <c r="K345" i="2"/>
  <c r="J345" i="2"/>
  <c r="L341" i="2"/>
  <c r="K341" i="2"/>
  <c r="J341" i="2"/>
  <c r="L337" i="2"/>
  <c r="K337" i="2"/>
  <c r="J337" i="2"/>
  <c r="L333" i="2"/>
  <c r="K333" i="2"/>
  <c r="J333" i="2"/>
  <c r="L329" i="2"/>
  <c r="K329" i="2"/>
  <c r="J329" i="2"/>
  <c r="L325" i="2"/>
  <c r="K325" i="2"/>
  <c r="J325" i="2"/>
  <c r="L321" i="2"/>
  <c r="K321" i="2"/>
  <c r="J321" i="2"/>
  <c r="L317" i="2"/>
  <c r="K317" i="2"/>
  <c r="J317" i="2"/>
  <c r="L313" i="2"/>
  <c r="K313" i="2"/>
  <c r="J313" i="2"/>
  <c r="L309" i="2"/>
  <c r="K309" i="2"/>
  <c r="J309" i="2"/>
  <c r="L305" i="2"/>
  <c r="K305" i="2"/>
  <c r="J305" i="2"/>
  <c r="L301" i="2"/>
  <c r="K301" i="2"/>
  <c r="J301" i="2"/>
  <c r="L297" i="2"/>
  <c r="K297" i="2"/>
  <c r="J297" i="2"/>
  <c r="L293" i="2"/>
  <c r="K293" i="2"/>
  <c r="J293" i="2"/>
  <c r="L289" i="2"/>
  <c r="K289" i="2"/>
  <c r="J289" i="2"/>
  <c r="L285" i="2"/>
  <c r="K285" i="2"/>
  <c r="J285" i="2"/>
  <c r="L281" i="2"/>
  <c r="K281" i="2"/>
  <c r="J281" i="2"/>
  <c r="L277" i="2"/>
  <c r="K277" i="2"/>
  <c r="J277" i="2"/>
  <c r="L273" i="2"/>
  <c r="K273" i="2"/>
  <c r="J273" i="2"/>
  <c r="L269" i="2"/>
  <c r="K269" i="2"/>
  <c r="J269" i="2"/>
  <c r="L265" i="2"/>
  <c r="K265" i="2"/>
  <c r="J265" i="2"/>
  <c r="L261" i="2"/>
  <c r="K261" i="2"/>
  <c r="J261" i="2"/>
  <c r="L257" i="2"/>
  <c r="K257" i="2"/>
  <c r="J257" i="2"/>
  <c r="L253" i="2"/>
  <c r="K253" i="2"/>
  <c r="J253" i="2"/>
  <c r="L249" i="2"/>
  <c r="K249" i="2"/>
  <c r="J249" i="2"/>
  <c r="L245" i="2"/>
  <c r="K245" i="2"/>
  <c r="J245" i="2"/>
  <c r="L241" i="2"/>
  <c r="K241" i="2"/>
  <c r="J241" i="2"/>
  <c r="L237" i="2"/>
  <c r="K237" i="2"/>
  <c r="J237" i="2"/>
  <c r="L233" i="2"/>
  <c r="K233" i="2"/>
  <c r="J233" i="2"/>
  <c r="L229" i="2"/>
  <c r="K229" i="2"/>
  <c r="J229" i="2"/>
  <c r="L225" i="2"/>
  <c r="K225" i="2"/>
  <c r="J225" i="2"/>
  <c r="L221" i="2"/>
  <c r="K221" i="2"/>
  <c r="J221" i="2"/>
  <c r="L217" i="2"/>
  <c r="K217" i="2"/>
  <c r="J217" i="2"/>
  <c r="L213" i="2"/>
  <c r="K213" i="2"/>
  <c r="J213" i="2"/>
  <c r="L209" i="2"/>
  <c r="K209" i="2"/>
  <c r="J209" i="2"/>
  <c r="L205" i="2"/>
  <c r="K205" i="2"/>
  <c r="J205" i="2"/>
  <c r="L201" i="2"/>
  <c r="K201" i="2"/>
  <c r="J201" i="2"/>
  <c r="L197" i="2"/>
  <c r="K197" i="2"/>
  <c r="J197" i="2"/>
  <c r="L193" i="2"/>
  <c r="K193" i="2"/>
  <c r="J193" i="2"/>
  <c r="L189" i="2"/>
  <c r="K189" i="2"/>
  <c r="J189" i="2"/>
  <c r="L185" i="2"/>
  <c r="K185" i="2"/>
  <c r="J185" i="2"/>
  <c r="L602" i="2"/>
  <c r="K602" i="2"/>
  <c r="J602" i="2"/>
  <c r="L2" i="2"/>
  <c r="J2" i="2"/>
  <c r="K2" i="2"/>
  <c r="L608" i="2"/>
  <c r="K608" i="2"/>
  <c r="J608" i="2"/>
  <c r="L604" i="2"/>
  <c r="J604" i="2"/>
  <c r="K604" i="2"/>
  <c r="L600" i="2"/>
  <c r="K600" i="2"/>
  <c r="J600" i="2"/>
  <c r="L596" i="2"/>
  <c r="J596" i="2"/>
  <c r="K596" i="2"/>
  <c r="L592" i="2"/>
  <c r="K592" i="2"/>
  <c r="J592" i="2"/>
  <c r="L588" i="2"/>
  <c r="J588" i="2"/>
  <c r="K588" i="2"/>
  <c r="L584" i="2"/>
  <c r="K584" i="2"/>
  <c r="J584" i="2"/>
  <c r="L580" i="2"/>
  <c r="J580" i="2"/>
  <c r="K580" i="2"/>
  <c r="L576" i="2"/>
  <c r="K576" i="2"/>
  <c r="J576" i="2"/>
  <c r="L572" i="2"/>
  <c r="J572" i="2"/>
  <c r="K572" i="2"/>
  <c r="L568" i="2"/>
  <c r="K568" i="2"/>
  <c r="J568" i="2"/>
  <c r="L564" i="2"/>
  <c r="J564" i="2"/>
  <c r="K564" i="2"/>
  <c r="L560" i="2"/>
  <c r="K560" i="2"/>
  <c r="J560" i="2"/>
  <c r="L556" i="2"/>
  <c r="J556" i="2"/>
  <c r="K556" i="2"/>
  <c r="L552" i="2"/>
  <c r="K552" i="2"/>
  <c r="J552" i="2"/>
  <c r="K548" i="2"/>
  <c r="L548" i="2"/>
  <c r="J548" i="2"/>
  <c r="L544" i="2"/>
  <c r="K544" i="2"/>
  <c r="J544" i="2"/>
  <c r="L540" i="2"/>
  <c r="K540" i="2"/>
  <c r="J540" i="2"/>
  <c r="L536" i="2"/>
  <c r="K536" i="2"/>
  <c r="J536" i="2"/>
  <c r="L532" i="2"/>
  <c r="K532" i="2"/>
  <c r="J532" i="2"/>
  <c r="L528" i="2"/>
  <c r="K528" i="2"/>
  <c r="J528" i="2"/>
  <c r="L524" i="2"/>
  <c r="K524" i="2"/>
  <c r="J524" i="2"/>
  <c r="L520" i="2"/>
  <c r="K520" i="2"/>
  <c r="J520" i="2"/>
  <c r="L516" i="2"/>
  <c r="K516" i="2"/>
  <c r="J516" i="2"/>
  <c r="L512" i="2"/>
  <c r="K512" i="2"/>
  <c r="J512" i="2"/>
  <c r="L508" i="2"/>
  <c r="K508" i="2"/>
  <c r="J508" i="2"/>
  <c r="L504" i="2"/>
  <c r="K504" i="2"/>
  <c r="J504" i="2"/>
  <c r="K500" i="2"/>
  <c r="L500" i="2"/>
  <c r="J500" i="2"/>
  <c r="L496" i="2"/>
  <c r="K496" i="2"/>
  <c r="J496" i="2"/>
  <c r="L492" i="2"/>
  <c r="K492" i="2"/>
  <c r="J492" i="2"/>
  <c r="L488" i="2"/>
  <c r="K488" i="2"/>
  <c r="J488" i="2"/>
  <c r="K484" i="2"/>
  <c r="L484" i="2"/>
  <c r="J484" i="2"/>
  <c r="L480" i="2"/>
  <c r="K480" i="2"/>
  <c r="J480" i="2"/>
  <c r="L476" i="2"/>
  <c r="K476" i="2"/>
  <c r="J476" i="2"/>
  <c r="L472" i="2"/>
  <c r="K472" i="2"/>
  <c r="J472" i="2"/>
  <c r="L468" i="2"/>
  <c r="K468" i="2"/>
  <c r="J468" i="2"/>
  <c r="L464" i="2"/>
  <c r="K464" i="2"/>
  <c r="J464" i="2"/>
  <c r="L460" i="2"/>
  <c r="K460" i="2"/>
  <c r="J460" i="2"/>
  <c r="L456" i="2"/>
  <c r="K456" i="2"/>
  <c r="J456" i="2"/>
  <c r="L452" i="2"/>
  <c r="K452" i="2"/>
  <c r="J452" i="2"/>
  <c r="L448" i="2"/>
  <c r="K448" i="2"/>
  <c r="J448" i="2"/>
  <c r="L444" i="2"/>
  <c r="K444" i="2"/>
  <c r="J444" i="2"/>
  <c r="L440" i="2"/>
  <c r="K440" i="2"/>
  <c r="J440" i="2"/>
  <c r="K436" i="2"/>
  <c r="L436" i="2"/>
  <c r="J436" i="2"/>
  <c r="L432" i="2"/>
  <c r="K432" i="2"/>
  <c r="J432" i="2"/>
  <c r="L428" i="2"/>
  <c r="K428" i="2"/>
  <c r="J428" i="2"/>
  <c r="L424" i="2"/>
  <c r="K424" i="2"/>
  <c r="J424" i="2"/>
  <c r="K420" i="2"/>
  <c r="L420" i="2"/>
  <c r="J420" i="2"/>
  <c r="L416" i="2"/>
  <c r="K416" i="2"/>
  <c r="J416" i="2"/>
  <c r="L412" i="2"/>
  <c r="K412" i="2"/>
  <c r="J412" i="2"/>
  <c r="L408" i="2"/>
  <c r="K408" i="2"/>
  <c r="J408" i="2"/>
  <c r="L404" i="2"/>
  <c r="K404" i="2"/>
  <c r="J404" i="2"/>
  <c r="L400" i="2"/>
  <c r="K400" i="2"/>
  <c r="J400" i="2"/>
  <c r="L396" i="2"/>
  <c r="K396" i="2"/>
  <c r="J396" i="2"/>
  <c r="L392" i="2"/>
  <c r="K392" i="2"/>
  <c r="J392" i="2"/>
  <c r="L388" i="2"/>
  <c r="K388" i="2"/>
  <c r="J388" i="2"/>
  <c r="L384" i="2"/>
  <c r="K384" i="2"/>
  <c r="J384" i="2"/>
  <c r="L380" i="2"/>
  <c r="K380" i="2"/>
  <c r="J380" i="2"/>
  <c r="L376" i="2"/>
  <c r="K376" i="2"/>
  <c r="J376" i="2"/>
  <c r="L372" i="2"/>
  <c r="K372" i="2"/>
  <c r="J372" i="2"/>
  <c r="L368" i="2"/>
  <c r="K368" i="2"/>
  <c r="J368" i="2"/>
  <c r="L364" i="2"/>
  <c r="K364" i="2"/>
  <c r="J364" i="2"/>
  <c r="L360" i="2"/>
  <c r="K360" i="2"/>
  <c r="J360" i="2"/>
  <c r="L356" i="2"/>
  <c r="K356" i="2"/>
  <c r="J356" i="2"/>
  <c r="L352" i="2"/>
  <c r="K352" i="2"/>
  <c r="J352" i="2"/>
  <c r="L348" i="2"/>
  <c r="K348" i="2"/>
  <c r="J348" i="2"/>
  <c r="L344" i="2"/>
  <c r="K344" i="2"/>
  <c r="J344" i="2"/>
  <c r="L340" i="2"/>
  <c r="K340" i="2"/>
  <c r="J340" i="2"/>
  <c r="L336" i="2"/>
  <c r="K336" i="2"/>
  <c r="J336" i="2"/>
  <c r="L332" i="2"/>
  <c r="K332" i="2"/>
  <c r="J332" i="2"/>
  <c r="L328" i="2"/>
  <c r="K328" i="2"/>
  <c r="J328" i="2"/>
  <c r="L324" i="2"/>
  <c r="K324" i="2"/>
  <c r="J324" i="2"/>
  <c r="L320" i="2"/>
  <c r="K320" i="2"/>
  <c r="J320" i="2"/>
  <c r="L316" i="2"/>
  <c r="K316" i="2"/>
  <c r="J316" i="2"/>
  <c r="L312" i="2"/>
  <c r="K312" i="2"/>
  <c r="J312" i="2"/>
  <c r="L308" i="2"/>
  <c r="K308" i="2"/>
  <c r="J308" i="2"/>
  <c r="L304" i="2"/>
  <c r="K304" i="2"/>
  <c r="J304" i="2"/>
  <c r="L300" i="2"/>
  <c r="K300" i="2"/>
  <c r="J300" i="2"/>
  <c r="L296" i="2"/>
  <c r="K296" i="2"/>
  <c r="J296" i="2"/>
  <c r="L292" i="2"/>
  <c r="K292" i="2"/>
  <c r="J292" i="2"/>
  <c r="L288" i="2"/>
  <c r="K288" i="2"/>
  <c r="J288" i="2"/>
  <c r="L284" i="2"/>
  <c r="K284" i="2"/>
  <c r="J284" i="2"/>
  <c r="L280" i="2"/>
  <c r="K280" i="2"/>
  <c r="J280" i="2"/>
  <c r="L276" i="2"/>
  <c r="K276" i="2"/>
  <c r="J276" i="2"/>
  <c r="L272" i="2"/>
  <c r="K272" i="2"/>
  <c r="J272" i="2"/>
  <c r="L268" i="2"/>
  <c r="K268" i="2"/>
  <c r="J268" i="2"/>
  <c r="L264" i="2"/>
  <c r="K264" i="2"/>
  <c r="J264" i="2"/>
  <c r="L260" i="2"/>
  <c r="K260" i="2"/>
  <c r="J260" i="2"/>
  <c r="L256" i="2"/>
  <c r="K256" i="2"/>
  <c r="J256" i="2"/>
  <c r="L252" i="2"/>
  <c r="K252" i="2"/>
  <c r="J252" i="2"/>
  <c r="L248" i="2"/>
  <c r="K248" i="2"/>
  <c r="J248" i="2"/>
  <c r="L244" i="2"/>
  <c r="K244" i="2"/>
  <c r="J244" i="2"/>
  <c r="L240" i="2"/>
  <c r="K240" i="2"/>
  <c r="J240" i="2"/>
  <c r="L236" i="2"/>
  <c r="K236" i="2"/>
  <c r="J236" i="2"/>
  <c r="L232" i="2"/>
  <c r="K232" i="2"/>
  <c r="J232" i="2"/>
  <c r="L228" i="2"/>
  <c r="K228" i="2"/>
  <c r="J228" i="2"/>
  <c r="L224" i="2"/>
  <c r="K224" i="2"/>
  <c r="J224" i="2"/>
  <c r="L220" i="2"/>
  <c r="K220" i="2"/>
  <c r="J220" i="2"/>
  <c r="L216" i="2"/>
  <c r="K216" i="2"/>
  <c r="J216" i="2"/>
  <c r="L212" i="2"/>
  <c r="K212" i="2"/>
  <c r="J212" i="2"/>
  <c r="L208" i="2"/>
  <c r="K208" i="2"/>
  <c r="J208" i="2"/>
  <c r="L204" i="2"/>
  <c r="K204" i="2"/>
  <c r="J204" i="2"/>
  <c r="L200" i="2"/>
  <c r="K200" i="2"/>
  <c r="J200" i="2"/>
  <c r="L196" i="2"/>
  <c r="K196" i="2"/>
  <c r="J196" i="2"/>
  <c r="L192" i="2"/>
  <c r="K192" i="2"/>
  <c r="J192" i="2"/>
  <c r="L188" i="2"/>
  <c r="K188" i="2"/>
  <c r="J188" i="2"/>
  <c r="L606" i="2"/>
  <c r="K606" i="2"/>
  <c r="J606" i="2"/>
  <c r="L611" i="2"/>
  <c r="K611" i="2"/>
  <c r="J611" i="2"/>
  <c r="L607" i="2"/>
  <c r="K607" i="2"/>
  <c r="J607" i="2"/>
  <c r="L603" i="2"/>
  <c r="K603" i="2"/>
  <c r="J603" i="2"/>
  <c r="L599" i="2"/>
  <c r="K599" i="2"/>
  <c r="J599" i="2"/>
  <c r="L595" i="2"/>
  <c r="K595" i="2"/>
  <c r="J595" i="2"/>
  <c r="L591" i="2"/>
  <c r="K591" i="2"/>
  <c r="J591" i="2"/>
  <c r="L587" i="2"/>
  <c r="K587" i="2"/>
  <c r="J587" i="2"/>
  <c r="L583" i="2"/>
  <c r="K583" i="2"/>
  <c r="J583" i="2"/>
  <c r="L579" i="2"/>
  <c r="K579" i="2"/>
  <c r="J579" i="2"/>
  <c r="L575" i="2"/>
  <c r="K575" i="2"/>
  <c r="J575" i="2"/>
  <c r="L571" i="2"/>
  <c r="K571" i="2"/>
  <c r="J571" i="2"/>
  <c r="L567" i="2"/>
  <c r="K567" i="2"/>
  <c r="J567" i="2"/>
  <c r="L563" i="2"/>
  <c r="K563" i="2"/>
  <c r="J563" i="2"/>
  <c r="L559" i="2"/>
  <c r="K559" i="2"/>
  <c r="J559" i="2"/>
  <c r="L555" i="2"/>
  <c r="K555" i="2"/>
  <c r="J555" i="2"/>
  <c r="L551" i="2"/>
  <c r="K551" i="2"/>
  <c r="J551" i="2"/>
  <c r="L547" i="2"/>
  <c r="K547" i="2"/>
  <c r="J547" i="2"/>
  <c r="L543" i="2"/>
  <c r="K543" i="2"/>
  <c r="J543" i="2"/>
  <c r="L539" i="2"/>
  <c r="K539" i="2"/>
  <c r="J539" i="2"/>
  <c r="L535" i="2"/>
  <c r="K535" i="2"/>
  <c r="J535" i="2"/>
  <c r="L531" i="2"/>
  <c r="K531" i="2"/>
  <c r="J531" i="2"/>
  <c r="L527" i="2"/>
  <c r="K527" i="2"/>
  <c r="J527" i="2"/>
  <c r="L523" i="2"/>
  <c r="K523" i="2"/>
  <c r="J523" i="2"/>
  <c r="L519" i="2"/>
  <c r="K519" i="2"/>
  <c r="J519" i="2"/>
  <c r="L515" i="2"/>
  <c r="K515" i="2"/>
  <c r="J515" i="2"/>
  <c r="L511" i="2"/>
  <c r="K511" i="2"/>
  <c r="J511" i="2"/>
  <c r="L507" i="2"/>
  <c r="K507" i="2"/>
  <c r="J507" i="2"/>
  <c r="L503" i="2"/>
  <c r="K503" i="2"/>
  <c r="J503" i="2"/>
  <c r="L499" i="2"/>
  <c r="K499" i="2"/>
  <c r="J499" i="2"/>
  <c r="L495" i="2"/>
  <c r="K495" i="2"/>
  <c r="J495" i="2"/>
  <c r="L491" i="2"/>
  <c r="K491" i="2"/>
  <c r="J491" i="2"/>
  <c r="L487" i="2"/>
  <c r="K487" i="2"/>
  <c r="J487" i="2"/>
  <c r="L483" i="2"/>
  <c r="K483" i="2"/>
  <c r="J483" i="2"/>
  <c r="L479" i="2"/>
  <c r="K479" i="2"/>
  <c r="J479" i="2"/>
  <c r="L475" i="2"/>
  <c r="K475" i="2"/>
  <c r="J475" i="2"/>
  <c r="L471" i="2"/>
  <c r="K471" i="2"/>
  <c r="J471" i="2"/>
  <c r="L467" i="2"/>
  <c r="K467" i="2"/>
  <c r="J467" i="2"/>
  <c r="L463" i="2"/>
  <c r="K463" i="2"/>
  <c r="J463" i="2"/>
  <c r="L459" i="2"/>
  <c r="K459" i="2"/>
  <c r="J459" i="2"/>
  <c r="L455" i="2"/>
  <c r="K455" i="2"/>
  <c r="J455" i="2"/>
  <c r="L451" i="2"/>
  <c r="K451" i="2"/>
  <c r="J451" i="2"/>
  <c r="L447" i="2"/>
  <c r="K447" i="2"/>
  <c r="J447" i="2"/>
  <c r="L443" i="2"/>
  <c r="K443" i="2"/>
  <c r="J443" i="2"/>
  <c r="L439" i="2"/>
  <c r="K439" i="2"/>
  <c r="J439" i="2"/>
  <c r="L435" i="2"/>
  <c r="K435" i="2"/>
  <c r="J435" i="2"/>
  <c r="L431" i="2"/>
  <c r="K431" i="2"/>
  <c r="J431" i="2"/>
  <c r="L427" i="2"/>
  <c r="K427" i="2"/>
  <c r="J427" i="2"/>
  <c r="L423" i="2"/>
  <c r="K423" i="2"/>
  <c r="J423" i="2"/>
  <c r="L419" i="2"/>
  <c r="K419" i="2"/>
  <c r="J419" i="2"/>
  <c r="L415" i="2"/>
  <c r="K415" i="2"/>
  <c r="J415" i="2"/>
  <c r="L411" i="2"/>
  <c r="K411" i="2"/>
  <c r="J411" i="2"/>
  <c r="L407" i="2"/>
  <c r="K407" i="2"/>
  <c r="J407" i="2"/>
  <c r="L403" i="2"/>
  <c r="K403" i="2"/>
  <c r="J403" i="2"/>
  <c r="L399" i="2"/>
  <c r="K399" i="2"/>
  <c r="J399" i="2"/>
  <c r="L395" i="2"/>
  <c r="K395" i="2"/>
  <c r="J395" i="2"/>
  <c r="L391" i="2"/>
  <c r="K391" i="2"/>
  <c r="J391" i="2"/>
  <c r="L387" i="2"/>
  <c r="K387" i="2"/>
  <c r="J387" i="2"/>
  <c r="L383" i="2"/>
  <c r="K383" i="2"/>
  <c r="J383" i="2"/>
  <c r="L379" i="2"/>
  <c r="K379" i="2"/>
  <c r="J379" i="2"/>
  <c r="L375" i="2"/>
  <c r="K375" i="2"/>
  <c r="J375" i="2"/>
  <c r="L371" i="2"/>
  <c r="K371" i="2"/>
  <c r="J371" i="2"/>
  <c r="L367" i="2"/>
  <c r="K367" i="2"/>
  <c r="J367" i="2"/>
  <c r="L363" i="2"/>
  <c r="K363" i="2"/>
  <c r="J363" i="2"/>
  <c r="L359" i="2"/>
  <c r="K359" i="2"/>
  <c r="J359" i="2"/>
  <c r="L355" i="2"/>
  <c r="K355" i="2"/>
  <c r="J355" i="2"/>
  <c r="L351" i="2"/>
  <c r="K351" i="2"/>
  <c r="J351" i="2"/>
  <c r="L347" i="2"/>
  <c r="K347" i="2"/>
  <c r="J347" i="2"/>
  <c r="L343" i="2"/>
  <c r="K343" i="2"/>
  <c r="J343" i="2"/>
  <c r="L339" i="2"/>
  <c r="K339" i="2"/>
  <c r="J339" i="2"/>
  <c r="L335" i="2"/>
  <c r="K335" i="2"/>
  <c r="J335" i="2"/>
  <c r="L331" i="2"/>
  <c r="K331" i="2"/>
  <c r="J331" i="2"/>
  <c r="L327" i="2"/>
  <c r="K327" i="2"/>
  <c r="J327" i="2"/>
  <c r="L323" i="2"/>
  <c r="K323" i="2"/>
  <c r="J323" i="2"/>
  <c r="L319" i="2"/>
  <c r="K319" i="2"/>
  <c r="J319" i="2"/>
  <c r="L315" i="2"/>
  <c r="K315" i="2"/>
  <c r="J315" i="2"/>
  <c r="L311" i="2"/>
  <c r="K311" i="2"/>
  <c r="J311" i="2"/>
  <c r="L307" i="2"/>
  <c r="K307" i="2"/>
  <c r="J307" i="2"/>
  <c r="L303" i="2"/>
  <c r="K303" i="2"/>
  <c r="J303" i="2"/>
  <c r="L299" i="2"/>
  <c r="K299" i="2"/>
  <c r="J299" i="2"/>
  <c r="L295" i="2"/>
  <c r="K295" i="2"/>
  <c r="J295" i="2"/>
  <c r="L291" i="2"/>
  <c r="K291" i="2"/>
  <c r="J291" i="2"/>
  <c r="L287" i="2"/>
  <c r="K287" i="2"/>
  <c r="J287" i="2"/>
  <c r="L283" i="2"/>
  <c r="K283" i="2"/>
  <c r="J283" i="2"/>
  <c r="L279" i="2"/>
  <c r="K279" i="2"/>
  <c r="J279" i="2"/>
  <c r="L275" i="2"/>
  <c r="K275" i="2"/>
  <c r="J275" i="2"/>
  <c r="L271" i="2"/>
  <c r="K271" i="2"/>
  <c r="J271" i="2"/>
  <c r="L267" i="2"/>
  <c r="K267" i="2"/>
  <c r="J267" i="2"/>
  <c r="L263" i="2"/>
  <c r="K263" i="2"/>
  <c r="J263" i="2"/>
  <c r="L259" i="2"/>
  <c r="K259" i="2"/>
  <c r="J259" i="2"/>
  <c r="L255" i="2"/>
  <c r="K255" i="2"/>
  <c r="J255" i="2"/>
  <c r="L251" i="2"/>
  <c r="K251" i="2"/>
  <c r="J251" i="2"/>
  <c r="L247" i="2"/>
  <c r="K247" i="2"/>
  <c r="J247" i="2"/>
  <c r="L243" i="2"/>
  <c r="K243" i="2"/>
  <c r="J243" i="2"/>
  <c r="L239" i="2"/>
  <c r="K239" i="2"/>
  <c r="J239" i="2"/>
  <c r="L235" i="2"/>
  <c r="K235" i="2"/>
  <c r="J235" i="2"/>
  <c r="L231" i="2"/>
  <c r="K231" i="2"/>
  <c r="J231" i="2"/>
  <c r="L227" i="2"/>
  <c r="K227" i="2"/>
  <c r="J227" i="2"/>
  <c r="L223" i="2"/>
  <c r="K223" i="2"/>
  <c r="J223" i="2"/>
  <c r="L219" i="2"/>
  <c r="K219" i="2"/>
  <c r="J219" i="2"/>
  <c r="L215" i="2"/>
  <c r="K215" i="2"/>
  <c r="J215" i="2"/>
  <c r="L211" i="2"/>
  <c r="K211" i="2"/>
  <c r="J211" i="2"/>
  <c r="L207" i="2"/>
  <c r="K207" i="2"/>
  <c r="J207" i="2"/>
  <c r="L203" i="2"/>
  <c r="K203" i="2"/>
  <c r="J203" i="2"/>
  <c r="L199" i="2"/>
  <c r="K199" i="2"/>
  <c r="J199" i="2"/>
  <c r="L195" i="2"/>
  <c r="K195" i="2"/>
  <c r="J195" i="2"/>
  <c r="L191" i="2"/>
  <c r="K191" i="2"/>
  <c r="J191" i="2"/>
  <c r="L184" i="2"/>
  <c r="K184" i="2"/>
  <c r="L180" i="2"/>
  <c r="K180" i="2"/>
  <c r="L176" i="2"/>
  <c r="K176" i="2"/>
  <c r="L172" i="2"/>
  <c r="K172" i="2"/>
  <c r="L168" i="2"/>
  <c r="K168" i="2"/>
  <c r="L164" i="2"/>
  <c r="K164" i="2"/>
  <c r="L160" i="2"/>
  <c r="K160" i="2"/>
  <c r="L156" i="2"/>
  <c r="K156" i="2"/>
  <c r="L152" i="2"/>
  <c r="K152" i="2"/>
  <c r="L148" i="2"/>
  <c r="K148" i="2"/>
  <c r="L144" i="2"/>
  <c r="K144" i="2"/>
  <c r="L140" i="2"/>
  <c r="K140" i="2"/>
  <c r="L136" i="2"/>
  <c r="K136" i="2"/>
  <c r="L132" i="2"/>
  <c r="K132" i="2"/>
  <c r="L128" i="2"/>
  <c r="K128" i="2"/>
  <c r="L124" i="2"/>
  <c r="K124" i="2"/>
  <c r="L120" i="2"/>
  <c r="K120" i="2"/>
  <c r="L116" i="2"/>
  <c r="K116" i="2"/>
  <c r="L112" i="2"/>
  <c r="K112" i="2"/>
  <c r="L108" i="2"/>
  <c r="K108" i="2"/>
  <c r="L104" i="2"/>
  <c r="K104" i="2"/>
  <c r="L100" i="2"/>
  <c r="K100" i="2"/>
  <c r="L96" i="2"/>
  <c r="K96" i="2"/>
  <c r="L92" i="2"/>
  <c r="K92" i="2"/>
  <c r="L88" i="2"/>
  <c r="K88" i="2"/>
  <c r="L84" i="2"/>
  <c r="K84" i="2"/>
  <c r="L80" i="2"/>
  <c r="K80" i="2"/>
  <c r="L76" i="2"/>
  <c r="K76" i="2"/>
  <c r="L72" i="2"/>
  <c r="K72" i="2"/>
  <c r="L68" i="2"/>
  <c r="K68" i="2"/>
  <c r="L64" i="2"/>
  <c r="K64" i="2"/>
  <c r="L60" i="2"/>
  <c r="K60" i="2"/>
  <c r="L56" i="2"/>
  <c r="K56" i="2"/>
  <c r="L52" i="2"/>
  <c r="K52" i="2"/>
  <c r="L48" i="2"/>
  <c r="K48" i="2"/>
  <c r="L44" i="2"/>
  <c r="K44" i="2"/>
  <c r="L40" i="2"/>
  <c r="K40" i="2"/>
  <c r="L36" i="2"/>
  <c r="K36" i="2"/>
  <c r="L32" i="2"/>
  <c r="K32" i="2"/>
  <c r="L28" i="2"/>
  <c r="K28" i="2"/>
  <c r="L24" i="2"/>
  <c r="K24" i="2"/>
  <c r="L20" i="2"/>
  <c r="K20" i="2"/>
  <c r="L16" i="2"/>
  <c r="K16" i="2"/>
  <c r="L12" i="2"/>
  <c r="K12" i="2"/>
  <c r="L8" i="2"/>
  <c r="K8" i="2"/>
  <c r="L4" i="2"/>
  <c r="K4" i="2"/>
  <c r="J44" i="2"/>
  <c r="J36" i="2"/>
  <c r="J28" i="2"/>
  <c r="J20" i="2"/>
  <c r="J12" i="2"/>
  <c r="J4" i="2"/>
  <c r="L187" i="2"/>
  <c r="K187" i="2"/>
  <c r="L183" i="2"/>
  <c r="K183" i="2"/>
  <c r="L179" i="2"/>
  <c r="K179" i="2"/>
  <c r="L175" i="2"/>
  <c r="K175" i="2"/>
  <c r="L171" i="2"/>
  <c r="K171" i="2"/>
  <c r="L167" i="2"/>
  <c r="K167" i="2"/>
  <c r="L163" i="2"/>
  <c r="K163" i="2"/>
  <c r="L159" i="2"/>
  <c r="K159" i="2"/>
  <c r="L155" i="2"/>
  <c r="K155" i="2"/>
  <c r="L151" i="2"/>
  <c r="K151" i="2"/>
  <c r="L147" i="2"/>
  <c r="K147" i="2"/>
  <c r="L143" i="2"/>
  <c r="K143" i="2"/>
  <c r="L139" i="2"/>
  <c r="K139" i="2"/>
  <c r="L135" i="2"/>
  <c r="K135" i="2"/>
  <c r="L131" i="2"/>
  <c r="K131" i="2"/>
  <c r="L127" i="2"/>
  <c r="K127" i="2"/>
  <c r="L123" i="2"/>
  <c r="K123" i="2"/>
  <c r="L119" i="2"/>
  <c r="K119" i="2"/>
  <c r="L115" i="2"/>
  <c r="K115" i="2"/>
  <c r="L111" i="2"/>
  <c r="K111" i="2"/>
  <c r="L107" i="2"/>
  <c r="K107" i="2"/>
  <c r="L103" i="2"/>
  <c r="K103" i="2"/>
  <c r="L99" i="2"/>
  <c r="K99" i="2"/>
  <c r="L95" i="2"/>
  <c r="K95" i="2"/>
  <c r="L91" i="2"/>
  <c r="K91" i="2"/>
  <c r="L87" i="2"/>
  <c r="K87" i="2"/>
  <c r="L83" i="2"/>
  <c r="K83" i="2"/>
  <c r="L79" i="2"/>
  <c r="K79" i="2"/>
  <c r="L75" i="2"/>
  <c r="K75" i="2"/>
  <c r="L71" i="2"/>
  <c r="K71" i="2"/>
  <c r="L67" i="2"/>
  <c r="K67" i="2"/>
  <c r="L63" i="2"/>
  <c r="K63" i="2"/>
  <c r="L59" i="2"/>
  <c r="K59" i="2"/>
  <c r="L55" i="2"/>
  <c r="K55" i="2"/>
  <c r="L51" i="2"/>
  <c r="K51" i="2"/>
  <c r="L47" i="2"/>
  <c r="K47" i="2"/>
  <c r="J47" i="2"/>
  <c r="L43" i="2"/>
  <c r="K43" i="2"/>
  <c r="J43" i="2"/>
  <c r="L39" i="2"/>
  <c r="K39" i="2"/>
  <c r="J39" i="2"/>
  <c r="L35" i="2"/>
  <c r="K35" i="2"/>
  <c r="J35" i="2"/>
  <c r="L31" i="2"/>
  <c r="K31" i="2"/>
  <c r="J31" i="2"/>
  <c r="L27" i="2"/>
  <c r="K27" i="2"/>
  <c r="J27" i="2"/>
  <c r="L23" i="2"/>
  <c r="K23" i="2"/>
  <c r="J23" i="2"/>
  <c r="L19" i="2"/>
  <c r="K19" i="2"/>
  <c r="J19" i="2"/>
  <c r="L15" i="2"/>
  <c r="K15" i="2"/>
  <c r="J15" i="2"/>
  <c r="L11" i="2"/>
  <c r="K11" i="2"/>
  <c r="J11" i="2"/>
  <c r="L7" i="2"/>
  <c r="K7" i="2"/>
  <c r="J7" i="2"/>
  <c r="L3" i="2"/>
  <c r="K3" i="2"/>
  <c r="J3" i="2"/>
  <c r="L182" i="2"/>
  <c r="K182" i="2"/>
  <c r="L178" i="2"/>
  <c r="K178" i="2"/>
  <c r="L174" i="2"/>
  <c r="K174" i="2"/>
  <c r="L170" i="2"/>
  <c r="K170" i="2"/>
  <c r="L166" i="2"/>
  <c r="K166" i="2"/>
  <c r="L162" i="2"/>
  <c r="K162" i="2"/>
  <c r="L158" i="2"/>
  <c r="K158" i="2"/>
  <c r="L154" i="2"/>
  <c r="K154" i="2"/>
  <c r="L150" i="2"/>
  <c r="K150" i="2"/>
  <c r="K146" i="2"/>
  <c r="L146" i="2"/>
  <c r="L142" i="2"/>
  <c r="K142" i="2"/>
  <c r="L138" i="2"/>
  <c r="K138" i="2"/>
  <c r="L134" i="2"/>
  <c r="K134" i="2"/>
  <c r="K130" i="2"/>
  <c r="L130" i="2"/>
  <c r="L126" i="2"/>
  <c r="K126" i="2"/>
  <c r="L122" i="2"/>
  <c r="K122" i="2"/>
  <c r="L118" i="2"/>
  <c r="K118" i="2"/>
  <c r="L114" i="2"/>
  <c r="K114" i="2"/>
  <c r="L110" i="2"/>
  <c r="K110" i="2"/>
  <c r="L106" i="2"/>
  <c r="K106" i="2"/>
  <c r="L102" i="2"/>
  <c r="K102" i="2"/>
  <c r="L98" i="2"/>
  <c r="K98" i="2"/>
  <c r="L94" i="2"/>
  <c r="K94" i="2"/>
  <c r="L90" i="2"/>
  <c r="K90" i="2"/>
  <c r="L86" i="2"/>
  <c r="K86" i="2"/>
  <c r="K82" i="2"/>
  <c r="L82" i="2"/>
  <c r="L78" i="2"/>
  <c r="K78" i="2"/>
  <c r="L74" i="2"/>
  <c r="K74" i="2"/>
  <c r="L70" i="2"/>
  <c r="K70" i="2"/>
  <c r="K66" i="2"/>
  <c r="L66" i="2"/>
  <c r="L62" i="2"/>
  <c r="K62" i="2"/>
  <c r="L58" i="2"/>
  <c r="K58" i="2"/>
  <c r="L54" i="2"/>
  <c r="K54" i="2"/>
  <c r="L50" i="2"/>
  <c r="K50" i="2"/>
  <c r="L46" i="2"/>
  <c r="K46" i="2"/>
  <c r="L42" i="2"/>
  <c r="K42" i="2"/>
  <c r="L38" i="2"/>
  <c r="K38" i="2"/>
  <c r="L34" i="2"/>
  <c r="K34" i="2"/>
  <c r="L30" i="2"/>
  <c r="K30" i="2"/>
  <c r="L26" i="2"/>
  <c r="K26" i="2"/>
  <c r="L22" i="2"/>
  <c r="K22" i="2"/>
  <c r="L18" i="2"/>
  <c r="K18" i="2"/>
  <c r="L14" i="2"/>
  <c r="K14" i="2"/>
  <c r="L10" i="2"/>
  <c r="K10" i="2"/>
  <c r="L6" i="2"/>
  <c r="K6" i="2"/>
  <c r="J184" i="2"/>
  <c r="J180" i="2"/>
  <c r="J176" i="2"/>
  <c r="J172" i="2"/>
  <c r="J168" i="2"/>
  <c r="J164" i="2"/>
  <c r="J160" i="2"/>
  <c r="J156" i="2"/>
  <c r="J152" i="2"/>
  <c r="J148" i="2"/>
  <c r="J144" i="2"/>
  <c r="J140" i="2"/>
  <c r="J136" i="2"/>
  <c r="J132" i="2"/>
  <c r="J128" i="2"/>
  <c r="J124" i="2"/>
  <c r="J120" i="2"/>
  <c r="J116" i="2"/>
  <c r="J112" i="2"/>
  <c r="J108" i="2"/>
  <c r="J104" i="2"/>
  <c r="J100" i="2"/>
  <c r="J96" i="2"/>
  <c r="J92" i="2"/>
  <c r="J88" i="2"/>
  <c r="J84" i="2"/>
  <c r="J80" i="2"/>
  <c r="J76" i="2"/>
  <c r="J72" i="2"/>
  <c r="J68" i="2"/>
  <c r="J64" i="2"/>
  <c r="J60" i="2"/>
  <c r="J56" i="2"/>
  <c r="J52" i="2"/>
  <c r="J48" i="2"/>
  <c r="J40" i="2"/>
  <c r="J32" i="2"/>
  <c r="J24" i="2"/>
  <c r="J16" i="2"/>
  <c r="J8" i="2"/>
  <c r="L181" i="2"/>
  <c r="K181" i="2"/>
  <c r="L177" i="2"/>
  <c r="K177" i="2"/>
  <c r="L173" i="2"/>
  <c r="K173" i="2"/>
  <c r="L169" i="2"/>
  <c r="K169" i="2"/>
  <c r="L165" i="2"/>
  <c r="K165" i="2"/>
  <c r="L161" i="2"/>
  <c r="K161" i="2"/>
  <c r="L157" i="2"/>
  <c r="K157" i="2"/>
  <c r="L153" i="2"/>
  <c r="K153" i="2"/>
  <c r="L149" i="2"/>
  <c r="K149" i="2"/>
  <c r="L145" i="2"/>
  <c r="K145" i="2"/>
  <c r="L141" i="2"/>
  <c r="K141" i="2"/>
  <c r="L137" i="2"/>
  <c r="K137" i="2"/>
  <c r="L133" i="2"/>
  <c r="K133" i="2"/>
  <c r="L129" i="2"/>
  <c r="K129" i="2"/>
  <c r="L125" i="2"/>
  <c r="K125" i="2"/>
  <c r="L121" i="2"/>
  <c r="K121" i="2"/>
  <c r="L117" i="2"/>
  <c r="K117" i="2"/>
  <c r="L113" i="2"/>
  <c r="K113" i="2"/>
  <c r="L109" i="2"/>
  <c r="K109" i="2"/>
  <c r="L105" i="2"/>
  <c r="K105" i="2"/>
  <c r="L101" i="2"/>
  <c r="K101" i="2"/>
  <c r="L97" i="2"/>
  <c r="K97" i="2"/>
  <c r="L93" i="2"/>
  <c r="K93" i="2"/>
  <c r="L89" i="2"/>
  <c r="K89" i="2"/>
  <c r="L85" i="2"/>
  <c r="K85" i="2"/>
  <c r="L81" i="2"/>
  <c r="K81" i="2"/>
  <c r="L77" i="2"/>
  <c r="K77" i="2"/>
  <c r="L73" i="2"/>
  <c r="K73" i="2"/>
  <c r="L69" i="2"/>
  <c r="K69" i="2"/>
  <c r="L65" i="2"/>
  <c r="K65" i="2"/>
  <c r="L61" i="2"/>
  <c r="K61" i="2"/>
  <c r="L57" i="2"/>
  <c r="K57" i="2"/>
  <c r="L53" i="2"/>
  <c r="K53" i="2"/>
  <c r="L49" i="2"/>
  <c r="K49" i="2"/>
  <c r="L45" i="2"/>
  <c r="K45" i="2"/>
  <c r="J45" i="2"/>
  <c r="L41" i="2"/>
  <c r="K41" i="2"/>
  <c r="J41" i="2"/>
  <c r="L37" i="2"/>
  <c r="K37" i="2"/>
  <c r="J37" i="2"/>
  <c r="L33" i="2"/>
  <c r="K33" i="2"/>
  <c r="J33" i="2"/>
  <c r="L29" i="2"/>
  <c r="K29" i="2"/>
  <c r="J29" i="2"/>
  <c r="L25" i="2"/>
  <c r="K25" i="2"/>
  <c r="J25" i="2"/>
  <c r="L21" i="2"/>
  <c r="K21" i="2"/>
  <c r="J21" i="2"/>
  <c r="L17" i="2"/>
  <c r="K17" i="2"/>
  <c r="J17" i="2"/>
  <c r="L13" i="2"/>
  <c r="K13" i="2"/>
  <c r="J13" i="2"/>
  <c r="L9" i="2"/>
  <c r="K9" i="2"/>
  <c r="J9" i="2"/>
  <c r="L5" i="2"/>
  <c r="K5" i="2"/>
  <c r="J5" i="2"/>
  <c r="J187" i="2"/>
  <c r="J183" i="2"/>
  <c r="J179" i="2"/>
  <c r="J175" i="2"/>
  <c r="J171" i="2"/>
  <c r="J167" i="2"/>
  <c r="J163" i="2"/>
  <c r="J159" i="2"/>
  <c r="J155" i="2"/>
  <c r="J151" i="2"/>
  <c r="J147" i="2"/>
  <c r="J143" i="2"/>
  <c r="J139" i="2"/>
  <c r="J135" i="2"/>
  <c r="J131" i="2"/>
  <c r="J127" i="2"/>
  <c r="J123" i="2"/>
  <c r="J119" i="2"/>
  <c r="J115" i="2"/>
  <c r="J111" i="2"/>
  <c r="J107" i="2"/>
  <c r="J103" i="2"/>
  <c r="J99" i="2"/>
  <c r="J95" i="2"/>
  <c r="J91" i="2"/>
  <c r="J87" i="2"/>
  <c r="J83" i="2"/>
  <c r="J79" i="2"/>
  <c r="J75" i="2"/>
  <c r="J71" i="2"/>
  <c r="J67" i="2"/>
  <c r="J63" i="2"/>
  <c r="J59" i="2"/>
  <c r="J55" i="2"/>
  <c r="J51" i="2"/>
  <c r="J46" i="2"/>
  <c r="J38" i="2"/>
  <c r="J30" i="2"/>
  <c r="J22" i="2"/>
  <c r="J14" i="2"/>
  <c r="J6" i="2"/>
  <c r="R5" i="1" l="1"/>
  <c r="R4" i="1"/>
  <c r="R3" i="1"/>
  <c r="R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2F986B-FD07-4FC3-B520-5A05AE14495D}"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2" xr16:uid="{63701C1D-08DB-4C45-B43F-B30B90A80778}" keepAlive="1" name="Query - Sheet4" description="Connection to the 'Sheet4' query in the workbook." type="5" refreshedVersion="6" background="1" saveData="1">
    <dbPr connection="Provider=Microsoft.Mashup.OleDb.1;Data Source=$Workbook$;Location=Sheet4;Extended Properties=&quot;&quot;" command="SELECT * FROM [Sheet4]"/>
  </connection>
  <connection id="3" xr16:uid="{CCD7BBFF-C10B-4C19-A8F8-188DA7279FFB}" keepAlive="1" name="Query - Sheet4 (2)" description="Connection to the 'Sheet4 (2)' query in the workbook." type="5" refreshedVersion="6" background="1" saveData="1">
    <dbPr connection="Provider=Microsoft.Mashup.OleDb.1;Data Source=$Workbook$;Location=&quot;Sheet4 (2)&quot;;Extended Properties=&quot;&quot;" command="SELECT * FROM [Sheet4 (2)]"/>
  </connection>
  <connection id="4" xr16:uid="{73D4B3D8-C6BE-41E2-90E9-D3EF1E9A459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1068542-3D81-48D5-85D2-CD426950EBFF}" name="WorksheetConnection_Sheet2!$A$17:$D$22" type="102" refreshedVersion="6" minRefreshableVersion="5">
    <extLst>
      <ext xmlns:x15="http://schemas.microsoft.com/office/spreadsheetml/2010/11/main" uri="{DE250136-89BD-433C-8126-D09CA5730AF9}">
        <x15:connection id="Range">
          <x15:rangePr sourceName="_xlcn.WorksheetConnection_Sheet2A17D221"/>
        </x15:connection>
      </ext>
    </extLst>
  </connection>
</connections>
</file>

<file path=xl/sharedStrings.xml><?xml version="1.0" encoding="utf-8"?>
<sst xmlns="http://schemas.openxmlformats.org/spreadsheetml/2006/main" count="6426" uniqueCount="216">
  <si>
    <t>instant</t>
  </si>
  <si>
    <t>Date</t>
  </si>
  <si>
    <t>season</t>
  </si>
  <si>
    <t>Year</t>
  </si>
  <si>
    <t>Month</t>
  </si>
  <si>
    <t>Hours</t>
  </si>
  <si>
    <t>Holiday</t>
  </si>
  <si>
    <t>Weekday</t>
  </si>
  <si>
    <t>Wethers</t>
  </si>
  <si>
    <t>Temp</t>
  </si>
  <si>
    <t>atemp</t>
  </si>
  <si>
    <t>hum</t>
  </si>
  <si>
    <t>windspeed</t>
  </si>
  <si>
    <t>casual</t>
  </si>
  <si>
    <t>registered</t>
  </si>
  <si>
    <t>cnt</t>
  </si>
  <si>
    <t>dteday</t>
  </si>
  <si>
    <t>yr</t>
  </si>
  <si>
    <t>mnth</t>
  </si>
  <si>
    <t>hr</t>
  </si>
  <si>
    <t>holiday</t>
  </si>
  <si>
    <t>weekday</t>
  </si>
  <si>
    <t>weathersit</t>
  </si>
  <si>
    <t>temp</t>
  </si>
  <si>
    <t>Day</t>
  </si>
  <si>
    <t>Date lenth</t>
  </si>
  <si>
    <t>Formula</t>
  </si>
  <si>
    <t>Result</t>
  </si>
  <si>
    <t>Total Temp</t>
  </si>
  <si>
    <t>Avg Temp</t>
  </si>
  <si>
    <t>Record Count</t>
  </si>
  <si>
    <t>Holiday count</t>
  </si>
  <si>
    <t>Record ID</t>
  </si>
  <si>
    <t>Record Tag</t>
  </si>
  <si>
    <t>Prefix</t>
  </si>
  <si>
    <t>Tag Ending</t>
  </si>
  <si>
    <t>Tag lenth</t>
  </si>
  <si>
    <t>humudity</t>
  </si>
  <si>
    <t>Data Summary</t>
  </si>
  <si>
    <t>Total Riders</t>
  </si>
  <si>
    <t>Avgrage Riders</t>
  </si>
  <si>
    <t>Highest Rider count</t>
  </si>
  <si>
    <t>Date text</t>
  </si>
  <si>
    <t>Left day</t>
  </si>
  <si>
    <t>Right year</t>
  </si>
  <si>
    <t>Rental summary</t>
  </si>
  <si>
    <t>Highest rentals</t>
  </si>
  <si>
    <t>Total rental sum</t>
  </si>
  <si>
    <t>Avgarage rental</t>
  </si>
  <si>
    <t>Records count</t>
  </si>
  <si>
    <t>Text Function example</t>
  </si>
  <si>
    <t>Formatted first date</t>
  </si>
  <si>
    <t>Length</t>
  </si>
  <si>
    <t>Row Labels</t>
  </si>
  <si>
    <t>Grand Total</t>
  </si>
  <si>
    <t>(All)</t>
  </si>
  <si>
    <t>Sum of registered</t>
  </si>
  <si>
    <t>Sum of cnt</t>
  </si>
  <si>
    <t>Sum of casual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</si>
  <si>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</si>
  <si>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</si>
  <si>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</si>
  <si>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</si>
  <si>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</si>
  <si>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</si>
  <si>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</si>
  <si>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</si>
  <si>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</si>
  <si>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</si>
  <si>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</si>
  <si>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</si>
  <si>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</si>
  <si>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</si>
  <si>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</si>
  <si>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</si>
  <si>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</si>
  <si>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</si>
  <si>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</si>
  <si>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</si>
  <si>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</si>
  <si>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</si>
  <si>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</si>
  <si>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</si>
  <si>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</si>
  <si>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</si>
  <si>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</si>
  <si>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</si>
  <si>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</si>
  <si>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</si>
  <si>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</si>
  <si>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</si>
  <si>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</si>
  <si>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</si>
  <si>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</si>
  <si>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</si>
  <si>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</si>
  <si>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</si>
  <si>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</si>
  <si>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</si>
  <si>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</si>
  <si>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</si>
  <si>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</si>
  <si>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</si>
  <si>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</si>
  <si>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Jan</t>
  </si>
  <si>
    <t>Feb</t>
  </si>
  <si>
    <t>Saturday</t>
  </si>
  <si>
    <t>Sunday</t>
  </si>
  <si>
    <t>Monday</t>
  </si>
  <si>
    <t>Tuesday</t>
  </si>
  <si>
    <t>Wednesday</t>
  </si>
  <si>
    <t>Thrusday</t>
  </si>
  <si>
    <t>Friday</t>
  </si>
  <si>
    <t>Clear</t>
  </si>
  <si>
    <t>Mist</t>
  </si>
  <si>
    <t>Light rain/snow</t>
  </si>
  <si>
    <t>Heavy rain/snow</t>
  </si>
  <si>
    <t>TOTAL RIDES DEMAND</t>
  </si>
  <si>
    <t>AVG HOURLY DEMAND</t>
  </si>
  <si>
    <t>PEAK HOURLY DEMAND</t>
  </si>
  <si>
    <t>TOTAL OBSERVATIONS</t>
  </si>
  <si>
    <t>1. Demand Breakdown &amp; Calculated Metrics by User Type</t>
  </si>
  <si>
    <t>Metric / Indicator</t>
  </si>
  <si>
    <t>Casual Users</t>
  </si>
  <si>
    <t>Registered Users</t>
  </si>
  <si>
    <t>Total Demand</t>
  </si>
  <si>
    <t>Total Ride Volume</t>
  </si>
  <si>
    <t>Demand Share (%)</t>
  </si>
  <si>
    <t>Average Demand / Hour</t>
  </si>
  <si>
    <t>Std Deviation (STDEV.S)</t>
  </si>
  <si>
    <t>Casual-to-Registered Ratio</t>
  </si>
  <si>
    <t>-</t>
  </si>
  <si>
    <t>2. User Demand Summary by Weather Condition (SUMIF, COUNTIF, STDEV)</t>
  </si>
  <si>
    <t>Weather Condition</t>
  </si>
  <si>
    <t>Observations (Hrs)</t>
  </si>
  <si>
    <t>Casual Rides</t>
  </si>
  <si>
    <t>Registered Rides</t>
  </si>
  <si>
    <t>Avg Demand / Hr</t>
  </si>
  <si>
    <t>Total / Summary</t>
  </si>
  <si>
    <t>3. Hourly Demand Patterns (Time of Day 0–23 Hours)</t>
  </si>
  <si>
    <t>Hour of Day</t>
  </si>
  <si>
    <t>Hourly Obs</t>
  </si>
  <si>
    <t>Casual Demand</t>
  </si>
  <si>
    <t>Registered Demand</t>
  </si>
  <si>
    <t>Peak Hour Index</t>
  </si>
  <si>
    <t>4. Advanced Statistical Indicators &amp; Correlation Matrix (STDEV, CORREL, COUNTIF, SUMIF)</t>
  </si>
  <si>
    <t>Statistical Indicator / Relationship</t>
  </si>
  <si>
    <t>Formula Applied</t>
  </si>
  <si>
    <t>Calculated Result</t>
  </si>
  <si>
    <t>Analytical Insight</t>
  </si>
  <si>
    <t>Overall Demand Dispersion</t>
  </si>
  <si>
    <t>Casual Demand Dispersion</t>
  </si>
  <si>
    <t>Registered Demand Dispersion</t>
  </si>
  <si>
    <t>Temp vs Demand Correlation</t>
  </si>
  <si>
    <t>Feels-like Temp Correlation</t>
  </si>
  <si>
    <t>Humidity vs Demand Correlation</t>
  </si>
  <si>
    <t>Windspeed vs Demand Correlation</t>
  </si>
  <si>
    <t>Casual vs Registered Correlation</t>
  </si>
  <si>
    <t>High Demand Hours (&gt;100 Rides)</t>
  </si>
  <si>
    <t>High Demand Cumulative Volume</t>
  </si>
  <si>
    <t>High variability in hourly demand across peak vs off-peak hours</t>
  </si>
  <si>
    <t>Lower absolute variance; concentrated during afternoon hours</t>
  </si>
  <si>
    <t>Substantial variance driven by commute rush hours</t>
  </si>
  <si>
    <t>Positive correlation (+0.23); warmer weather increases demand</t>
  </si>
  <si>
    <t>Positive correlation (+0.20) with perceived temperature</t>
  </si>
  <si>
    <t>Negative correlation (-0.25); higher humidity reduces demand</t>
  </si>
  <si>
    <t>Slight positive correlation (+0.10) in winter dataset</t>
  </si>
  <si>
    <t>Moderate positive co-movement (+0.34) between user segments</t>
  </si>
  <si>
    <t>Number of hours exceeding peak volume threshold (100 rides)</t>
  </si>
  <si>
    <t>Total demand captured during peak operational hours</t>
  </si>
  <si>
    <t>BIKE SHARING USER DEMAND ANALYSIS DASHBOARD</t>
  </si>
  <si>
    <t>Rental Hours</t>
  </si>
  <si>
    <t>Season</t>
  </si>
  <si>
    <t>FALSE</t>
  </si>
  <si>
    <t>TRUE</t>
  </si>
  <si>
    <t>Holiday Vs Non-Holiday</t>
  </si>
  <si>
    <t>Weathers</t>
  </si>
  <si>
    <t>Sum of Hours</t>
  </si>
  <si>
    <t>TOTAL CASUAL USERS</t>
  </si>
  <si>
    <t xml:space="preserve"> </t>
  </si>
  <si>
    <t>Mean</t>
  </si>
  <si>
    <t>Standard Error</t>
  </si>
  <si>
    <t>Median</t>
  </si>
  <si>
    <t>Mode</t>
  </si>
  <si>
    <t>Standard Deviation</t>
  </si>
  <si>
    <t>Sample Variance</t>
  </si>
  <si>
    <t>Kurtosis</t>
  </si>
  <si>
    <t>Skewness</t>
  </si>
  <si>
    <t>Range</t>
  </si>
  <si>
    <t>Minimum</t>
  </si>
  <si>
    <t>Maximum</t>
  </si>
  <si>
    <t>Sum</t>
  </si>
  <si>
    <t>Count</t>
  </si>
  <si>
    <t>Largest(2)</t>
  </si>
  <si>
    <t>Smallest(2)</t>
  </si>
  <si>
    <t>Statistical Indicators Matrix</t>
  </si>
  <si>
    <t>Correlation Matrix</t>
  </si>
  <si>
    <t>Forecast(Sum of cnt)</t>
  </si>
  <si>
    <t>Lower Confidence Bound(Sum of cnt)</t>
  </si>
  <si>
    <t>Upper Confidence Bound(Sum of cnt)</t>
  </si>
  <si>
    <t xml:space="preserve">   </t>
  </si>
  <si>
    <t>Anomaly Detection</t>
  </si>
  <si>
    <t>Rental by hours  for Forecasting</t>
  </si>
  <si>
    <t>Q1</t>
  </si>
  <si>
    <t>Q0 (Mini Value)</t>
  </si>
  <si>
    <t>Q2</t>
  </si>
  <si>
    <t>Q3</t>
  </si>
  <si>
    <t>Q4(Max Value)</t>
  </si>
  <si>
    <t>IQR</t>
  </si>
  <si>
    <t>Lower Limit</t>
  </si>
  <si>
    <t>Upper Limit</t>
  </si>
  <si>
    <t>Rental</t>
  </si>
  <si>
    <t>Registered</t>
  </si>
  <si>
    <t>Casual</t>
  </si>
  <si>
    <t>Total Rental</t>
  </si>
  <si>
    <t>Registerted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</si>
</sst>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yyyy"/>
    <numFmt numFmtId="165" formatCode="0.0%"/>
    <numFmt numFmtId="166" formatCode="0.000"/>
    <numFmt numFmtId="167" formatCode="0.0"/>
  </numFmts>
  <fonts count="28" x14ac:knownFonts="1">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sz val="12"/>
      <color theme="1"/>
      <name val="Calibri"/>
      <family val="2"/>
      <scheme val="minor"/>
    </font>
    <font>
      <b/>
      <sz val="11"/>
      <color theme="1"/>
      <name val="Calibri"/>
      <family val="2"/>
      <scheme val="minor"/>
    </font>
    <font>
      <b/>
      <sz val="11"/>
      <color rgb="FFFFFFFF"/>
      <name val="Calibri"/>
      <family val="2"/>
    </font>
    <font>
      <sz val="11"/>
      <name val="Calibri"/>
      <family val="2"/>
    </font>
    <font>
      <b/>
      <sz val="12"/>
      <color rgb="FF1F4E78"/>
      <name val="Calibri"/>
      <family val="2"/>
    </font>
    <font>
      <b/>
      <sz val="11"/>
      <name val="Calibri"/>
      <family val="2"/>
    </font>
    <font>
      <sz val="16"/>
      <color theme="1"/>
      <name val="Calibri"/>
      <family val="2"/>
      <scheme val="minor"/>
    </font>
    <font>
      <b/>
      <sz val="10"/>
      <color rgb="FF595959"/>
      <name val="Calibri"/>
      <family val="2"/>
    </font>
    <font>
      <sz val="10"/>
      <color theme="1"/>
      <name val="Calibri"/>
      <family val="2"/>
      <scheme val="minor"/>
    </font>
    <font>
      <sz val="11"/>
      <color rgb="FFFF0000"/>
      <name val="Calibri"/>
      <family val="2"/>
      <scheme val="minor"/>
    </font>
    <font>
      <b/>
      <sz val="10"/>
      <color rgb="FFFF0000"/>
      <name val="Calibri"/>
      <family val="2"/>
    </font>
    <font>
      <sz val="10"/>
      <color rgb="FFFF0000"/>
      <name val="Calibri"/>
      <family val="2"/>
      <scheme val="minor"/>
    </font>
    <font>
      <b/>
      <sz val="11"/>
      <color rgb="FFFF0000"/>
      <name val="Calibri"/>
      <family val="2"/>
      <scheme val="minor"/>
    </font>
    <font>
      <b/>
      <sz val="10"/>
      <color theme="1"/>
      <name val="Calibri"/>
      <family val="2"/>
      <scheme val="minor"/>
    </font>
    <font>
      <b/>
      <sz val="10"/>
      <color theme="1"/>
      <name val="Calibri"/>
      <family val="2"/>
    </font>
    <font>
      <sz val="11"/>
      <color theme="0"/>
      <name val="Calibri"/>
      <family val="2"/>
      <scheme val="minor"/>
    </font>
    <font>
      <i/>
      <sz val="11"/>
      <color theme="1"/>
      <name val="Calibri"/>
      <family val="2"/>
      <scheme val="minor"/>
    </font>
    <font>
      <b/>
      <sz val="14"/>
      <color rgb="FF1F4E78"/>
      <name val="Calibri"/>
      <family val="2"/>
    </font>
    <font>
      <b/>
      <sz val="18"/>
      <color theme="1"/>
      <name val="Calibri"/>
      <family val="2"/>
      <scheme val="minor"/>
    </font>
    <font>
      <sz val="18"/>
      <color theme="1"/>
      <name val="Calibri"/>
      <family val="2"/>
      <scheme val="minor"/>
    </font>
    <font>
      <b/>
      <sz val="12"/>
      <color theme="1"/>
      <name val="Calibri"/>
      <family val="2"/>
      <scheme val="minor"/>
    </font>
    <font>
      <b/>
      <sz val="14"/>
      <color theme="1"/>
      <name val="Calibri"/>
      <family val="2"/>
      <scheme val="minor"/>
    </font>
    <font>
      <sz val="14"/>
      <color rgb="FFFF0000"/>
      <name val="Calibri"/>
      <family val="2"/>
      <scheme val="minor"/>
    </font>
  </fonts>
  <fills count="14">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1F4E78"/>
        <bgColor rgb="FF1F4E78"/>
      </patternFill>
    </fill>
    <fill>
      <patternFill patternType="solid">
        <fgColor theme="8" tint="0.39997558519241921"/>
        <bgColor rgb="FFF2F4F8"/>
      </patternFill>
    </fill>
    <fill>
      <patternFill patternType="solid">
        <fgColor theme="8" tint="0.39997558519241921"/>
        <bgColor indexed="64"/>
      </patternFill>
    </fill>
    <fill>
      <patternFill patternType="solid">
        <fgColor theme="2"/>
        <bgColor rgb="FFE9EEF4"/>
      </patternFill>
    </fill>
    <fill>
      <patternFill patternType="solid">
        <fgColor theme="2"/>
        <bgColor indexed="64"/>
      </patternFill>
    </fill>
    <fill>
      <patternFill patternType="solid">
        <fgColor rgb="FFFFC000"/>
        <bgColor indexed="64"/>
      </patternFill>
    </fill>
    <fill>
      <patternFill patternType="solid">
        <fgColor theme="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rgb="FF00B050"/>
      </left>
      <right style="thin">
        <color rgb="FF00B050"/>
      </right>
      <top style="thin">
        <color rgb="FF00B050"/>
      </top>
      <bottom style="thin">
        <color rgb="FF00B050"/>
      </bottom>
      <diagonal/>
    </border>
    <border>
      <left style="thin">
        <color rgb="FFB0C4DE"/>
      </left>
      <right style="thin">
        <color rgb="FFB0C4DE"/>
      </right>
      <top style="thin">
        <color rgb="FFB0C4DE"/>
      </top>
      <bottom style="thin">
        <color rgb="FFB0C4DE"/>
      </bottom>
      <diagonal/>
    </border>
    <border>
      <left/>
      <right style="thin">
        <color rgb="FFB0C4DE"/>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B0C4DE"/>
      </right>
      <top style="thin">
        <color rgb="FFB0C4DE"/>
      </top>
      <bottom style="thin">
        <color rgb="FFB0C4DE"/>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136">
    <xf numFmtId="0" fontId="0" fillId="0" borderId="0" xfId="0"/>
    <xf numFmtId="0" fontId="1" fillId="0" borderId="1" xfId="0" applyFont="1" applyBorder="1" applyAlignment="1">
      <alignment horizontal="center"/>
    </xf>
    <xf numFmtId="164" fontId="1" fillId="0" borderId="1" xfId="0" applyNumberFormat="1" applyFont="1" applyBorder="1" applyAlignment="1">
      <alignment horizontal="center"/>
    </xf>
    <xf numFmtId="0" fontId="0" fillId="0" borderId="1" xfId="0" applyFont="1" applyBorder="1" applyAlignment="1">
      <alignment horizontal="center"/>
    </xf>
    <xf numFmtId="0" fontId="0" fillId="2" borderId="1" xfId="0" applyFont="1" applyFill="1" applyBorder="1" applyAlignment="1">
      <alignment horizontal="center"/>
    </xf>
    <xf numFmtId="0" fontId="0" fillId="3" borderId="1" xfId="0" applyFont="1" applyFill="1" applyBorder="1" applyAlignment="1">
      <alignment horizontal="center"/>
    </xf>
    <xf numFmtId="0" fontId="1" fillId="4" borderId="1" xfId="0" applyFont="1" applyFill="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0" fillId="0" borderId="6" xfId="0" applyFont="1" applyBorder="1" applyAlignment="1">
      <alignment horizontal="center"/>
    </xf>
    <xf numFmtId="0" fontId="2" fillId="3" borderId="2" xfId="0" applyFont="1" applyFill="1" applyBorder="1" applyAlignment="1">
      <alignment horizontal="center"/>
    </xf>
    <xf numFmtId="0" fontId="0" fillId="0" borderId="0" xfId="0" applyFill="1" applyAlignment="1">
      <alignment horizontal="center"/>
    </xf>
    <xf numFmtId="0" fontId="0" fillId="5" borderId="1" xfId="0" applyFill="1" applyBorder="1"/>
    <xf numFmtId="0" fontId="2" fillId="0" borderId="3" xfId="0" applyFont="1" applyBorder="1" applyAlignment="1">
      <alignment horizontal="right"/>
    </xf>
    <xf numFmtId="0" fontId="2" fillId="0" borderId="1" xfId="0" applyFont="1" applyBorder="1" applyAlignment="1">
      <alignment horizontal="right"/>
    </xf>
    <xf numFmtId="0" fontId="2" fillId="0" borderId="4" xfId="0" applyFont="1" applyBorder="1" applyAlignment="1">
      <alignment horizontal="right"/>
    </xf>
    <xf numFmtId="0" fontId="0" fillId="0" borderId="1" xfId="0" applyFont="1" applyBorder="1" applyAlignment="1">
      <alignment horizontal="right"/>
    </xf>
    <xf numFmtId="0" fontId="2" fillId="0" borderId="8" xfId="0" applyFont="1" applyBorder="1" applyAlignment="1">
      <alignment horizontal="right"/>
    </xf>
    <xf numFmtId="0" fontId="2" fillId="0" borderId="9" xfId="0" applyFont="1" applyBorder="1" applyAlignment="1">
      <alignment horizontal="right"/>
    </xf>
    <xf numFmtId="0" fontId="2" fillId="0" borderId="10" xfId="0" applyFont="1" applyBorder="1" applyAlignment="1">
      <alignment horizontal="right"/>
    </xf>
    <xf numFmtId="0" fontId="0" fillId="0" borderId="0" xfId="0" applyAlignment="1">
      <alignment horizontal="center"/>
    </xf>
    <xf numFmtId="0" fontId="0" fillId="5" borderId="0" xfId="0" applyFill="1" applyAlignment="1">
      <alignment horizontal="center"/>
    </xf>
    <xf numFmtId="43" fontId="0" fillId="5" borderId="0" xfId="1" applyFont="1" applyFill="1" applyAlignment="1">
      <alignment horizontal="center"/>
    </xf>
    <xf numFmtId="2" fontId="0" fillId="5" borderId="0" xfId="0" applyNumberFormat="1" applyFill="1" applyAlignment="1">
      <alignment horizontal="center"/>
    </xf>
    <xf numFmtId="14" fontId="1" fillId="0" borderId="1" xfId="0" applyNumberFormat="1" applyFont="1" applyBorder="1" applyAlignment="1">
      <alignment horizontal="center"/>
    </xf>
    <xf numFmtId="10" fontId="1" fillId="0" borderId="1" xfId="0" applyNumberFormat="1" applyFont="1" applyBorder="1" applyAlignment="1">
      <alignment horizontal="center"/>
    </xf>
    <xf numFmtId="9" fontId="1" fillId="0" borderId="1" xfId="2" applyFont="1" applyBorder="1" applyAlignment="1">
      <alignment horizontal="center"/>
    </xf>
    <xf numFmtId="1" fontId="1" fillId="0" borderId="1" xfId="1" applyNumberFormat="1" applyFont="1" applyBorder="1" applyAlignment="1">
      <alignment horizontal="center"/>
    </xf>
    <xf numFmtId="1" fontId="1" fillId="0" borderId="1" xfId="0" applyNumberFormat="1" applyFont="1" applyBorder="1" applyAlignment="1">
      <alignment horizontal="center"/>
    </xf>
    <xf numFmtId="0" fontId="1" fillId="0" borderId="4" xfId="0" applyFont="1" applyBorder="1" applyAlignment="1">
      <alignment horizontal="center"/>
    </xf>
    <xf numFmtId="0" fontId="5" fillId="3" borderId="12" xfId="0" applyFont="1" applyFill="1" applyBorder="1" applyAlignment="1">
      <alignment horizontal="center"/>
    </xf>
    <xf numFmtId="0" fontId="0" fillId="0" borderId="12" xfId="0" applyBorder="1" applyAlignment="1">
      <alignment horizontal="center"/>
    </xf>
    <xf numFmtId="0" fontId="1" fillId="6" borderId="1" xfId="0" applyFont="1" applyFill="1" applyBorder="1" applyAlignment="1">
      <alignment horizontal="center"/>
    </xf>
    <xf numFmtId="0" fontId="1" fillId="6" borderId="4" xfId="0" applyFont="1" applyFill="1" applyBorder="1" applyAlignment="1">
      <alignment horizontal="center"/>
    </xf>
    <xf numFmtId="0" fontId="1" fillId="0" borderId="0" xfId="0" applyFont="1" applyBorder="1" applyAlignment="1">
      <alignment horizontal="center"/>
    </xf>
    <xf numFmtId="0" fontId="1" fillId="0" borderId="0" xfId="0" applyFont="1" applyFill="1" applyBorder="1" applyAlignment="1">
      <alignment horizontal="center"/>
    </xf>
    <xf numFmtId="22" fontId="0" fillId="0" borderId="0" xfId="0" applyNumberFormat="1"/>
    <xf numFmtId="14" fontId="0" fillId="0" borderId="0" xfId="0" applyNumberFormat="1"/>
    <xf numFmtId="14" fontId="0" fillId="0" borderId="0" xfId="0" applyNumberFormat="1" applyAlignment="1">
      <alignment horizontal="center"/>
    </xf>
    <xf numFmtId="0" fontId="0" fillId="0" borderId="0" xfId="0" pivotButton="1"/>
    <xf numFmtId="0" fontId="0" fillId="0" borderId="1" xfId="0" pivotButton="1" applyBorder="1"/>
    <xf numFmtId="0" fontId="0" fillId="0" borderId="1" xfId="0" applyBorder="1"/>
    <xf numFmtId="14" fontId="0" fillId="0" borderId="1" xfId="0" applyNumberFormat="1" applyBorder="1" applyAlignment="1">
      <alignment horizontal="left"/>
    </xf>
    <xf numFmtId="0" fontId="0" fillId="0" borderId="1" xfId="0" applyNumberFormat="1" applyBorder="1"/>
    <xf numFmtId="22" fontId="0" fillId="0" borderId="1" xfId="0" applyNumberFormat="1" applyBorder="1" applyAlignment="1">
      <alignment horizontal="left"/>
    </xf>
    <xf numFmtId="0" fontId="0" fillId="0" borderId="5" xfId="0" applyFont="1" applyBorder="1" applyAlignment="1">
      <alignment horizontal="center"/>
    </xf>
    <xf numFmtId="14" fontId="0" fillId="0" borderId="6" xfId="0" applyNumberFormat="1" applyFont="1" applyBorder="1" applyAlignment="1">
      <alignment horizontal="center"/>
    </xf>
    <xf numFmtId="0" fontId="0" fillId="0" borderId="7" xfId="0" applyFont="1" applyBorder="1" applyAlignment="1">
      <alignment horizontal="center"/>
    </xf>
    <xf numFmtId="0" fontId="0" fillId="0" borderId="3" xfId="0" applyFont="1" applyBorder="1" applyAlignment="1">
      <alignment horizontal="center"/>
    </xf>
    <xf numFmtId="14" fontId="0" fillId="0" borderId="1" xfId="0" applyNumberFormat="1" applyFont="1" applyBorder="1" applyAlignment="1">
      <alignment horizontal="center"/>
    </xf>
    <xf numFmtId="0" fontId="0" fillId="0" borderId="4" xfId="0" applyFont="1" applyBorder="1" applyAlignment="1">
      <alignment horizontal="center"/>
    </xf>
    <xf numFmtId="0" fontId="0" fillId="0" borderId="8" xfId="0" applyFont="1" applyBorder="1" applyAlignment="1">
      <alignment horizontal="center"/>
    </xf>
    <xf numFmtId="14" fontId="0" fillId="0" borderId="9" xfId="0" applyNumberFormat="1" applyFont="1" applyBorder="1" applyAlignment="1">
      <alignment horizontal="center"/>
    </xf>
    <xf numFmtId="0" fontId="0" fillId="0" borderId="9" xfId="0" applyFont="1" applyBorder="1" applyAlignment="1">
      <alignment horizontal="center"/>
    </xf>
    <xf numFmtId="0" fontId="0" fillId="0" borderId="10" xfId="0" applyFont="1" applyBorder="1" applyAlignment="1">
      <alignment horizontal="center"/>
    </xf>
    <xf numFmtId="2" fontId="0" fillId="0" borderId="1" xfId="0" applyNumberFormat="1" applyBorder="1"/>
    <xf numFmtId="167" fontId="0" fillId="0" borderId="1" xfId="0" applyNumberFormat="1" applyBorder="1"/>
    <xf numFmtId="165" fontId="0" fillId="0" borderId="1" xfId="0" applyNumberFormat="1" applyBorder="1"/>
    <xf numFmtId="0" fontId="9" fillId="0" borderId="0" xfId="0" applyFont="1"/>
    <xf numFmtId="0" fontId="0" fillId="0" borderId="0" xfId="0"/>
    <xf numFmtId="0" fontId="7" fillId="7" borderId="0" xfId="0" applyFont="1" applyFill="1" applyAlignment="1">
      <alignment horizontal="center" vertical="center"/>
    </xf>
    <xf numFmtId="0" fontId="9" fillId="0" borderId="0" xfId="0" applyFont="1"/>
    <xf numFmtId="0" fontId="7" fillId="7" borderId="1" xfId="0" applyFont="1" applyFill="1" applyBorder="1" applyAlignment="1">
      <alignment horizontal="center" vertical="center"/>
    </xf>
    <xf numFmtId="0" fontId="0" fillId="0" borderId="1" xfId="0" applyBorder="1" applyAlignment="1">
      <alignment horizontal="center"/>
    </xf>
    <xf numFmtId="10" fontId="0" fillId="0" borderId="1" xfId="2" applyNumberFormat="1" applyFont="1" applyBorder="1" applyAlignment="1">
      <alignment horizontal="center"/>
    </xf>
    <xf numFmtId="0" fontId="10" fillId="10" borderId="1" xfId="0" applyFont="1" applyFill="1" applyBorder="1" applyAlignment="1">
      <alignment horizontal="center" vertical="center"/>
    </xf>
    <xf numFmtId="2" fontId="0" fillId="0" borderId="1" xfId="0" applyNumberFormat="1" applyBorder="1" applyAlignment="1">
      <alignment horizontal="center"/>
    </xf>
    <xf numFmtId="0" fontId="10" fillId="0" borderId="1" xfId="0" applyFont="1" applyBorder="1" applyAlignment="1">
      <alignment horizontal="center" vertical="center"/>
    </xf>
    <xf numFmtId="166" fontId="6" fillId="0" borderId="1" xfId="0" applyNumberFormat="1" applyFont="1" applyBorder="1" applyAlignment="1">
      <alignment horizontal="center"/>
    </xf>
    <xf numFmtId="0" fontId="8" fillId="0" borderId="1" xfId="0" applyFont="1" applyBorder="1" applyAlignment="1">
      <alignment horizontal="center" vertical="center"/>
    </xf>
    <xf numFmtId="0" fontId="6" fillId="0" borderId="1" xfId="0" applyNumberFormat="1" applyFont="1" applyBorder="1" applyAlignment="1">
      <alignment horizontal="center"/>
    </xf>
    <xf numFmtId="0" fontId="6" fillId="9" borderId="0" xfId="0" applyNumberFormat="1" applyFont="1" applyFill="1" applyAlignment="1">
      <alignment horizontal="center"/>
    </xf>
    <xf numFmtId="0" fontId="6" fillId="9" borderId="0" xfId="0" applyFont="1" applyFill="1"/>
    <xf numFmtId="0" fontId="6" fillId="9" borderId="0" xfId="0" applyFont="1" applyFill="1" applyAlignment="1"/>
    <xf numFmtId="0" fontId="6" fillId="5" borderId="1" xfId="0" applyFont="1" applyFill="1" applyBorder="1"/>
    <xf numFmtId="3" fontId="6" fillId="5" borderId="1" xfId="0" applyNumberFormat="1" applyFont="1" applyFill="1" applyBorder="1"/>
    <xf numFmtId="0" fontId="6" fillId="0" borderId="1" xfId="0" applyFont="1" applyBorder="1"/>
    <xf numFmtId="10" fontId="6" fillId="0" borderId="1" xfId="0" applyNumberFormat="1" applyFont="1" applyBorder="1"/>
    <xf numFmtId="0" fontId="6" fillId="0" borderId="1" xfId="0" applyFont="1" applyBorder="1" applyAlignment="1">
      <alignment horizontal="center"/>
    </xf>
    <xf numFmtId="2" fontId="6" fillId="0" borderId="1" xfId="0" applyNumberFormat="1" applyFont="1" applyBorder="1" applyAlignment="1">
      <alignment horizontal="center"/>
    </xf>
    <xf numFmtId="0" fontId="6" fillId="11" borderId="1" xfId="0" applyFont="1" applyFill="1" applyBorder="1" applyAlignment="1">
      <alignment horizontal="center"/>
    </xf>
    <xf numFmtId="0" fontId="0" fillId="0" borderId="0" xfId="0" applyNumberFormat="1"/>
    <xf numFmtId="0" fontId="0" fillId="0" borderId="0" xfId="0" applyAlignment="1">
      <alignment horizontal="left"/>
    </xf>
    <xf numFmtId="0" fontId="12" fillId="0" borderId="13" xfId="0" applyFont="1" applyFill="1" applyBorder="1" applyAlignment="1">
      <alignment vertical="center"/>
    </xf>
    <xf numFmtId="0" fontId="13" fillId="0" borderId="13" xfId="0" applyFont="1" applyFill="1" applyBorder="1" applyAlignment="1"/>
    <xf numFmtId="0" fontId="15" fillId="0" borderId="13" xfId="0" applyFont="1" applyFill="1" applyBorder="1" applyAlignment="1">
      <alignment vertical="center"/>
    </xf>
    <xf numFmtId="0" fontId="16" fillId="0" borderId="13" xfId="0" applyFont="1" applyFill="1" applyBorder="1" applyAlignment="1"/>
    <xf numFmtId="0" fontId="0" fillId="0" borderId="0" xfId="0" applyBorder="1"/>
    <xf numFmtId="0" fontId="0" fillId="0" borderId="0" xfId="0" applyFill="1" applyBorder="1"/>
    <xf numFmtId="0" fontId="6" fillId="0" borderId="0" xfId="0" applyFont="1" applyFill="1" applyBorder="1"/>
    <xf numFmtId="0" fontId="17" fillId="0" borderId="0" xfId="0" applyFont="1" applyFill="1" applyBorder="1" applyAlignment="1"/>
    <xf numFmtId="0" fontId="14" fillId="0" borderId="0" xfId="0" applyFont="1" applyFill="1" applyBorder="1"/>
    <xf numFmtId="0" fontId="0" fillId="0" borderId="16" xfId="0" applyBorder="1"/>
    <xf numFmtId="0" fontId="0" fillId="0" borderId="17" xfId="0" applyBorder="1"/>
    <xf numFmtId="0" fontId="0" fillId="0" borderId="19" xfId="0" applyBorder="1"/>
    <xf numFmtId="0" fontId="12" fillId="0" borderId="20" xfId="0" applyFont="1" applyFill="1" applyBorder="1" applyAlignment="1">
      <alignment vertical="center"/>
    </xf>
    <xf numFmtId="0" fontId="6" fillId="0" borderId="18" xfId="0" applyNumberFormat="1" applyFont="1" applyFill="1" applyBorder="1" applyAlignment="1">
      <alignment horizontal="center"/>
    </xf>
    <xf numFmtId="0" fontId="0" fillId="0" borderId="18" xfId="0" applyBorder="1"/>
    <xf numFmtId="0" fontId="0" fillId="0" borderId="21" xfId="0" applyBorder="1"/>
    <xf numFmtId="0" fontId="0" fillId="0" borderId="22" xfId="0" applyBorder="1"/>
    <xf numFmtId="0" fontId="0" fillId="0" borderId="23" xfId="0" applyBorder="1"/>
    <xf numFmtId="0" fontId="21" fillId="3" borderId="1" xfId="0" applyFont="1" applyFill="1" applyBorder="1" applyAlignment="1">
      <alignment horizontal="center"/>
    </xf>
    <xf numFmtId="0" fontId="0" fillId="0" borderId="24" xfId="0" applyBorder="1"/>
    <xf numFmtId="0" fontId="0" fillId="0" borderId="0" xfId="0" applyFill="1"/>
    <xf numFmtId="0" fontId="0" fillId="0" borderId="0" xfId="0" applyNumberFormat="1" applyFill="1"/>
    <xf numFmtId="2" fontId="0" fillId="0" borderId="0" xfId="0" applyNumberFormat="1" applyFill="1"/>
    <xf numFmtId="0" fontId="20" fillId="0" borderId="0" xfId="0" applyFont="1"/>
    <xf numFmtId="0" fontId="6" fillId="0" borderId="1" xfId="0" applyFont="1" applyFill="1" applyBorder="1" applyAlignment="1">
      <alignment horizontal="center"/>
    </xf>
    <xf numFmtId="0" fontId="0" fillId="0" borderId="1" xfId="0" applyFill="1" applyBorder="1" applyAlignment="1">
      <alignment horizontal="center"/>
    </xf>
    <xf numFmtId="0" fontId="0" fillId="0" borderId="1" xfId="0" applyNumberFormat="1" applyFill="1" applyBorder="1" applyAlignment="1">
      <alignment horizontal="center"/>
    </xf>
    <xf numFmtId="0" fontId="0" fillId="2" borderId="0" xfId="0" applyFill="1" applyAlignment="1">
      <alignment horizontal="center"/>
    </xf>
    <xf numFmtId="0" fontId="22" fillId="13" borderId="1" xfId="0" applyFont="1" applyFill="1" applyBorder="1" applyAlignment="1">
      <alignment horizontal="center"/>
    </xf>
    <xf numFmtId="0" fontId="6" fillId="9" borderId="0" xfId="0" applyFont="1" applyFill="1" applyAlignment="1">
      <alignment horizontal="center"/>
    </xf>
    <xf numFmtId="0" fontId="11" fillId="0" borderId="0" xfId="0" applyFont="1" applyFill="1" applyAlignment="1">
      <alignment horizontal="center" vertical="center"/>
    </xf>
    <xf numFmtId="0" fontId="19" fillId="8" borderId="13" xfId="0" applyFont="1" applyFill="1" applyBorder="1" applyAlignment="1">
      <alignment horizontal="center" vertical="center"/>
    </xf>
    <xf numFmtId="0" fontId="18" fillId="8" borderId="13" xfId="0" applyFont="1" applyFill="1" applyBorder="1"/>
    <xf numFmtId="0" fontId="18" fillId="9" borderId="0" xfId="0" applyFont="1" applyFill="1" applyAlignment="1">
      <alignment horizontal="center"/>
    </xf>
    <xf numFmtId="0" fontId="18" fillId="9" borderId="14" xfId="0" applyFont="1" applyFill="1" applyBorder="1" applyAlignment="1">
      <alignment horizontal="center"/>
    </xf>
    <xf numFmtId="0" fontId="23" fillId="12" borderId="15" xfId="0" applyFont="1" applyFill="1" applyBorder="1" applyAlignment="1">
      <alignment horizontal="center" vertical="center"/>
    </xf>
    <xf numFmtId="0" fontId="24" fillId="12" borderId="16" xfId="0" applyFont="1" applyFill="1" applyBorder="1" applyAlignment="1">
      <alignment horizontal="center" vertical="center"/>
    </xf>
    <xf numFmtId="0" fontId="24" fillId="12" borderId="18" xfId="0" applyFont="1" applyFill="1" applyBorder="1" applyAlignment="1">
      <alignment horizontal="center" vertical="center"/>
    </xf>
    <xf numFmtId="0" fontId="24" fillId="12" borderId="0" xfId="0" applyFont="1" applyFill="1" applyBorder="1" applyAlignment="1">
      <alignment horizontal="center" vertical="center"/>
    </xf>
    <xf numFmtId="0" fontId="0" fillId="3" borderId="1" xfId="0" applyFill="1" applyBorder="1" applyAlignment="1">
      <alignment horizontal="center"/>
    </xf>
    <xf numFmtId="0" fontId="26" fillId="13" borderId="0" xfId="0" applyFont="1" applyFill="1" applyAlignment="1">
      <alignment horizontal="center"/>
    </xf>
    <xf numFmtId="0" fontId="25" fillId="0" borderId="0" xfId="0" applyFont="1" applyFill="1" applyAlignment="1"/>
    <xf numFmtId="0" fontId="25" fillId="13" borderId="1" xfId="0" applyFont="1" applyFill="1" applyBorder="1" applyAlignment="1">
      <alignment horizontal="center"/>
    </xf>
    <xf numFmtId="0" fontId="6" fillId="3" borderId="1" xfId="0" applyFont="1" applyFill="1" applyBorder="1" applyAlignment="1">
      <alignment horizontal="center"/>
    </xf>
    <xf numFmtId="0" fontId="25" fillId="3" borderId="1" xfId="0" applyFont="1" applyFill="1" applyBorder="1" applyAlignment="1">
      <alignment horizontal="center"/>
    </xf>
    <xf numFmtId="0" fontId="6" fillId="3" borderId="1" xfId="0" applyNumberFormat="1" applyFont="1" applyFill="1" applyBorder="1" applyAlignment="1">
      <alignment horizontal="center"/>
    </xf>
    <xf numFmtId="0" fontId="0" fillId="0" borderId="0" xfId="0" applyNumberFormat="1" applyAlignment="1">
      <alignment horizontal="center"/>
    </xf>
    <xf numFmtId="2" fontId="0" fillId="0" borderId="0" xfId="0" applyNumberFormat="1" applyAlignment="1">
      <alignment horizontal="center"/>
    </xf>
    <xf numFmtId="0" fontId="7" fillId="0" borderId="0" xfId="0" applyFont="1" applyFill="1" applyAlignment="1">
      <alignment horizontal="center" vertical="center"/>
    </xf>
    <xf numFmtId="0" fontId="27" fillId="3" borderId="0" xfId="0" applyFont="1" applyFill="1" applyAlignment="1">
      <alignment horizontal="center"/>
    </xf>
    <xf numFmtId="0" fontId="4" fillId="3" borderId="11" xfId="0" applyFont="1" applyFill="1" applyBorder="1" applyAlignment="1">
      <alignment horizontal="center"/>
    </xf>
    <xf numFmtId="0" fontId="4" fillId="3" borderId="0" xfId="0" applyFont="1" applyFill="1" applyBorder="1" applyAlignment="1">
      <alignment horizontal="center"/>
    </xf>
  </cellXfs>
  <cellStyles count="3">
    <cellStyle name="Comma" xfId="1" builtinId="3"/>
    <cellStyle name="Normal" xfId="0" builtinId="0"/>
    <cellStyle name="Percent" xfId="2" builtinId="5"/>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6100"/>
      </font>
      <fill>
        <patternFill>
          <bgColor rgb="FFC6EFCE"/>
        </patternFill>
      </fill>
    </dxf>
    <dxf>
      <font>
        <color rgb="FF00B050"/>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bottom" textRotation="0" wrapText="0" indent="0" justifyLastLine="0" shrinkToFit="0" readingOrder="0"/>
    </dxf>
    <dxf>
      <border>
        <bottom style="thin">
          <color indexed="64"/>
        </bottom>
      </border>
    </dxf>
    <dxf>
      <font>
        <strike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7" formatCode="m/d/yyyy\ h:m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microsoft.com/office/2007/relationships/slicerCache" Target="slicerCaches/slicerCache12.xml"/><Relationship Id="rId39" Type="http://schemas.openxmlformats.org/officeDocument/2006/relationships/customXml" Target="../customXml/item3.xml"/><Relationship Id="rId21" Type="http://schemas.microsoft.com/office/2007/relationships/slicerCache" Target="slicerCaches/slicerCache7.xml"/><Relationship Id="rId34" Type="http://schemas.openxmlformats.org/officeDocument/2006/relationships/sharedStrings" Target="sharedStrings.xml"/><Relationship Id="rId42"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microsoft.com/office/2007/relationships/slicerCache" Target="slicerCaches/slicerCache15.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07/relationships/slicerCache" Target="slicerCaches/slicerCache10.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microsoft.com/office/2007/relationships/slicerCache" Target="slicerCaches/slicerCache14.xml"/><Relationship Id="rId36"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31" Type="http://schemas.openxmlformats.org/officeDocument/2006/relationships/theme" Target="theme/theme1.xml"/><Relationship Id="rId44"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8.xml"/><Relationship Id="rId27" Type="http://schemas.microsoft.com/office/2007/relationships/slicerCache" Target="slicerCaches/slicerCache13.xml"/><Relationship Id="rId30" Type="http://schemas.microsoft.com/office/2007/relationships/slicerCache" Target="slicerCaches/slicerCache16.xml"/><Relationship Id="rId35" Type="http://schemas.openxmlformats.org/officeDocument/2006/relationships/powerPivotData" Target="model/item.data"/><Relationship Id="rId43" Type="http://schemas.openxmlformats.org/officeDocument/2006/relationships/customXml" Target="../customXml/item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microsoft.com/office/2007/relationships/slicerCache" Target="slicerCaches/slicerCache11.xml"/><Relationship Id="rId33" Type="http://schemas.openxmlformats.org/officeDocument/2006/relationships/styles" Target="styles.xml"/><Relationship Id="rId38"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Casual</a:t>
            </a:r>
            <a:r>
              <a:rPr lang="en-US" baseline="0"/>
              <a:t> Vs Registered User demand Volume</a:t>
            </a:r>
            <a:endParaRPr lang="en-US"/>
          </a:p>
        </c:rich>
      </c:tx>
      <c:layout>
        <c:manualLayout>
          <c:xMode val="edge"/>
          <c:yMode val="edge"/>
          <c:x val="0.1302637795275590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6081714785651793"/>
          <c:y val="0.26664432374783165"/>
          <c:w val="0.60862729658792647"/>
          <c:h val="0.5768748665532879"/>
        </c:manualLayout>
      </c:layout>
      <c:barChart>
        <c:barDir val="col"/>
        <c:grouping val="clustered"/>
        <c:varyColors val="0"/>
        <c:ser>
          <c:idx val="0"/>
          <c:order val="0"/>
          <c:tx>
            <c:strRef>
              <c:f>'Statistical &amp; Correlation'!$B$8</c:f>
              <c:strCache>
                <c:ptCount val="1"/>
                <c:pt idx="0">
                  <c:v>Casual Users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'Statistical &amp; Correlation'!$B$9</c:f>
              <c:numCache>
                <c:formatCode>#,##0</c:formatCode>
                <c:ptCount val="1"/>
                <c:pt idx="0">
                  <c:v>4921</c:v>
                </c:pt>
              </c:numCache>
            </c:numRef>
          </c:val>
          <c:extLst>
            <c:ext xmlns:c16="http://schemas.microsoft.com/office/drawing/2014/chart" uri="{C3380CC4-5D6E-409C-BE32-E72D297353CC}">
              <c16:uniqueId val="{00000000-7CD6-45CE-B685-42A34F990B1B}"/>
            </c:ext>
          </c:extLst>
        </c:ser>
        <c:ser>
          <c:idx val="1"/>
          <c:order val="1"/>
          <c:tx>
            <c:strRef>
              <c:f>'Statistical &amp; Correlation'!$C$8</c:f>
              <c:strCache>
                <c:ptCount val="1"/>
                <c:pt idx="0">
                  <c:v>Registered Users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'Statistical &amp; Correlation'!$C$9</c:f>
              <c:numCache>
                <c:formatCode>#,##0</c:formatCode>
                <c:ptCount val="1"/>
                <c:pt idx="0">
                  <c:v>53383</c:v>
                </c:pt>
              </c:numCache>
            </c:numRef>
          </c:val>
          <c:extLst>
            <c:ext xmlns:c16="http://schemas.microsoft.com/office/drawing/2014/chart" uri="{C3380CC4-5D6E-409C-BE32-E72D297353CC}">
              <c16:uniqueId val="{00000001-7CD6-45CE-B685-42A34F990B1B}"/>
            </c:ext>
          </c:extLst>
        </c:ser>
        <c:dLbls>
          <c:showLegendKey val="0"/>
          <c:showVal val="0"/>
          <c:showCatName val="0"/>
          <c:showSerName val="0"/>
          <c:showPercent val="0"/>
          <c:showBubbleSize val="0"/>
        </c:dLbls>
        <c:gapWidth val="100"/>
        <c:overlap val="-24"/>
        <c:axId val="1184975615"/>
        <c:axId val="1185501311"/>
      </c:barChart>
      <c:catAx>
        <c:axId val="11849756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user</a:t>
                </a:r>
                <a:r>
                  <a:rPr lang="en-US" baseline="0"/>
                  <a:t> category</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5501311"/>
        <c:crosses val="autoZero"/>
        <c:auto val="1"/>
        <c:lblAlgn val="ctr"/>
        <c:lblOffset val="100"/>
        <c:noMultiLvlLbl val="0"/>
      </c:catAx>
      <c:valAx>
        <c:axId val="11855013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rodes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9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User</a:t>
            </a:r>
            <a:r>
              <a:rPr lang="en-US" baseline="0"/>
              <a:t> Demand by weather Condition</a:t>
            </a:r>
            <a:r>
              <a:rPr lang="en-US"/>
              <a:t> </a:t>
            </a:r>
          </a:p>
        </c:rich>
      </c:tx>
      <c:layout>
        <c:manualLayout>
          <c:xMode val="edge"/>
          <c:yMode val="edge"/>
          <c:x val="0.13124328160700727"/>
          <c:y val="2.65668367223133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'Statistical &amp; Correlation'!$C$17</c:f>
              <c:strCache>
                <c:ptCount val="1"/>
                <c:pt idx="0">
                  <c:v>Casual Rides</c:v>
                </c:pt>
              </c:strCache>
            </c:strRef>
          </c:tx>
          <c:spPr>
            <a:solidFill>
              <a:schemeClr val="accent1">
                <a:alpha val="85000"/>
              </a:schemeClr>
            </a:solidFill>
            <a:ln w="9525" cap="flat" cmpd="sng" algn="ctr">
              <a:solidFill>
                <a:schemeClr val="lt1">
                  <a:alpha val="50000"/>
                </a:schemeClr>
              </a:solidFill>
              <a:round/>
            </a:ln>
            <a:effectLst/>
          </c:spPr>
          <c:invertIfNegative val="0"/>
          <c:cat>
            <c:strRef>
              <c:f>'Statistical &amp; Correlation'!$A$18:$A$21</c:f>
              <c:strCache>
                <c:ptCount val="4"/>
                <c:pt idx="0">
                  <c:v>Clear</c:v>
                </c:pt>
                <c:pt idx="1">
                  <c:v>Mist</c:v>
                </c:pt>
                <c:pt idx="2">
                  <c:v>Light rain/snow</c:v>
                </c:pt>
                <c:pt idx="3">
                  <c:v>Heavy rain/snow</c:v>
                </c:pt>
              </c:strCache>
            </c:strRef>
          </c:cat>
          <c:val>
            <c:numRef>
              <c:f>'Statistical &amp; Correlation'!$C$18:$C$21</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0-1199-4CFE-9904-57C3368A60E3}"/>
            </c:ext>
          </c:extLst>
        </c:ser>
        <c:ser>
          <c:idx val="1"/>
          <c:order val="1"/>
          <c:tx>
            <c:strRef>
              <c:f>'Statistical &amp; Correlation'!$D$17</c:f>
              <c:strCache>
                <c:ptCount val="1"/>
                <c:pt idx="0">
                  <c:v>Registered Rides</c:v>
                </c:pt>
              </c:strCache>
            </c:strRef>
          </c:tx>
          <c:spPr>
            <a:solidFill>
              <a:schemeClr val="accent2">
                <a:alpha val="85000"/>
              </a:schemeClr>
            </a:solidFill>
            <a:ln w="9525" cap="flat" cmpd="sng" algn="ctr">
              <a:solidFill>
                <a:schemeClr val="lt1">
                  <a:alpha val="50000"/>
                </a:schemeClr>
              </a:solidFill>
              <a:round/>
            </a:ln>
            <a:effectLst/>
          </c:spPr>
          <c:invertIfNegative val="0"/>
          <c:cat>
            <c:strRef>
              <c:f>'Statistical &amp; Correlation'!$A$18:$A$21</c:f>
              <c:strCache>
                <c:ptCount val="4"/>
                <c:pt idx="0">
                  <c:v>Clear</c:v>
                </c:pt>
                <c:pt idx="1">
                  <c:v>Mist</c:v>
                </c:pt>
                <c:pt idx="2">
                  <c:v>Light rain/snow</c:v>
                </c:pt>
                <c:pt idx="3">
                  <c:v>Heavy rain/snow</c:v>
                </c:pt>
              </c:strCache>
            </c:strRef>
          </c:cat>
          <c:val>
            <c:numRef>
              <c:f>'Statistical &amp; Correlation'!$D$18:$D$21</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1-1199-4CFE-9904-57C3368A60E3}"/>
            </c:ext>
          </c:extLst>
        </c:ser>
        <c:dLbls>
          <c:showLegendKey val="0"/>
          <c:showVal val="0"/>
          <c:showCatName val="0"/>
          <c:showSerName val="0"/>
          <c:showPercent val="0"/>
          <c:showBubbleSize val="0"/>
        </c:dLbls>
        <c:gapWidth val="65"/>
        <c:axId val="1184967215"/>
        <c:axId val="534750447"/>
      </c:barChart>
      <c:catAx>
        <c:axId val="11849672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Weather</a:t>
                </a:r>
                <a:r>
                  <a:rPr lang="en-US" baseline="0"/>
                  <a:t> Condition</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4750447"/>
        <c:crosses val="autoZero"/>
        <c:auto val="1"/>
        <c:lblAlgn val="ctr"/>
        <c:lblOffset val="100"/>
        <c:noMultiLvlLbl val="0"/>
      </c:catAx>
      <c:valAx>
        <c:axId val="534750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Demand (Rides)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1849672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Rental</a:t>
            </a:r>
            <a:r>
              <a:rPr lang="en-US" b="1" baseline="0">
                <a:solidFill>
                  <a:schemeClr val="accent1"/>
                </a:solidFill>
              </a:rPr>
              <a:t> by Season</a:t>
            </a:r>
            <a:endParaRPr lang="en-US" b="1">
              <a:solidFill>
                <a:schemeClr val="accent1"/>
              </a:solidFill>
            </a:endParaRPr>
          </a:p>
        </c:rich>
      </c:tx>
      <c:layout>
        <c:manualLayout>
          <c:xMode val="edge"/>
          <c:yMode val="edge"/>
          <c:x val="0.29739445311732504"/>
          <c:y val="8.31645599345317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27293425671189"/>
          <c:y val="0.26520513883133029"/>
          <c:w val="0.56358637700407932"/>
          <c:h val="0.62399153706894672"/>
        </c:manualLayout>
      </c:layout>
      <c:bar3DChart>
        <c:barDir val="col"/>
        <c:grouping val="clustered"/>
        <c:varyColors val="0"/>
        <c:ser>
          <c:idx val="0"/>
          <c:order val="0"/>
          <c:tx>
            <c:strRef>
              <c:f>'pivot chart'!$B$4</c:f>
              <c:strCache>
                <c:ptCount val="1"/>
                <c:pt idx="0">
                  <c:v>Total</c:v>
                </c:pt>
              </c:strCache>
            </c:strRef>
          </c:tx>
          <c:spPr>
            <a:solidFill>
              <a:schemeClr val="accent1"/>
            </a:solidFill>
            <a:ln>
              <a:noFill/>
            </a:ln>
            <a:effectLst/>
            <a:sp3d/>
          </c:spPr>
          <c:invertIfNegative val="0"/>
          <c:cat>
            <c:strRef>
              <c:f>'pivot chart'!$A$5:$A$6</c:f>
              <c:strCache>
                <c:ptCount val="1"/>
                <c:pt idx="0">
                  <c:v>1</c:v>
                </c:pt>
              </c:strCache>
            </c:strRef>
          </c:cat>
          <c:val>
            <c:numRef>
              <c:f>'pivot chart'!$B$5:$B$6</c:f>
              <c:numCache>
                <c:formatCode>General</c:formatCode>
                <c:ptCount val="1"/>
                <c:pt idx="0">
                  <c:v>58304</c:v>
                </c:pt>
              </c:numCache>
            </c:numRef>
          </c:val>
          <c:extLst>
            <c:ext xmlns:c16="http://schemas.microsoft.com/office/drawing/2014/chart" uri="{C3380CC4-5D6E-409C-BE32-E72D297353CC}">
              <c16:uniqueId val="{00000000-D099-4A95-9551-A66AB7A05605}"/>
            </c:ext>
          </c:extLst>
        </c:ser>
        <c:dLbls>
          <c:showLegendKey val="0"/>
          <c:showVal val="0"/>
          <c:showCatName val="0"/>
          <c:showSerName val="0"/>
          <c:showPercent val="0"/>
          <c:showBubbleSize val="0"/>
        </c:dLbls>
        <c:gapWidth val="150"/>
        <c:shape val="box"/>
        <c:axId val="481690399"/>
        <c:axId val="577437983"/>
        <c:axId val="0"/>
      </c:bar3DChart>
      <c:catAx>
        <c:axId val="481690399"/>
        <c:scaling>
          <c:orientation val="minMax"/>
        </c:scaling>
        <c:delete val="1"/>
        <c:axPos val="b"/>
        <c:numFmt formatCode="General" sourceLinked="1"/>
        <c:majorTickMark val="none"/>
        <c:minorTickMark val="none"/>
        <c:tickLblPos val="nextTo"/>
        <c:crossAx val="577437983"/>
        <c:crosses val="autoZero"/>
        <c:auto val="1"/>
        <c:lblAlgn val="ctr"/>
        <c:lblOffset val="100"/>
        <c:noMultiLvlLbl val="0"/>
      </c:catAx>
      <c:valAx>
        <c:axId val="57743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9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Rental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chart'!$I$2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chart'!$H$3:$H$27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chart'!$I$3:$I$27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64DF-4CAB-8FB4-915F4E0D1377}"/>
            </c:ext>
          </c:extLst>
        </c:ser>
        <c:dLbls>
          <c:showLegendKey val="0"/>
          <c:showVal val="0"/>
          <c:showCatName val="0"/>
          <c:showSerName val="0"/>
          <c:showPercent val="0"/>
          <c:showBubbleSize val="0"/>
        </c:dLbls>
        <c:marker val="1"/>
        <c:smooth val="0"/>
        <c:axId val="1893030880"/>
        <c:axId val="2023335664"/>
      </c:lineChart>
      <c:catAx>
        <c:axId val="1893030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335664"/>
        <c:crosses val="autoZero"/>
        <c:auto val="1"/>
        <c:lblAlgn val="ctr"/>
        <c:lblOffset val="100"/>
        <c:noMultiLvlLbl val="0"/>
      </c:catAx>
      <c:valAx>
        <c:axId val="2023335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303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Registered Vs Casual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chart'!$A$16</c:f>
              <c:strCache>
                <c:ptCount val="1"/>
                <c:pt idx="0">
                  <c:v>Sum of registered</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chart'!$A$17</c:f>
              <c:strCache>
                <c:ptCount val="1"/>
                <c:pt idx="0">
                  <c:v>Total</c:v>
                </c:pt>
              </c:strCache>
            </c:strRef>
          </c:cat>
          <c:val>
            <c:numRef>
              <c:f>'pivot chart'!$A$17</c:f>
              <c:numCache>
                <c:formatCode>General</c:formatCode>
                <c:ptCount val="1"/>
                <c:pt idx="0">
                  <c:v>53383</c:v>
                </c:pt>
              </c:numCache>
            </c:numRef>
          </c:val>
          <c:extLst>
            <c:ext xmlns:c16="http://schemas.microsoft.com/office/drawing/2014/chart" uri="{C3380CC4-5D6E-409C-BE32-E72D297353CC}">
              <c16:uniqueId val="{00000000-8BA4-4836-A04C-8F32FD9D3C6B}"/>
            </c:ext>
          </c:extLst>
        </c:ser>
        <c:ser>
          <c:idx val="1"/>
          <c:order val="1"/>
          <c:tx>
            <c:strRef>
              <c:f>'pivot chart'!$B$16</c:f>
              <c:strCache>
                <c:ptCount val="1"/>
                <c:pt idx="0">
                  <c:v>Sum of casual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chart'!$A$17</c:f>
              <c:strCache>
                <c:ptCount val="1"/>
                <c:pt idx="0">
                  <c:v>Total</c:v>
                </c:pt>
              </c:strCache>
            </c:strRef>
          </c:cat>
          <c:val>
            <c:numRef>
              <c:f>'pivot chart'!$B$17</c:f>
              <c:numCache>
                <c:formatCode>General</c:formatCode>
                <c:ptCount val="1"/>
                <c:pt idx="0">
                  <c:v>4921</c:v>
                </c:pt>
              </c:numCache>
            </c:numRef>
          </c:val>
          <c:extLst>
            <c:ext xmlns:c16="http://schemas.microsoft.com/office/drawing/2014/chart" uri="{C3380CC4-5D6E-409C-BE32-E72D297353CC}">
              <c16:uniqueId val="{00000002-8BA4-4836-A04C-8F32FD9D3C6B}"/>
            </c:ext>
          </c:extLst>
        </c:ser>
        <c:dLbls>
          <c:dLblPos val="outEnd"/>
          <c:showLegendKey val="0"/>
          <c:showVal val="1"/>
          <c:showCatName val="0"/>
          <c:showSerName val="0"/>
          <c:showPercent val="0"/>
          <c:showBubbleSize val="0"/>
        </c:dLbls>
        <c:gapWidth val="65"/>
        <c:axId val="464667584"/>
        <c:axId val="562985520"/>
      </c:barChart>
      <c:catAx>
        <c:axId val="464667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2985520"/>
        <c:crosses val="autoZero"/>
        <c:auto val="1"/>
        <c:lblAlgn val="ctr"/>
        <c:lblOffset val="100"/>
        <c:noMultiLvlLbl val="0"/>
      </c:catAx>
      <c:valAx>
        <c:axId val="562985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4667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chart!PivotTable3</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Rental By Weekday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chart'!$B$35</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1-C1A9-46F7-91E3-75BAA2C5FB7E}"/>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3-C1A9-46F7-91E3-75BAA2C5FB7E}"/>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5-C1A9-46F7-91E3-75BAA2C5FB7E}"/>
              </c:ext>
            </c:extLst>
          </c:dPt>
          <c:dPt>
            <c:idx val="3"/>
            <c:bubble3D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7-C1A9-46F7-91E3-75BAA2C5FB7E}"/>
              </c:ext>
            </c:extLst>
          </c:dPt>
          <c:dPt>
            <c:idx val="4"/>
            <c:bubble3D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9-C1A9-46F7-91E3-75BAA2C5FB7E}"/>
              </c:ext>
            </c:extLst>
          </c:dPt>
          <c:dPt>
            <c:idx val="5"/>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B-C1A9-46F7-91E3-75BAA2C5FB7E}"/>
              </c:ext>
            </c:extLst>
          </c:dPt>
          <c:dPt>
            <c:idx val="6"/>
            <c:bubble3D val="0"/>
            <c:spPr>
              <a:gradFill>
                <a:gsLst>
                  <a:gs pos="0">
                    <a:schemeClr val="accent1">
                      <a:lumMod val="60000"/>
                    </a:schemeClr>
                  </a:gs>
                  <a:gs pos="100000">
                    <a:schemeClr val="accent1">
                      <a:lumMod val="60000"/>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D-C1A9-46F7-91E3-75BAA2C5FB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chart'!$A$36:$A$43</c:f>
              <c:strCache>
                <c:ptCount val="7"/>
                <c:pt idx="0">
                  <c:v>Sunday</c:v>
                </c:pt>
                <c:pt idx="1">
                  <c:v>Monday</c:v>
                </c:pt>
                <c:pt idx="2">
                  <c:v>Tuesday</c:v>
                </c:pt>
                <c:pt idx="3">
                  <c:v>Wednesday</c:v>
                </c:pt>
                <c:pt idx="4">
                  <c:v>Friday</c:v>
                </c:pt>
                <c:pt idx="5">
                  <c:v>Saturday</c:v>
                </c:pt>
                <c:pt idx="6">
                  <c:v>Thrusday</c:v>
                </c:pt>
              </c:strCache>
            </c:strRef>
          </c:cat>
          <c:val>
            <c:numRef>
              <c:f>'pivot chart'!$B$36:$B$43</c:f>
              <c:numCache>
                <c:formatCode>General</c:formatCode>
                <c:ptCount val="7"/>
                <c:pt idx="0">
                  <c:v>8121</c:v>
                </c:pt>
                <c:pt idx="1">
                  <c:v>8450</c:v>
                </c:pt>
                <c:pt idx="2">
                  <c:v>8383</c:v>
                </c:pt>
                <c:pt idx="3">
                  <c:v>8049</c:v>
                </c:pt>
                <c:pt idx="4">
                  <c:v>9095</c:v>
                </c:pt>
                <c:pt idx="5">
                  <c:v>7748</c:v>
                </c:pt>
                <c:pt idx="6">
                  <c:v>8458</c:v>
                </c:pt>
              </c:numCache>
            </c:numRef>
          </c:val>
          <c:extLst>
            <c:ext xmlns:c16="http://schemas.microsoft.com/office/drawing/2014/chart" uri="{C3380CC4-5D6E-409C-BE32-E72D297353CC}">
              <c16:uniqueId val="{00000000-E1A6-4399-B1A7-C0F1B76951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[BikeData.xlsx]pivot chart!PivotTable4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Holiday VS Non-Holiday Renatal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chart'!$I$30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chart'!$H$31:$H$33</c:f>
              <c:strCache>
                <c:ptCount val="2"/>
                <c:pt idx="0">
                  <c:v>FALSE</c:v>
                </c:pt>
                <c:pt idx="1">
                  <c:v>TRUE</c:v>
                </c:pt>
              </c:strCache>
            </c:strRef>
          </c:cat>
          <c:val>
            <c:numRef>
              <c:f>'pivot chart'!$I$31:$I$33</c:f>
              <c:numCache>
                <c:formatCode>General</c:formatCode>
                <c:ptCount val="2"/>
                <c:pt idx="0">
                  <c:v>57304</c:v>
                </c:pt>
                <c:pt idx="1">
                  <c:v>1000</c:v>
                </c:pt>
              </c:numCache>
            </c:numRef>
          </c:val>
          <c:extLst>
            <c:ext xmlns:c16="http://schemas.microsoft.com/office/drawing/2014/chart" uri="{C3380CC4-5D6E-409C-BE32-E72D297353CC}">
              <c16:uniqueId val="{00000000-A9DF-4EFC-9769-FF54C407D13E}"/>
            </c:ext>
          </c:extLst>
        </c:ser>
        <c:dLbls>
          <c:dLblPos val="inEnd"/>
          <c:showLegendKey val="0"/>
          <c:showVal val="1"/>
          <c:showCatName val="0"/>
          <c:showSerName val="0"/>
          <c:showPercent val="0"/>
          <c:showBubbleSize val="0"/>
        </c:dLbls>
        <c:gapWidth val="100"/>
        <c:overlap val="-24"/>
        <c:axId val="564469152"/>
        <c:axId val="618022336"/>
      </c:barChart>
      <c:catAx>
        <c:axId val="5644691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8022336"/>
        <c:crosses val="autoZero"/>
        <c:auto val="1"/>
        <c:lblAlgn val="ctr"/>
        <c:lblOffset val="100"/>
        <c:noMultiLvlLbl val="0"/>
      </c:catAx>
      <c:valAx>
        <c:axId val="6180223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4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Temperature</a:t>
            </a:r>
            <a:r>
              <a:rPr lang="en-US" baseline="0"/>
              <a:t> Vs Rentals</a:t>
            </a:r>
            <a:endParaRPr lang="en-US"/>
          </a:p>
        </c:rich>
      </c:tx>
      <c:layout>
        <c:manualLayout>
          <c:xMode val="edge"/>
          <c:yMode val="edge"/>
          <c:x val="0.23320075828240003"/>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chart'!$A$53:$A$76</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chart'!$B$53:$B$76</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1-1882-4FB8-8DD1-99CD2DE0F999}"/>
            </c:ext>
          </c:extLst>
        </c:ser>
        <c:dLbls>
          <c:showLegendKey val="0"/>
          <c:showVal val="1"/>
          <c:showCatName val="0"/>
          <c:showSerName val="0"/>
          <c:showPercent val="0"/>
          <c:showBubbleSize val="0"/>
        </c:dLbls>
        <c:gapWidth val="150"/>
        <c:shape val="box"/>
        <c:axId val="564430352"/>
        <c:axId val="683403728"/>
        <c:axId val="0"/>
      </c:bar3DChart>
      <c:catAx>
        <c:axId val="56443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403728"/>
        <c:crosses val="autoZero"/>
        <c:auto val="1"/>
        <c:lblAlgn val="ctr"/>
        <c:lblOffset val="100"/>
        <c:noMultiLvlLbl val="0"/>
      </c:catAx>
      <c:valAx>
        <c:axId val="6834037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44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Rental</a:t>
            </a:r>
            <a:r>
              <a:rPr lang="en-US" baseline="0"/>
              <a:t> by Weather</a:t>
            </a:r>
            <a:endParaRPr lang="en-US"/>
          </a:p>
        </c:rich>
      </c:tx>
      <c:layout>
        <c:manualLayout>
          <c:xMode val="edge"/>
          <c:yMode val="edge"/>
          <c:x val="0.2605555555555556"/>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chart'!$K$47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74-40B8-A5FA-251519FC13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74-40B8-A5FA-251519FC13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574-40B8-A5FA-251519FC137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574-40B8-A5FA-251519FC13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chart'!$J$48:$J$52</c:f>
              <c:strCache>
                <c:ptCount val="4"/>
                <c:pt idx="0">
                  <c:v>Clear</c:v>
                </c:pt>
                <c:pt idx="1">
                  <c:v>Heavy rain/snow</c:v>
                </c:pt>
                <c:pt idx="2">
                  <c:v>Light rain/snow</c:v>
                </c:pt>
                <c:pt idx="3">
                  <c:v>Mist</c:v>
                </c:pt>
              </c:strCache>
            </c:strRef>
          </c:cat>
          <c:val>
            <c:numRef>
              <c:f>'pivot chart'!$K$48:$K$52</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596F-4466-9BB2-BFB5A81368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791960215499372E-2"/>
          <c:y val="3.896103896103896E-2"/>
          <c:w val="0.89927715557294463"/>
          <c:h val="0.68637011282680571"/>
        </c:manualLayout>
      </c:layout>
      <c:lineChart>
        <c:grouping val="standard"/>
        <c:varyColors val="0"/>
        <c:ser>
          <c:idx val="0"/>
          <c:order val="0"/>
          <c:tx>
            <c:strRef>
              <c:f>'  Forecast &amp; Anomaly '!$B$2</c:f>
              <c:strCache>
                <c:ptCount val="1"/>
                <c:pt idx="0">
                  <c:v>Sum of cnt</c:v>
                </c:pt>
              </c:strCache>
            </c:strRef>
          </c:tx>
          <c:spPr>
            <a:ln w="28575" cap="rnd">
              <a:solidFill>
                <a:schemeClr val="accent1"/>
              </a:solidFill>
              <a:round/>
            </a:ln>
            <a:effectLst/>
          </c:spPr>
          <c:marker>
            <c:symbol val="none"/>
          </c:marker>
          <c:val>
            <c:numRef>
              <c:f>'  Forecast &amp; Anomaly '!$B$3:$B$39</c:f>
              <c:numCache>
                <c:formatCode>General</c:formatCode>
                <c:ptCount val="37"/>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83D0-45D8-BD80-A3BB34FDDDA7}"/>
            </c:ext>
          </c:extLst>
        </c:ser>
        <c:ser>
          <c:idx val="1"/>
          <c:order val="1"/>
          <c:tx>
            <c:strRef>
              <c:f>'  Forecast &amp; Anomaly '!$C$2</c:f>
              <c:strCache>
                <c:ptCount val="1"/>
                <c:pt idx="0">
                  <c:v>Forecast(Sum of cnt)</c:v>
                </c:pt>
              </c:strCache>
            </c:strRef>
          </c:tx>
          <c:spPr>
            <a:ln w="25400" cap="rnd">
              <a:solidFill>
                <a:schemeClr val="accent2"/>
              </a:solidFill>
              <a:round/>
            </a:ln>
            <a:effectLst/>
          </c:spPr>
          <c:marker>
            <c:symbol val="none"/>
          </c:marker>
          <c:cat>
            <c:numRef>
              <c:f>'  Forecast &amp; Anomaly '!$A$3:$A$39</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  Forecast &amp; Anomaly '!$C$3:$C$39</c:f>
              <c:numCache>
                <c:formatCode>General</c:formatCode>
                <c:ptCount val="37"/>
                <c:pt idx="23">
                  <c:v>1083</c:v>
                </c:pt>
                <c:pt idx="24">
                  <c:v>1207.6791304347828</c:v>
                </c:pt>
                <c:pt idx="25">
                  <c:v>1332.3582608695649</c:v>
                </c:pt>
                <c:pt idx="26">
                  <c:v>1457.0373913043479</c:v>
                </c:pt>
                <c:pt idx="27">
                  <c:v>1581.7165217391303</c:v>
                </c:pt>
                <c:pt idx="28">
                  <c:v>1706.3956521739133</c:v>
                </c:pt>
                <c:pt idx="29">
                  <c:v>1831.0747826086954</c:v>
                </c:pt>
                <c:pt idx="30">
                  <c:v>1955.7539130434786</c:v>
                </c:pt>
                <c:pt idx="31">
                  <c:v>2080.433043478261</c:v>
                </c:pt>
                <c:pt idx="32">
                  <c:v>2205.1121739130435</c:v>
                </c:pt>
                <c:pt idx="33">
                  <c:v>2329.7913043478261</c:v>
                </c:pt>
                <c:pt idx="34">
                  <c:v>2454.4704347826087</c:v>
                </c:pt>
                <c:pt idx="35">
                  <c:v>2579.1495652173912</c:v>
                </c:pt>
                <c:pt idx="36">
                  <c:v>2703.8286956521738</c:v>
                </c:pt>
              </c:numCache>
            </c:numRef>
          </c:val>
          <c:smooth val="0"/>
          <c:extLst>
            <c:ext xmlns:c16="http://schemas.microsoft.com/office/drawing/2014/chart" uri="{C3380CC4-5D6E-409C-BE32-E72D297353CC}">
              <c16:uniqueId val="{00000001-83D0-45D8-BD80-A3BB34FDDDA7}"/>
            </c:ext>
          </c:extLst>
        </c:ser>
        <c:ser>
          <c:idx val="2"/>
          <c:order val="2"/>
          <c:tx>
            <c:strRef>
              <c:f>'  Forecast &amp; Anomaly '!$D$2</c:f>
              <c:strCache>
                <c:ptCount val="1"/>
                <c:pt idx="0">
                  <c:v>Lower Confidence Bound(Sum of cnt)</c:v>
                </c:pt>
              </c:strCache>
            </c:strRef>
          </c:tx>
          <c:spPr>
            <a:ln w="12700" cap="rnd">
              <a:solidFill>
                <a:srgbClr val="ED7D31"/>
              </a:solidFill>
              <a:prstDash val="solid"/>
              <a:round/>
            </a:ln>
            <a:effectLst/>
          </c:spPr>
          <c:marker>
            <c:symbol val="none"/>
          </c:marker>
          <c:cat>
            <c:numRef>
              <c:f>'  Forecast &amp; Anomaly '!$A$3:$A$39</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  Forecast &amp; Anomaly '!$D$3:$D$39</c:f>
              <c:numCache>
                <c:formatCode>General</c:formatCode>
                <c:ptCount val="37"/>
                <c:pt idx="23" formatCode="0.00">
                  <c:v>1083</c:v>
                </c:pt>
                <c:pt idx="24" formatCode="0.00">
                  <c:v>-1220.8144648477039</c:v>
                </c:pt>
                <c:pt idx="25" formatCode="0.00">
                  <c:v>-2100.3335429416366</c:v>
                </c:pt>
                <c:pt idx="26" formatCode="0.00">
                  <c:v>-2747.8352776691927</c:v>
                </c:pt>
                <c:pt idx="27" formatCode="0.00">
                  <c:v>-3275.2718830724898</c:v>
                </c:pt>
                <c:pt idx="28" formatCode="0.00">
                  <c:v>-3726.0560431195177</c:v>
                </c:pt>
                <c:pt idx="29" formatCode="0.00">
                  <c:v>-4122.4578770068356</c:v>
                </c:pt>
                <c:pt idx="30" formatCode="0.00">
                  <c:v>-4477.7060644393796</c:v>
                </c:pt>
                <c:pt idx="31" formatCode="0.00">
                  <c:v>-4800.4180430628239</c:v>
                </c:pt>
                <c:pt idx="32" formatCode="0.00">
                  <c:v>-5096.5777745927644</c:v>
                </c:pt>
                <c:pt idx="33" formatCode="0.00">
                  <c:v>-5370.540660178598</c:v>
                </c:pt>
                <c:pt idx="34" formatCode="0.00">
                  <c:v>-5625.5934418031338</c:v>
                </c:pt>
                <c:pt idx="35" formatCode="0.00">
                  <c:v>-5864.2885707949954</c:v>
                </c:pt>
                <c:pt idx="36" formatCode="0.00">
                  <c:v>-6088.6550308017559</c:v>
                </c:pt>
              </c:numCache>
            </c:numRef>
          </c:val>
          <c:smooth val="0"/>
          <c:extLst>
            <c:ext xmlns:c16="http://schemas.microsoft.com/office/drawing/2014/chart" uri="{C3380CC4-5D6E-409C-BE32-E72D297353CC}">
              <c16:uniqueId val="{00000002-83D0-45D8-BD80-A3BB34FDDDA7}"/>
            </c:ext>
          </c:extLst>
        </c:ser>
        <c:ser>
          <c:idx val="3"/>
          <c:order val="3"/>
          <c:tx>
            <c:strRef>
              <c:f>'  Forecast &amp; Anomaly '!$E$2</c:f>
              <c:strCache>
                <c:ptCount val="1"/>
                <c:pt idx="0">
                  <c:v>Upper Confidence Bound(Sum of cnt)</c:v>
                </c:pt>
              </c:strCache>
            </c:strRef>
          </c:tx>
          <c:spPr>
            <a:ln w="12700" cap="rnd">
              <a:solidFill>
                <a:srgbClr val="ED7D31"/>
              </a:solidFill>
              <a:prstDash val="solid"/>
              <a:round/>
            </a:ln>
            <a:effectLst/>
          </c:spPr>
          <c:marker>
            <c:symbol val="none"/>
          </c:marker>
          <c:cat>
            <c:numRef>
              <c:f>'  Forecast &amp; Anomaly '!$A$3:$A$39</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  Forecast &amp; Anomaly '!$E$3:$E$39</c:f>
              <c:numCache>
                <c:formatCode>General</c:formatCode>
                <c:ptCount val="37"/>
                <c:pt idx="23" formatCode="0.00">
                  <c:v>1083</c:v>
                </c:pt>
                <c:pt idx="24" formatCode="0.00">
                  <c:v>3636.1727257172697</c:v>
                </c:pt>
                <c:pt idx="25" formatCode="0.00">
                  <c:v>4765.0500646807668</c:v>
                </c:pt>
                <c:pt idx="26" formatCode="0.00">
                  <c:v>5661.9100602778881</c:v>
                </c:pt>
                <c:pt idx="27" formatCode="0.00">
                  <c:v>6438.7049265507503</c:v>
                </c:pt>
                <c:pt idx="28" formatCode="0.00">
                  <c:v>7138.8473474673447</c:v>
                </c:pt>
                <c:pt idx="29" formatCode="0.00">
                  <c:v>7784.6074422242264</c:v>
                </c:pt>
                <c:pt idx="30" formatCode="0.00">
                  <c:v>8389.2138905263364</c:v>
                </c:pt>
                <c:pt idx="31" formatCode="0.00">
                  <c:v>8961.2841300193468</c:v>
                </c:pt>
                <c:pt idx="32" formatCode="0.00">
                  <c:v>9506.8021224188524</c:v>
                </c:pt>
                <c:pt idx="33" formatCode="0.00">
                  <c:v>10030.123268874251</c:v>
                </c:pt>
                <c:pt idx="34" formatCode="0.00">
                  <c:v>10534.534311368352</c:v>
                </c:pt>
                <c:pt idx="35" formatCode="0.00">
                  <c:v>11022.587701229777</c:v>
                </c:pt>
                <c:pt idx="36" formatCode="0.00">
                  <c:v>11496.312422106103</c:v>
                </c:pt>
              </c:numCache>
            </c:numRef>
          </c:val>
          <c:smooth val="0"/>
          <c:extLst>
            <c:ext xmlns:c16="http://schemas.microsoft.com/office/drawing/2014/chart" uri="{C3380CC4-5D6E-409C-BE32-E72D297353CC}">
              <c16:uniqueId val="{00000003-83D0-45D8-BD80-A3BB34FDDDA7}"/>
            </c:ext>
          </c:extLst>
        </c:ser>
        <c:dLbls>
          <c:showLegendKey val="0"/>
          <c:showVal val="0"/>
          <c:showCatName val="0"/>
          <c:showSerName val="0"/>
          <c:showPercent val="0"/>
          <c:showBubbleSize val="0"/>
        </c:dLbls>
        <c:smooth val="0"/>
        <c:axId val="754815135"/>
        <c:axId val="653696415"/>
      </c:lineChart>
      <c:catAx>
        <c:axId val="7548151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96415"/>
        <c:crosses val="autoZero"/>
        <c:auto val="1"/>
        <c:lblAlgn val="ctr"/>
        <c:lblOffset val="100"/>
        <c:noMultiLvlLbl val="0"/>
      </c:catAx>
      <c:valAx>
        <c:axId val="65369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1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Rental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chart'!$I$2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chart'!$H$3:$H$27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chart'!$I$3:$I$27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9001-48A2-A81C-C7628B777DCA}"/>
            </c:ext>
          </c:extLst>
        </c:ser>
        <c:dLbls>
          <c:showLegendKey val="0"/>
          <c:showVal val="0"/>
          <c:showCatName val="0"/>
          <c:showSerName val="0"/>
          <c:showPercent val="0"/>
          <c:showBubbleSize val="0"/>
        </c:dLbls>
        <c:marker val="1"/>
        <c:smooth val="0"/>
        <c:axId val="1893030880"/>
        <c:axId val="2023335664"/>
      </c:lineChart>
      <c:catAx>
        <c:axId val="1893030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335664"/>
        <c:crosses val="autoZero"/>
        <c:auto val="1"/>
        <c:lblAlgn val="ctr"/>
        <c:lblOffset val="100"/>
        <c:noMultiLvlLbl val="0"/>
      </c:catAx>
      <c:valAx>
        <c:axId val="2023335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303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Registered Vs Casual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chart'!$A$16</c:f>
              <c:strCache>
                <c:ptCount val="1"/>
                <c:pt idx="0">
                  <c:v>Sum of registered</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chart'!$A$17</c:f>
              <c:strCache>
                <c:ptCount val="1"/>
                <c:pt idx="0">
                  <c:v>Total</c:v>
                </c:pt>
              </c:strCache>
            </c:strRef>
          </c:cat>
          <c:val>
            <c:numRef>
              <c:f>'pivot chart'!$A$17</c:f>
              <c:numCache>
                <c:formatCode>General</c:formatCode>
                <c:ptCount val="1"/>
                <c:pt idx="0">
                  <c:v>53383</c:v>
                </c:pt>
              </c:numCache>
            </c:numRef>
          </c:val>
          <c:extLst>
            <c:ext xmlns:c16="http://schemas.microsoft.com/office/drawing/2014/chart" uri="{C3380CC4-5D6E-409C-BE32-E72D297353CC}">
              <c16:uniqueId val="{00000000-2B99-417C-B0FE-3E7FE77A357A}"/>
            </c:ext>
          </c:extLst>
        </c:ser>
        <c:ser>
          <c:idx val="1"/>
          <c:order val="1"/>
          <c:tx>
            <c:strRef>
              <c:f>'pivot chart'!$B$16</c:f>
              <c:strCache>
                <c:ptCount val="1"/>
                <c:pt idx="0">
                  <c:v>Sum of casual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chart'!$A$17</c:f>
              <c:strCache>
                <c:ptCount val="1"/>
                <c:pt idx="0">
                  <c:v>Total</c:v>
                </c:pt>
              </c:strCache>
            </c:strRef>
          </c:cat>
          <c:val>
            <c:numRef>
              <c:f>'pivot chart'!$B$17</c:f>
              <c:numCache>
                <c:formatCode>General</c:formatCode>
                <c:ptCount val="1"/>
                <c:pt idx="0">
                  <c:v>4921</c:v>
                </c:pt>
              </c:numCache>
            </c:numRef>
          </c:val>
          <c:extLst>
            <c:ext xmlns:c16="http://schemas.microsoft.com/office/drawing/2014/chart" uri="{C3380CC4-5D6E-409C-BE32-E72D297353CC}">
              <c16:uniqueId val="{00000001-2B99-417C-B0FE-3E7FE77A357A}"/>
            </c:ext>
          </c:extLst>
        </c:ser>
        <c:dLbls>
          <c:dLblPos val="outEnd"/>
          <c:showLegendKey val="0"/>
          <c:showVal val="1"/>
          <c:showCatName val="0"/>
          <c:showSerName val="0"/>
          <c:showPercent val="0"/>
          <c:showBubbleSize val="0"/>
        </c:dLbls>
        <c:gapWidth val="65"/>
        <c:axId val="464667584"/>
        <c:axId val="562985520"/>
      </c:barChart>
      <c:catAx>
        <c:axId val="4646675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2985520"/>
        <c:crosses val="autoZero"/>
        <c:auto val="1"/>
        <c:lblAlgn val="ctr"/>
        <c:lblOffset val="100"/>
        <c:noMultiLvlLbl val="0"/>
      </c:catAx>
      <c:valAx>
        <c:axId val="56298552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4667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[BikeData.xlsx]pivot chart!PivotTable4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Holiday VS Non-Holiday Renatal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chart'!$I$30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chart'!$H$31:$H$33</c:f>
              <c:strCache>
                <c:ptCount val="2"/>
                <c:pt idx="0">
                  <c:v>FALSE</c:v>
                </c:pt>
                <c:pt idx="1">
                  <c:v>TRUE</c:v>
                </c:pt>
              </c:strCache>
            </c:strRef>
          </c:cat>
          <c:val>
            <c:numRef>
              <c:f>'pivot chart'!$I$31:$I$33</c:f>
              <c:numCache>
                <c:formatCode>General</c:formatCode>
                <c:ptCount val="2"/>
                <c:pt idx="0">
                  <c:v>57304</c:v>
                </c:pt>
                <c:pt idx="1">
                  <c:v>1000</c:v>
                </c:pt>
              </c:numCache>
            </c:numRef>
          </c:val>
          <c:extLst>
            <c:ext xmlns:c16="http://schemas.microsoft.com/office/drawing/2014/chart" uri="{C3380CC4-5D6E-409C-BE32-E72D297353CC}">
              <c16:uniqueId val="{00000000-2EE7-49E6-ADB2-23A282EF8E52}"/>
            </c:ext>
          </c:extLst>
        </c:ser>
        <c:dLbls>
          <c:dLblPos val="inEnd"/>
          <c:showLegendKey val="0"/>
          <c:showVal val="1"/>
          <c:showCatName val="0"/>
          <c:showSerName val="0"/>
          <c:showPercent val="0"/>
          <c:showBubbleSize val="0"/>
        </c:dLbls>
        <c:gapWidth val="100"/>
        <c:axId val="564469152"/>
        <c:axId val="618022336"/>
      </c:barChart>
      <c:catAx>
        <c:axId val="564469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22336"/>
        <c:crosses val="autoZero"/>
        <c:auto val="1"/>
        <c:lblAlgn val="ctr"/>
        <c:lblOffset val="100"/>
        <c:noMultiLvlLbl val="0"/>
      </c:catAx>
      <c:valAx>
        <c:axId val="61802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4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chart!PivotTable3</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Rental By Weekday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2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2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2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2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chart'!$B$35</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1-4C62-4C13-9751-E35CD4C631AC}"/>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3-4C62-4C13-9751-E35CD4C631AC}"/>
              </c:ext>
            </c:extLst>
          </c:dPt>
          <c:dPt>
            <c:idx val="2"/>
            <c:bubble3D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5-4C62-4C13-9751-E35CD4C631AC}"/>
              </c:ext>
            </c:extLst>
          </c:dPt>
          <c:dPt>
            <c:idx val="3"/>
            <c:bubble3D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7-4C62-4C13-9751-E35CD4C631AC}"/>
              </c:ext>
            </c:extLst>
          </c:dPt>
          <c:dPt>
            <c:idx val="4"/>
            <c:bubble3D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9-4C62-4C13-9751-E35CD4C631AC}"/>
              </c:ext>
            </c:extLst>
          </c:dPt>
          <c:dPt>
            <c:idx val="5"/>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B-4C62-4C13-9751-E35CD4C631AC}"/>
              </c:ext>
            </c:extLst>
          </c:dPt>
          <c:dPt>
            <c:idx val="6"/>
            <c:bubble3D val="0"/>
            <c:spPr>
              <a:gradFill>
                <a:gsLst>
                  <a:gs pos="0">
                    <a:schemeClr val="accent1">
                      <a:lumMod val="60000"/>
                    </a:schemeClr>
                  </a:gs>
                  <a:gs pos="100000">
                    <a:schemeClr val="accent1">
                      <a:lumMod val="60000"/>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D-4C62-4C13-9751-E35CD4C631A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chart'!$A$36:$A$43</c:f>
              <c:strCache>
                <c:ptCount val="7"/>
                <c:pt idx="0">
                  <c:v>Sunday</c:v>
                </c:pt>
                <c:pt idx="1">
                  <c:v>Monday</c:v>
                </c:pt>
                <c:pt idx="2">
                  <c:v>Tuesday</c:v>
                </c:pt>
                <c:pt idx="3">
                  <c:v>Wednesday</c:v>
                </c:pt>
                <c:pt idx="4">
                  <c:v>Friday</c:v>
                </c:pt>
                <c:pt idx="5">
                  <c:v>Saturday</c:v>
                </c:pt>
                <c:pt idx="6">
                  <c:v>Thrusday</c:v>
                </c:pt>
              </c:strCache>
            </c:strRef>
          </c:cat>
          <c:val>
            <c:numRef>
              <c:f>'pivot chart'!$B$36:$B$43</c:f>
              <c:numCache>
                <c:formatCode>General</c:formatCode>
                <c:ptCount val="7"/>
                <c:pt idx="0">
                  <c:v>8121</c:v>
                </c:pt>
                <c:pt idx="1">
                  <c:v>8450</c:v>
                </c:pt>
                <c:pt idx="2">
                  <c:v>8383</c:v>
                </c:pt>
                <c:pt idx="3">
                  <c:v>8049</c:v>
                </c:pt>
                <c:pt idx="4">
                  <c:v>9095</c:v>
                </c:pt>
                <c:pt idx="5">
                  <c:v>7748</c:v>
                </c:pt>
                <c:pt idx="6">
                  <c:v>8458</c:v>
                </c:pt>
              </c:numCache>
            </c:numRef>
          </c:val>
          <c:extLst>
            <c:ext xmlns:c16="http://schemas.microsoft.com/office/drawing/2014/chart" uri="{C3380CC4-5D6E-409C-BE32-E72D297353CC}">
              <c16:uniqueId val="{0000000E-4C62-4C13-9751-E35CD4C631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Rental</a:t>
            </a:r>
            <a:r>
              <a:rPr lang="en-US" baseline="0"/>
              <a:t> by Weather</a:t>
            </a:r>
            <a:endParaRPr lang="en-US"/>
          </a:p>
        </c:rich>
      </c:tx>
      <c:layout>
        <c:manualLayout>
          <c:xMode val="edge"/>
          <c:yMode val="edge"/>
          <c:x val="0.2605555555555556"/>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chart'!$K$47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B88-4646-A0FA-C06B2EF714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B88-4646-A0FA-C06B2EF7141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B88-4646-A0FA-C06B2EF7141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B88-4646-A0FA-C06B2EF7141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chart'!$J$48:$J$52</c:f>
              <c:strCache>
                <c:ptCount val="4"/>
                <c:pt idx="0">
                  <c:v>Clear</c:v>
                </c:pt>
                <c:pt idx="1">
                  <c:v>Heavy rain/snow</c:v>
                </c:pt>
                <c:pt idx="2">
                  <c:v>Light rain/snow</c:v>
                </c:pt>
                <c:pt idx="3">
                  <c:v>Mist</c:v>
                </c:pt>
              </c:strCache>
            </c:strRef>
          </c:cat>
          <c:val>
            <c:numRef>
              <c:f>'pivot chart'!$K$48:$K$52</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8-CB88-4646-A0FA-C06B2EF7141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Temperature</a:t>
            </a:r>
            <a:r>
              <a:rPr lang="en-US" baseline="0"/>
              <a:t> Vs Rentals</a:t>
            </a:r>
            <a:endParaRPr lang="en-US"/>
          </a:p>
        </c:rich>
      </c:tx>
      <c:layout>
        <c:manualLayout>
          <c:xMode val="edge"/>
          <c:yMode val="edge"/>
          <c:x val="0.23320075828240003"/>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chart'!$A$53:$A$76</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chart'!$B$53:$B$76</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E885-4745-B76A-C773FFF7902A}"/>
            </c:ext>
          </c:extLst>
        </c:ser>
        <c:dLbls>
          <c:showLegendKey val="0"/>
          <c:showVal val="1"/>
          <c:showCatName val="0"/>
          <c:showSerName val="0"/>
          <c:showPercent val="0"/>
          <c:showBubbleSize val="0"/>
        </c:dLbls>
        <c:gapWidth val="150"/>
        <c:shape val="box"/>
        <c:axId val="564430352"/>
        <c:axId val="683403728"/>
        <c:axId val="0"/>
      </c:bar3DChart>
      <c:catAx>
        <c:axId val="56443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403728"/>
        <c:crosses val="autoZero"/>
        <c:auto val="1"/>
        <c:lblAlgn val="ctr"/>
        <c:lblOffset val="100"/>
        <c:noMultiLvlLbl val="0"/>
      </c:catAx>
      <c:valAx>
        <c:axId val="6834037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443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Rental by Season</a:t>
            </a:r>
          </a:p>
        </c:rich>
      </c:tx>
      <c:layout>
        <c:manualLayout>
          <c:xMode val="edge"/>
          <c:yMode val="edge"/>
          <c:x val="0.29739445311732504"/>
          <c:y val="8.31645599345317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pivotFmt>
    </c:pivotFmts>
    <c:view3D>
      <c:rotX val="15"/>
      <c:rotY val="20"/>
      <c:depthPercent val="100"/>
      <c:rAngAx val="1"/>
    </c:view3D>
    <c:floor>
      <c:thickness val="0"/>
      <c:spPr>
        <a:solidFill>
          <a:schemeClr val="accent2"/>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27293425671189"/>
          <c:y val="0.26520513883133029"/>
          <c:w val="0.56358637700407932"/>
          <c:h val="0.62399153706894672"/>
        </c:manualLayout>
      </c:layout>
      <c:bar3DChart>
        <c:barDir val="col"/>
        <c:grouping val="clustered"/>
        <c:varyColors val="0"/>
        <c:ser>
          <c:idx val="0"/>
          <c:order val="0"/>
          <c:tx>
            <c:strRef>
              <c:f>'pivot chart'!$B$4</c:f>
              <c:strCache>
                <c:ptCount val="1"/>
                <c:pt idx="0">
                  <c:v>Total</c:v>
                </c:pt>
              </c:strCache>
            </c:strRef>
          </c:tx>
          <c:spPr>
            <a:solidFill>
              <a:schemeClr val="accent1"/>
            </a:solidFill>
            <a:ln>
              <a:noFill/>
            </a:ln>
            <a:effectLst/>
            <a:sp3d/>
          </c:spPr>
          <c:invertIfNegative val="0"/>
          <c:cat>
            <c:strRef>
              <c:f>'pivot chart'!$A$5:$A$6</c:f>
              <c:strCache>
                <c:ptCount val="1"/>
                <c:pt idx="0">
                  <c:v>1</c:v>
                </c:pt>
              </c:strCache>
            </c:strRef>
          </c:cat>
          <c:val>
            <c:numRef>
              <c:f>'pivot chart'!$B$5:$B$6</c:f>
              <c:numCache>
                <c:formatCode>General</c:formatCode>
                <c:ptCount val="1"/>
                <c:pt idx="0">
                  <c:v>58304</c:v>
                </c:pt>
              </c:numCache>
            </c:numRef>
          </c:val>
          <c:extLst>
            <c:ext xmlns:c16="http://schemas.microsoft.com/office/drawing/2014/chart" uri="{C3380CC4-5D6E-409C-BE32-E72D297353CC}">
              <c16:uniqueId val="{00000000-DF7B-4741-A2FC-9B3EC79129F6}"/>
            </c:ext>
          </c:extLst>
        </c:ser>
        <c:dLbls>
          <c:showLegendKey val="0"/>
          <c:showVal val="0"/>
          <c:showCatName val="0"/>
          <c:showSerName val="0"/>
          <c:showPercent val="0"/>
          <c:showBubbleSize val="0"/>
        </c:dLbls>
        <c:gapWidth val="150"/>
        <c:shape val="box"/>
        <c:axId val="481690399"/>
        <c:axId val="577437983"/>
        <c:axId val="0"/>
      </c:bar3DChart>
      <c:catAx>
        <c:axId val="48169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437983"/>
        <c:crosses val="autoZero"/>
        <c:auto val="1"/>
        <c:lblAlgn val="ctr"/>
        <c:lblOffset val="100"/>
        <c:noMultiLvlLbl val="0"/>
      </c:catAx>
      <c:valAx>
        <c:axId val="57743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9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[BikeData.xlsx]pivot chart!PivotTable2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Registered Vs Casual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chart'!$A$16</c:f>
              <c:strCache>
                <c:ptCount val="1"/>
                <c:pt idx="0">
                  <c:v>Sum of registered</c:v>
                </c:pt>
              </c:strCache>
            </c:strRef>
          </c:tx>
          <c:spPr>
            <a:solidFill>
              <a:srgbClr val="FFC000"/>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chart'!$A$17</c:f>
              <c:strCache>
                <c:ptCount val="1"/>
                <c:pt idx="0">
                  <c:v>Total</c:v>
                </c:pt>
              </c:strCache>
            </c:strRef>
          </c:cat>
          <c:val>
            <c:numRef>
              <c:f>'pivot chart'!$A$17</c:f>
              <c:numCache>
                <c:formatCode>General</c:formatCode>
                <c:ptCount val="1"/>
                <c:pt idx="0">
                  <c:v>53383</c:v>
                </c:pt>
              </c:numCache>
            </c:numRef>
          </c:val>
          <c:extLst>
            <c:ext xmlns:c16="http://schemas.microsoft.com/office/drawing/2014/chart" uri="{C3380CC4-5D6E-409C-BE32-E72D297353CC}">
              <c16:uniqueId val="{00000000-475B-4F67-BFD3-53E67FC5E7DD}"/>
            </c:ext>
          </c:extLst>
        </c:ser>
        <c:ser>
          <c:idx val="1"/>
          <c:order val="1"/>
          <c:tx>
            <c:strRef>
              <c:f>'pivot chart'!$B$16</c:f>
              <c:strCache>
                <c:ptCount val="1"/>
                <c:pt idx="0">
                  <c:v>Sum of casual</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chart'!$A$17</c:f>
              <c:strCache>
                <c:ptCount val="1"/>
                <c:pt idx="0">
                  <c:v>Total</c:v>
                </c:pt>
              </c:strCache>
            </c:strRef>
          </c:cat>
          <c:val>
            <c:numRef>
              <c:f>'pivot chart'!$B$17</c:f>
              <c:numCache>
                <c:formatCode>General</c:formatCode>
                <c:ptCount val="1"/>
                <c:pt idx="0">
                  <c:v>4921</c:v>
                </c:pt>
              </c:numCache>
            </c:numRef>
          </c:val>
          <c:extLst>
            <c:ext xmlns:c16="http://schemas.microsoft.com/office/drawing/2014/chart" uri="{C3380CC4-5D6E-409C-BE32-E72D297353CC}">
              <c16:uniqueId val="{00000001-475B-4F67-BFD3-53E67FC5E7DD}"/>
            </c:ext>
          </c:extLst>
        </c:ser>
        <c:dLbls>
          <c:dLblPos val="outEnd"/>
          <c:showLegendKey val="0"/>
          <c:showVal val="1"/>
          <c:showCatName val="0"/>
          <c:showSerName val="0"/>
          <c:showPercent val="0"/>
          <c:showBubbleSize val="0"/>
        </c:dLbls>
        <c:gapWidth val="65"/>
        <c:axId val="464667584"/>
        <c:axId val="562985520"/>
      </c:barChart>
      <c:catAx>
        <c:axId val="464667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2985520"/>
        <c:crosses val="autoZero"/>
        <c:auto val="1"/>
        <c:lblAlgn val="ctr"/>
        <c:lblOffset val="100"/>
        <c:noMultiLvlLbl val="0"/>
      </c:catAx>
      <c:valAx>
        <c:axId val="562985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64667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Rental by hours  for Forecasting</a:t>
            </a:r>
          </a:p>
        </c:rich>
      </c:tx>
      <c:layout>
        <c:manualLayout>
          <c:xMode val="edge"/>
          <c:yMode val="edge"/>
          <c:x val="0.33170408838653836"/>
          <c:y val="6.7956987329410801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91978142264361E-2"/>
          <c:y val="5.5950361077234188E-2"/>
          <c:w val="0.89927715557294463"/>
          <c:h val="0.68637011282680571"/>
        </c:manualLayout>
      </c:layout>
      <c:lineChart>
        <c:grouping val="standard"/>
        <c:varyColors val="0"/>
        <c:ser>
          <c:idx val="0"/>
          <c:order val="0"/>
          <c:tx>
            <c:strRef>
              <c:f>'  Forecast &amp; Anomaly '!$B$2</c:f>
              <c:strCache>
                <c:ptCount val="1"/>
                <c:pt idx="0">
                  <c:v>Sum of cnt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  Forecast &amp; Anomaly '!$B$3:$B$39</c:f>
              <c:numCache>
                <c:formatCode>General</c:formatCode>
                <c:ptCount val="37"/>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F617-45E7-8F69-0FBAF1536B24}"/>
            </c:ext>
          </c:extLst>
        </c:ser>
        <c:ser>
          <c:idx val="1"/>
          <c:order val="1"/>
          <c:tx>
            <c:strRef>
              <c:f>'  Forecast &amp; Anomaly '!$C$2</c:f>
              <c:strCache>
                <c:ptCount val="1"/>
                <c:pt idx="0">
                  <c:v>Forecast(Sum of cnt)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  Forecast &amp; Anomaly '!$A$3:$A$39</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  Forecast &amp; Anomaly '!$C$3:$C$39</c:f>
              <c:numCache>
                <c:formatCode>General</c:formatCode>
                <c:ptCount val="37"/>
                <c:pt idx="23">
                  <c:v>1083</c:v>
                </c:pt>
                <c:pt idx="24">
                  <c:v>1207.6791304347828</c:v>
                </c:pt>
                <c:pt idx="25">
                  <c:v>1332.3582608695649</c:v>
                </c:pt>
                <c:pt idx="26">
                  <c:v>1457.0373913043479</c:v>
                </c:pt>
                <c:pt idx="27">
                  <c:v>1581.7165217391303</c:v>
                </c:pt>
                <c:pt idx="28">
                  <c:v>1706.3956521739133</c:v>
                </c:pt>
                <c:pt idx="29">
                  <c:v>1831.0747826086954</c:v>
                </c:pt>
                <c:pt idx="30">
                  <c:v>1955.7539130434786</c:v>
                </c:pt>
                <c:pt idx="31">
                  <c:v>2080.433043478261</c:v>
                </c:pt>
                <c:pt idx="32">
                  <c:v>2205.1121739130435</c:v>
                </c:pt>
                <c:pt idx="33">
                  <c:v>2329.7913043478261</c:v>
                </c:pt>
                <c:pt idx="34">
                  <c:v>2454.4704347826087</c:v>
                </c:pt>
                <c:pt idx="35">
                  <c:v>2579.1495652173912</c:v>
                </c:pt>
                <c:pt idx="36">
                  <c:v>2703.8286956521738</c:v>
                </c:pt>
              </c:numCache>
            </c:numRef>
          </c:val>
          <c:smooth val="0"/>
          <c:extLst>
            <c:ext xmlns:c16="http://schemas.microsoft.com/office/drawing/2014/chart" uri="{C3380CC4-5D6E-409C-BE32-E72D297353CC}">
              <c16:uniqueId val="{00000001-F617-45E7-8F69-0FBAF1536B24}"/>
            </c:ext>
          </c:extLst>
        </c:ser>
        <c:ser>
          <c:idx val="2"/>
          <c:order val="2"/>
          <c:tx>
            <c:strRef>
              <c:f>'  Forecast &amp; Anomaly '!$D$2</c:f>
              <c:strCache>
                <c:ptCount val="1"/>
                <c:pt idx="0">
                  <c:v>Lower Confidence Bound(Sum of cnt)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  Forecast &amp; Anomaly '!$A$3:$A$39</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  Forecast &amp; Anomaly '!$D$3:$D$39</c:f>
              <c:numCache>
                <c:formatCode>General</c:formatCode>
                <c:ptCount val="37"/>
                <c:pt idx="23" formatCode="0.00">
                  <c:v>1083</c:v>
                </c:pt>
                <c:pt idx="24" formatCode="0.00">
                  <c:v>-1220.8144648477039</c:v>
                </c:pt>
                <c:pt idx="25" formatCode="0.00">
                  <c:v>-2100.3335429416366</c:v>
                </c:pt>
                <c:pt idx="26" formatCode="0.00">
                  <c:v>-2747.8352776691927</c:v>
                </c:pt>
                <c:pt idx="27" formatCode="0.00">
                  <c:v>-3275.2718830724898</c:v>
                </c:pt>
                <c:pt idx="28" formatCode="0.00">
                  <c:v>-3726.0560431195177</c:v>
                </c:pt>
                <c:pt idx="29" formatCode="0.00">
                  <c:v>-4122.4578770068356</c:v>
                </c:pt>
                <c:pt idx="30" formatCode="0.00">
                  <c:v>-4477.7060644393796</c:v>
                </c:pt>
                <c:pt idx="31" formatCode="0.00">
                  <c:v>-4800.4180430628239</c:v>
                </c:pt>
                <c:pt idx="32" formatCode="0.00">
                  <c:v>-5096.5777745927644</c:v>
                </c:pt>
                <c:pt idx="33" formatCode="0.00">
                  <c:v>-5370.540660178598</c:v>
                </c:pt>
                <c:pt idx="34" formatCode="0.00">
                  <c:v>-5625.5934418031338</c:v>
                </c:pt>
                <c:pt idx="35" formatCode="0.00">
                  <c:v>-5864.2885707949954</c:v>
                </c:pt>
                <c:pt idx="36" formatCode="0.00">
                  <c:v>-6088.6550308017559</c:v>
                </c:pt>
              </c:numCache>
            </c:numRef>
          </c:val>
          <c:smooth val="0"/>
          <c:extLst>
            <c:ext xmlns:c16="http://schemas.microsoft.com/office/drawing/2014/chart" uri="{C3380CC4-5D6E-409C-BE32-E72D297353CC}">
              <c16:uniqueId val="{00000002-F617-45E7-8F69-0FBAF1536B24}"/>
            </c:ext>
          </c:extLst>
        </c:ser>
        <c:ser>
          <c:idx val="3"/>
          <c:order val="3"/>
          <c:tx>
            <c:strRef>
              <c:f>'  Forecast &amp; Anomaly '!$E$2</c:f>
              <c:strCache>
                <c:ptCount val="1"/>
                <c:pt idx="0">
                  <c:v>Upper Confidence Bound(Sum of cnt)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  Forecast &amp; Anomaly '!$A$3:$A$39</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numCache>
            </c:numRef>
          </c:cat>
          <c:val>
            <c:numRef>
              <c:f>'  Forecast &amp; Anomaly '!$E$3:$E$39</c:f>
              <c:numCache>
                <c:formatCode>General</c:formatCode>
                <c:ptCount val="37"/>
                <c:pt idx="23" formatCode="0.00">
                  <c:v>1083</c:v>
                </c:pt>
                <c:pt idx="24" formatCode="0.00">
                  <c:v>3636.1727257172697</c:v>
                </c:pt>
                <c:pt idx="25" formatCode="0.00">
                  <c:v>4765.0500646807668</c:v>
                </c:pt>
                <c:pt idx="26" formatCode="0.00">
                  <c:v>5661.9100602778881</c:v>
                </c:pt>
                <c:pt idx="27" formatCode="0.00">
                  <c:v>6438.7049265507503</c:v>
                </c:pt>
                <c:pt idx="28" formatCode="0.00">
                  <c:v>7138.8473474673447</c:v>
                </c:pt>
                <c:pt idx="29" formatCode="0.00">
                  <c:v>7784.6074422242264</c:v>
                </c:pt>
                <c:pt idx="30" formatCode="0.00">
                  <c:v>8389.2138905263364</c:v>
                </c:pt>
                <c:pt idx="31" formatCode="0.00">
                  <c:v>8961.2841300193468</c:v>
                </c:pt>
                <c:pt idx="32" formatCode="0.00">
                  <c:v>9506.8021224188524</c:v>
                </c:pt>
                <c:pt idx="33" formatCode="0.00">
                  <c:v>10030.123268874251</c:v>
                </c:pt>
                <c:pt idx="34" formatCode="0.00">
                  <c:v>10534.534311368352</c:v>
                </c:pt>
                <c:pt idx="35" formatCode="0.00">
                  <c:v>11022.587701229777</c:v>
                </c:pt>
                <c:pt idx="36" formatCode="0.00">
                  <c:v>11496.312422106103</c:v>
                </c:pt>
              </c:numCache>
            </c:numRef>
          </c:val>
          <c:smooth val="0"/>
          <c:extLst>
            <c:ext xmlns:c16="http://schemas.microsoft.com/office/drawing/2014/chart" uri="{C3380CC4-5D6E-409C-BE32-E72D297353CC}">
              <c16:uniqueId val="{00000003-F617-45E7-8F69-0FBAF1536B24}"/>
            </c:ext>
          </c:extLst>
        </c:ser>
        <c:dLbls>
          <c:dLblPos val="t"/>
          <c:showLegendKey val="0"/>
          <c:showVal val="0"/>
          <c:showCatName val="0"/>
          <c:showSerName val="0"/>
          <c:showPercent val="0"/>
          <c:showBubbleSize val="0"/>
        </c:dLbls>
        <c:marker val="1"/>
        <c:smooth val="0"/>
        <c:axId val="754815135"/>
        <c:axId val="653696415"/>
      </c:lineChart>
      <c:catAx>
        <c:axId val="7548151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96415"/>
        <c:crosses val="autoZero"/>
        <c:auto val="1"/>
        <c:lblAlgn val="ctr"/>
        <c:lblOffset val="100"/>
        <c:noMultiLvlLbl val="0"/>
      </c:catAx>
      <c:valAx>
        <c:axId val="65369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1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Rental User Distribution</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Rental User Distribution</a:t>
          </a:r>
        </a:p>
      </cx:txPr>
    </cx:title>
    <cx:plotArea>
      <cx:plotAreaRegion>
        <cx:series layoutId="funnel" uniqueId="{6C5C3E8F-E9BF-4D64-BBE1-C85400084529}">
          <cx:spPr>
            <a:solidFill>
              <a:schemeClr val="accent2"/>
            </a:solidFill>
          </cx:spPr>
          <cx:dataLabels>
            <cx:visibility seriesName="0" categoryName="0" value="1"/>
          </cx:dataLabels>
          <cx:dataId val="0"/>
        </cx:series>
      </cx:plotAreaRegion>
      <cx:axis id="1">
        <cx:catScaling gapWidth="0.150000006"/>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_xlchart.v2.4</cx:f>
      </cx:strDim>
      <cx:numDim type="val">
        <cx:f dir="row">_xlchart.v2.5</cx:f>
      </cx:numDim>
    </cx:data>
  </cx:chartData>
  <cx:chart>
    <cx:title pos="t" align="ctr" overlay="0">
      <cx:tx>
        <cx:txData>
          <cx:v>Rental User Distribution</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Calibri" panose="020F0502020204030204"/>
            </a:rPr>
            <a:t>Rental User Distribution</a:t>
          </a:r>
        </a:p>
      </cx:txPr>
    </cx:title>
    <cx:plotArea>
      <cx:plotAreaRegion>
        <cx:series layoutId="funnel" uniqueId="{6C5C3E8F-E9BF-4D64-BBE1-C85400084529}">
          <cx:spPr>
            <a:solidFill>
              <a:schemeClr val="accent2"/>
            </a:solidFill>
          </cx:spPr>
          <cx:data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1.jpg"/><Relationship Id="rId6" Type="http://schemas.openxmlformats.org/officeDocument/2006/relationships/chart" Target="../charts/chart15.xml"/><Relationship Id="rId11" Type="http://schemas.microsoft.com/office/2014/relationships/chartEx" Target="../charts/chartEx2.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25</xdr:col>
      <xdr:colOff>30017</xdr:colOff>
      <xdr:row>13</xdr:row>
      <xdr:rowOff>178953</xdr:rowOff>
    </xdr:from>
    <xdr:to>
      <xdr:col>28</xdr:col>
      <xdr:colOff>23090</xdr:colOff>
      <xdr:row>21</xdr:row>
      <xdr:rowOff>0</xdr:rowOff>
    </xdr:to>
    <mc:AlternateContent xmlns:mc="http://schemas.openxmlformats.org/markup-compatibility/2006" xmlns:a14="http://schemas.microsoft.com/office/drawing/2010/main">
      <mc:Choice Requires="a14">
        <xdr:graphicFrame macro="">
          <xdr:nvGraphicFramePr>
            <xdr:cNvPr id="3" name="Hours">
              <a:extLst>
                <a:ext uri="{FF2B5EF4-FFF2-40B4-BE49-F238E27FC236}">
                  <a16:creationId xmlns:a16="http://schemas.microsoft.com/office/drawing/2014/main" id="{BE12451D-50DE-4105-874B-9225387CCD53}"/>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mlns="">
        <xdr:sp macro="" textlink="">
          <xdr:nvSpPr>
            <xdr:cNvPr id="0" name=""/>
            <xdr:cNvSpPr>
              <a:spLocks noTextEdit="1"/>
            </xdr:cNvSpPr>
          </xdr:nvSpPr>
          <xdr:spPr>
            <a:xfrm>
              <a:off x="17244290" y="2580408"/>
              <a:ext cx="1828800" cy="1298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41563</xdr:colOff>
      <xdr:row>13</xdr:row>
      <xdr:rowOff>176067</xdr:rowOff>
    </xdr:from>
    <xdr:to>
      <xdr:col>25</xdr:col>
      <xdr:colOff>34635</xdr:colOff>
      <xdr:row>21</xdr:row>
      <xdr:rowOff>34636</xdr:rowOff>
    </xdr:to>
    <mc:AlternateContent xmlns:mc="http://schemas.openxmlformats.org/markup-compatibility/2006" xmlns:a14="http://schemas.microsoft.com/office/drawing/2010/main">
      <mc:Choice Requires="a14">
        <xdr:graphicFrame macro="">
          <xdr:nvGraphicFramePr>
            <xdr:cNvPr id="4" name="Wethers">
              <a:extLst>
                <a:ext uri="{FF2B5EF4-FFF2-40B4-BE49-F238E27FC236}">
                  <a16:creationId xmlns:a16="http://schemas.microsoft.com/office/drawing/2014/main" id="{BC84DE1B-84EB-44A6-BBF6-964D9C21EC31}"/>
                </a:ext>
              </a:extLst>
            </xdr:cNvPr>
            <xdr:cNvGraphicFramePr/>
          </xdr:nvGraphicFramePr>
          <xdr:xfrm>
            <a:off x="0" y="0"/>
            <a:ext cx="0" cy="0"/>
          </xdr:xfrm>
          <a:graphic>
            <a:graphicData uri="http://schemas.microsoft.com/office/drawing/2010/slicer">
              <sle:slicer xmlns:sle="http://schemas.microsoft.com/office/drawing/2010/slicer" name="Wethers"/>
            </a:graphicData>
          </a:graphic>
        </xdr:graphicFrame>
      </mc:Choice>
      <mc:Fallback xmlns="">
        <xdr:sp macro="" textlink="">
          <xdr:nvSpPr>
            <xdr:cNvPr id="0" name=""/>
            <xdr:cNvSpPr>
              <a:spLocks noTextEdit="1"/>
            </xdr:cNvSpPr>
          </xdr:nvSpPr>
          <xdr:spPr>
            <a:xfrm>
              <a:off x="15420108" y="2577522"/>
              <a:ext cx="1828800" cy="1336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41564</xdr:colOff>
      <xdr:row>2</xdr:row>
      <xdr:rowOff>17318</xdr:rowOff>
    </xdr:from>
    <xdr:to>
      <xdr:col>28</xdr:col>
      <xdr:colOff>34637</xdr:colOff>
      <xdr:row>13</xdr:row>
      <xdr:rowOff>161636</xdr:rowOff>
    </xdr:to>
    <mc:AlternateContent xmlns:mc="http://schemas.openxmlformats.org/markup-compatibility/2006" xmlns:a14="http://schemas.microsoft.com/office/drawing/2010/main">
      <mc:Choice Requires="a14">
        <xdr:graphicFrame macro="">
          <xdr:nvGraphicFramePr>
            <xdr:cNvPr id="5" name="Weekday">
              <a:extLst>
                <a:ext uri="{FF2B5EF4-FFF2-40B4-BE49-F238E27FC236}">
                  <a16:creationId xmlns:a16="http://schemas.microsoft.com/office/drawing/2014/main" id="{880CF7BE-3CFC-45F8-935A-65BE3611384D}"/>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7255837" y="386773"/>
              <a:ext cx="1828800" cy="2176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54263</xdr:colOff>
      <xdr:row>21</xdr:row>
      <xdr:rowOff>18473</xdr:rowOff>
    </xdr:from>
    <xdr:to>
      <xdr:col>28</xdr:col>
      <xdr:colOff>47336</xdr:colOff>
      <xdr:row>34</xdr:row>
      <xdr:rowOff>141144</xdr:rowOff>
    </xdr:to>
    <mc:AlternateContent xmlns:mc="http://schemas.openxmlformats.org/markup-compatibility/2006" xmlns:a14="http://schemas.microsoft.com/office/drawing/2010/main">
      <mc:Choice Requires="a14">
        <xdr:graphicFrame macro="">
          <xdr:nvGraphicFramePr>
            <xdr:cNvPr id="6" name="casual">
              <a:extLst>
                <a:ext uri="{FF2B5EF4-FFF2-40B4-BE49-F238E27FC236}">
                  <a16:creationId xmlns:a16="http://schemas.microsoft.com/office/drawing/2014/main" id="{D85CFE43-1B73-4EA4-B8D1-BA8FA548F130}"/>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mlns="">
        <xdr:sp macro="" textlink="">
          <xdr:nvSpPr>
            <xdr:cNvPr id="0" name=""/>
            <xdr:cNvSpPr>
              <a:spLocks noTextEdit="1"/>
            </xdr:cNvSpPr>
          </xdr:nvSpPr>
          <xdr:spPr>
            <a:xfrm>
              <a:off x="17268536" y="389774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34059</xdr:colOff>
      <xdr:row>21</xdr:row>
      <xdr:rowOff>55995</xdr:rowOff>
    </xdr:from>
    <xdr:to>
      <xdr:col>25</xdr:col>
      <xdr:colOff>27131</xdr:colOff>
      <xdr:row>34</xdr:row>
      <xdr:rowOff>178666</xdr:rowOff>
    </xdr:to>
    <mc:AlternateContent xmlns:mc="http://schemas.openxmlformats.org/markup-compatibility/2006" xmlns:a14="http://schemas.microsoft.com/office/drawing/2010/main">
      <mc:Choice Requires="a14">
        <xdr:graphicFrame macro="">
          <xdr:nvGraphicFramePr>
            <xdr:cNvPr id="7" name="registered">
              <a:extLst>
                <a:ext uri="{FF2B5EF4-FFF2-40B4-BE49-F238E27FC236}">
                  <a16:creationId xmlns:a16="http://schemas.microsoft.com/office/drawing/2014/main" id="{58BDEDA4-4742-49F5-A037-D5FACD46EA30}"/>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15412604" y="393526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39832</xdr:colOff>
      <xdr:row>2</xdr:row>
      <xdr:rowOff>4040</xdr:rowOff>
    </xdr:from>
    <xdr:to>
      <xdr:col>25</xdr:col>
      <xdr:colOff>32904</xdr:colOff>
      <xdr:row>13</xdr:row>
      <xdr:rowOff>161635</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60451543-F80B-44B2-834A-20030682D40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5418377" y="373495"/>
              <a:ext cx="1828800" cy="2189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31173</xdr:colOff>
      <xdr:row>35</xdr:row>
      <xdr:rowOff>6928</xdr:rowOff>
    </xdr:from>
    <xdr:to>
      <xdr:col>25</xdr:col>
      <xdr:colOff>24245</xdr:colOff>
      <xdr:row>48</xdr:row>
      <xdr:rowOff>23092</xdr:rowOff>
    </xdr:to>
    <mc:AlternateContent xmlns:mc="http://schemas.openxmlformats.org/markup-compatibility/2006" xmlns:a14="http://schemas.microsoft.com/office/drawing/2010/main">
      <mc:Choice Requires="a14">
        <xdr:graphicFrame macro="">
          <xdr:nvGraphicFramePr>
            <xdr:cNvPr id="9" name="Temp">
              <a:extLst>
                <a:ext uri="{FF2B5EF4-FFF2-40B4-BE49-F238E27FC236}">
                  <a16:creationId xmlns:a16="http://schemas.microsoft.com/office/drawing/2014/main" id="{D3AF7624-4BB7-4E55-A75D-E1CD3EAC5198}"/>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15409718" y="6472383"/>
              <a:ext cx="1828800" cy="2417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68696</xdr:colOff>
      <xdr:row>34</xdr:row>
      <xdr:rowOff>159905</xdr:rowOff>
    </xdr:from>
    <xdr:to>
      <xdr:col>28</xdr:col>
      <xdr:colOff>61769</xdr:colOff>
      <xdr:row>48</xdr:row>
      <xdr:rowOff>34636</xdr:rowOff>
    </xdr:to>
    <mc:AlternateContent xmlns:mc="http://schemas.openxmlformats.org/markup-compatibility/2006" xmlns:a14="http://schemas.microsoft.com/office/drawing/2010/main">
      <mc:Choice Requires="a14">
        <xdr:graphicFrame macro="">
          <xdr:nvGraphicFramePr>
            <xdr:cNvPr id="10" name="cnt">
              <a:extLst>
                <a:ext uri="{FF2B5EF4-FFF2-40B4-BE49-F238E27FC236}">
                  <a16:creationId xmlns:a16="http://schemas.microsoft.com/office/drawing/2014/main" id="{3213019C-B941-45C5-BD44-B2B7C4E9B45B}"/>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17282969" y="6440632"/>
              <a:ext cx="1828800" cy="2460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216767</xdr:colOff>
      <xdr:row>4</xdr:row>
      <xdr:rowOff>96405</xdr:rowOff>
    </xdr:from>
    <xdr:to>
      <xdr:col>12</xdr:col>
      <xdr:colOff>41853</xdr:colOff>
      <xdr:row>15</xdr:row>
      <xdr:rowOff>1155</xdr:rowOff>
    </xdr:to>
    <xdr:graphicFrame macro="">
      <xdr:nvGraphicFramePr>
        <xdr:cNvPr id="7" name="Chart 6">
          <a:extLst>
            <a:ext uri="{FF2B5EF4-FFF2-40B4-BE49-F238E27FC236}">
              <a16:creationId xmlns:a16="http://schemas.microsoft.com/office/drawing/2014/main" id="{B5DF1497-D991-40C2-9A06-A16E71C78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303934</xdr:colOff>
      <xdr:row>15</xdr:row>
      <xdr:rowOff>44161</xdr:rowOff>
    </xdr:from>
    <xdr:to>
      <xdr:col>14</xdr:col>
      <xdr:colOff>601229</xdr:colOff>
      <xdr:row>28</xdr:row>
      <xdr:rowOff>32904</xdr:rowOff>
    </xdr:to>
    <xdr:graphicFrame macro="">
      <xdr:nvGraphicFramePr>
        <xdr:cNvPr id="9" name="Chart 8">
          <a:extLst>
            <a:ext uri="{FF2B5EF4-FFF2-40B4-BE49-F238E27FC236}">
              <a16:creationId xmlns:a16="http://schemas.microsoft.com/office/drawing/2014/main" id="{D4182CA0-4CD2-4CB5-B35C-A182658FD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35380</xdr:colOff>
      <xdr:row>0</xdr:row>
      <xdr:rowOff>141515</xdr:rowOff>
    </xdr:from>
    <xdr:to>
      <xdr:col>5</xdr:col>
      <xdr:colOff>1071337</xdr:colOff>
      <xdr:row>13</xdr:row>
      <xdr:rowOff>39915</xdr:rowOff>
    </xdr:to>
    <xdr:graphicFrame macro="">
      <xdr:nvGraphicFramePr>
        <xdr:cNvPr id="2" name="Chart 1">
          <a:extLst>
            <a:ext uri="{FF2B5EF4-FFF2-40B4-BE49-F238E27FC236}">
              <a16:creationId xmlns:a16="http://schemas.microsoft.com/office/drawing/2014/main" id="{838CFA8A-E765-4D2B-A9AC-082791E5C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112940</xdr:colOff>
      <xdr:row>2</xdr:row>
      <xdr:rowOff>45357</xdr:rowOff>
    </xdr:from>
    <xdr:to>
      <xdr:col>16</xdr:col>
      <xdr:colOff>18143</xdr:colOff>
      <xdr:row>24</xdr:row>
      <xdr:rowOff>36285</xdr:rowOff>
    </xdr:to>
    <xdr:graphicFrame macro="">
      <xdr:nvGraphicFramePr>
        <xdr:cNvPr id="3" name="Chart 2">
          <a:extLst>
            <a:ext uri="{FF2B5EF4-FFF2-40B4-BE49-F238E27FC236}">
              <a16:creationId xmlns:a16="http://schemas.microsoft.com/office/drawing/2014/main" id="{3439C471-E195-45D9-8774-2D01A39CB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177346</xdr:rowOff>
    </xdr:from>
    <xdr:to>
      <xdr:col>6</xdr:col>
      <xdr:colOff>359229</xdr:colOff>
      <xdr:row>32</xdr:row>
      <xdr:rowOff>108856</xdr:rowOff>
    </xdr:to>
    <xdr:graphicFrame macro="">
      <xdr:nvGraphicFramePr>
        <xdr:cNvPr id="4" name="Chart 3">
          <a:extLst>
            <a:ext uri="{FF2B5EF4-FFF2-40B4-BE49-F238E27FC236}">
              <a16:creationId xmlns:a16="http://schemas.microsoft.com/office/drawing/2014/main" id="{C3893524-2DC2-4C76-8D80-45638360A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4536</xdr:colOff>
      <xdr:row>33</xdr:row>
      <xdr:rowOff>116114</xdr:rowOff>
    </xdr:from>
    <xdr:to>
      <xdr:col>6</xdr:col>
      <xdr:colOff>113393</xdr:colOff>
      <xdr:row>48</xdr:row>
      <xdr:rowOff>137886</xdr:rowOff>
    </xdr:to>
    <xdr:graphicFrame macro="">
      <xdr:nvGraphicFramePr>
        <xdr:cNvPr id="5" name="Chart 4">
          <a:extLst>
            <a:ext uri="{FF2B5EF4-FFF2-40B4-BE49-F238E27FC236}">
              <a16:creationId xmlns:a16="http://schemas.microsoft.com/office/drawing/2014/main" id="{2CAA8394-285F-4016-A0D7-6971EADA5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4537</xdr:colOff>
      <xdr:row>28</xdr:row>
      <xdr:rowOff>16327</xdr:rowOff>
    </xdr:from>
    <xdr:to>
      <xdr:col>13</xdr:col>
      <xdr:colOff>113394</xdr:colOff>
      <xdr:row>43</xdr:row>
      <xdr:rowOff>38098</xdr:rowOff>
    </xdr:to>
    <xdr:graphicFrame macro="">
      <xdr:nvGraphicFramePr>
        <xdr:cNvPr id="7" name="Chart 6">
          <a:extLst>
            <a:ext uri="{FF2B5EF4-FFF2-40B4-BE49-F238E27FC236}">
              <a16:creationId xmlns:a16="http://schemas.microsoft.com/office/drawing/2014/main" id="{AE0C00F0-5985-4ACA-8256-CDAD75C50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22678</xdr:colOff>
      <xdr:row>50</xdr:row>
      <xdr:rowOff>70758</xdr:rowOff>
    </xdr:from>
    <xdr:to>
      <xdr:col>7</xdr:col>
      <xdr:colOff>45356</xdr:colOff>
      <xdr:row>65</xdr:row>
      <xdr:rowOff>92530</xdr:rowOff>
    </xdr:to>
    <xdr:graphicFrame macro="">
      <xdr:nvGraphicFramePr>
        <xdr:cNvPr id="11" name="Chart 10">
          <a:extLst>
            <a:ext uri="{FF2B5EF4-FFF2-40B4-BE49-F238E27FC236}">
              <a16:creationId xmlns:a16="http://schemas.microsoft.com/office/drawing/2014/main" id="{01E15EE2-B61E-4FD6-B733-41982AF7B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22679</xdr:colOff>
      <xdr:row>44</xdr:row>
      <xdr:rowOff>25400</xdr:rowOff>
    </xdr:from>
    <xdr:to>
      <xdr:col>15</xdr:col>
      <xdr:colOff>131537</xdr:colOff>
      <xdr:row>59</xdr:row>
      <xdr:rowOff>47171</xdr:rowOff>
    </xdr:to>
    <xdr:graphicFrame macro="">
      <xdr:nvGraphicFramePr>
        <xdr:cNvPr id="12" name="Chart 11">
          <a:extLst>
            <a:ext uri="{FF2B5EF4-FFF2-40B4-BE49-F238E27FC236}">
              <a16:creationId xmlns:a16="http://schemas.microsoft.com/office/drawing/2014/main" id="{22897F13-66D0-42DB-8FD5-E0E5B2EFE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88900</xdr:colOff>
      <xdr:row>77</xdr:row>
      <xdr:rowOff>50800</xdr:rowOff>
    </xdr:from>
    <xdr:to>
      <xdr:col>12</xdr:col>
      <xdr:colOff>1003300</xdr:colOff>
      <xdr:row>88</xdr:row>
      <xdr:rowOff>57150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4B025EAD-9135-4EB6-AA88-61F6EED6C5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578600" y="14719300"/>
              <a:ext cx="8572500" cy="2101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2</xdr:row>
      <xdr:rowOff>139700</xdr:rowOff>
    </xdr:from>
    <xdr:to>
      <xdr:col>5</xdr:col>
      <xdr:colOff>238125</xdr:colOff>
      <xdr:row>18</xdr:row>
      <xdr:rowOff>127000</xdr:rowOff>
    </xdr:to>
    <xdr:graphicFrame macro="">
      <xdr:nvGraphicFramePr>
        <xdr:cNvPr id="2" name="Chart 1">
          <a:extLst>
            <a:ext uri="{FF2B5EF4-FFF2-40B4-BE49-F238E27FC236}">
              <a16:creationId xmlns:a16="http://schemas.microsoft.com/office/drawing/2014/main" id="{01DCA716-443F-4803-A8F3-9A28C7A68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14600</xdr:colOff>
      <xdr:row>1</xdr:row>
      <xdr:rowOff>175173</xdr:rowOff>
    </xdr:from>
    <xdr:to>
      <xdr:col>3</xdr:col>
      <xdr:colOff>299252</xdr:colOff>
      <xdr:row>4</xdr:row>
      <xdr:rowOff>145977</xdr:rowOff>
    </xdr:to>
    <xdr:sp macro="" textlink="">
      <xdr:nvSpPr>
        <xdr:cNvPr id="15" name="Rectangle: Rounded Corners 14">
          <a:extLst>
            <a:ext uri="{FF2B5EF4-FFF2-40B4-BE49-F238E27FC236}">
              <a16:creationId xmlns:a16="http://schemas.microsoft.com/office/drawing/2014/main" id="{26951703-3404-4319-9F2E-5A77F0841A41}"/>
            </a:ext>
          </a:extLst>
        </xdr:cNvPr>
        <xdr:cNvSpPr/>
      </xdr:nvSpPr>
      <xdr:spPr>
        <a:xfrm>
          <a:off x="14600" y="357644"/>
          <a:ext cx="1627641" cy="518218"/>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100" b="1"/>
            <a:t>TOTAL RIDES DEMAND</a:t>
          </a:r>
          <a:br>
            <a:rPr lang="en-US" sz="1100" b="1"/>
          </a:br>
          <a:r>
            <a:rPr lang="en-US" sz="1400" b="1"/>
            <a:t>58304</a:t>
          </a:r>
          <a:r>
            <a:rPr lang="en-US" sz="1100" b="1"/>
            <a:t> </a:t>
          </a:r>
        </a:p>
      </xdr:txBody>
    </xdr:sp>
    <xdr:clientData/>
  </xdr:twoCellAnchor>
  <xdr:twoCellAnchor>
    <xdr:from>
      <xdr:col>3</xdr:col>
      <xdr:colOff>313849</xdr:colOff>
      <xdr:row>1</xdr:row>
      <xdr:rowOff>167873</xdr:rowOff>
    </xdr:from>
    <xdr:to>
      <xdr:col>5</xdr:col>
      <xdr:colOff>613102</xdr:colOff>
      <xdr:row>4</xdr:row>
      <xdr:rowOff>175172</xdr:rowOff>
    </xdr:to>
    <xdr:sp macro="" textlink="">
      <xdr:nvSpPr>
        <xdr:cNvPr id="16" name="Rectangle: Rounded Corners 15">
          <a:extLst>
            <a:ext uri="{FF2B5EF4-FFF2-40B4-BE49-F238E27FC236}">
              <a16:creationId xmlns:a16="http://schemas.microsoft.com/office/drawing/2014/main" id="{39FE9C1B-DDC2-4942-9A22-9DC4334E0637}"/>
            </a:ext>
          </a:extLst>
        </xdr:cNvPr>
        <xdr:cNvSpPr/>
      </xdr:nvSpPr>
      <xdr:spPr>
        <a:xfrm>
          <a:off x="1656838" y="350344"/>
          <a:ext cx="1591149" cy="554713"/>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HOURLY DEMAND</a:t>
          </a:r>
          <a:br>
            <a:rPr lang="en-US" sz="1100" b="1"/>
          </a:br>
          <a:r>
            <a:rPr lang="en-US" sz="1100" b="1"/>
            <a:t>              </a:t>
          </a:r>
          <a:r>
            <a:rPr lang="en-US" sz="1400" b="1"/>
            <a:t>58.304</a:t>
          </a:r>
          <a:endParaRPr lang="en-US" sz="1100" b="1"/>
        </a:p>
      </xdr:txBody>
    </xdr:sp>
    <xdr:clientData/>
  </xdr:twoCellAnchor>
  <xdr:twoCellAnchor>
    <xdr:from>
      <xdr:col>5</xdr:col>
      <xdr:colOff>620404</xdr:colOff>
      <xdr:row>1</xdr:row>
      <xdr:rowOff>160576</xdr:rowOff>
    </xdr:from>
    <xdr:to>
      <xdr:col>8</xdr:col>
      <xdr:colOff>65690</xdr:colOff>
      <xdr:row>4</xdr:row>
      <xdr:rowOff>167874</xdr:rowOff>
    </xdr:to>
    <xdr:sp macro="" textlink="">
      <xdr:nvSpPr>
        <xdr:cNvPr id="18" name="Rectangle: Rounded Corners 17">
          <a:extLst>
            <a:ext uri="{FF2B5EF4-FFF2-40B4-BE49-F238E27FC236}">
              <a16:creationId xmlns:a16="http://schemas.microsoft.com/office/drawing/2014/main" id="{8F99B543-41B2-4EF8-82A2-E3987AF1B27C}"/>
            </a:ext>
          </a:extLst>
        </xdr:cNvPr>
        <xdr:cNvSpPr/>
      </xdr:nvSpPr>
      <xdr:spPr>
        <a:xfrm>
          <a:off x="3255289" y="343047"/>
          <a:ext cx="1656838" cy="554712"/>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PEAK HOURLY DEMAND       </a:t>
          </a:r>
          <a:br>
            <a:rPr lang="en-US" sz="1100" b="1"/>
          </a:br>
          <a:r>
            <a:rPr lang="en-US" sz="1100" b="1"/>
            <a:t>                  </a:t>
          </a:r>
          <a:r>
            <a:rPr lang="en-US" sz="1400" b="1"/>
            <a:t>249</a:t>
          </a:r>
        </a:p>
      </xdr:txBody>
    </xdr:sp>
    <xdr:clientData/>
  </xdr:twoCellAnchor>
  <xdr:twoCellAnchor>
    <xdr:from>
      <xdr:col>8</xdr:col>
      <xdr:colOff>80286</xdr:colOff>
      <xdr:row>1</xdr:row>
      <xdr:rowOff>153275</xdr:rowOff>
    </xdr:from>
    <xdr:to>
      <xdr:col>10</xdr:col>
      <xdr:colOff>445229</xdr:colOff>
      <xdr:row>4</xdr:row>
      <xdr:rowOff>145976</xdr:rowOff>
    </xdr:to>
    <xdr:sp macro="" textlink="">
      <xdr:nvSpPr>
        <xdr:cNvPr id="19" name="Rectangle: Rounded Corners 18">
          <a:extLst>
            <a:ext uri="{FF2B5EF4-FFF2-40B4-BE49-F238E27FC236}">
              <a16:creationId xmlns:a16="http://schemas.microsoft.com/office/drawing/2014/main" id="{46B23B15-4965-4E60-B2DB-AAD2A4E76A63}"/>
            </a:ext>
          </a:extLst>
        </xdr:cNvPr>
        <xdr:cNvSpPr/>
      </xdr:nvSpPr>
      <xdr:spPr>
        <a:xfrm>
          <a:off x="4926723" y="335746"/>
          <a:ext cx="1591150" cy="540115"/>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OBSERVATIONS</a:t>
          </a:r>
          <a:br>
            <a:rPr lang="en-US" sz="1100" b="1"/>
          </a:br>
          <a:r>
            <a:rPr lang="en-US" sz="1100" b="1"/>
            <a:t>               </a:t>
          </a:r>
          <a:r>
            <a:rPr lang="en-US" sz="1400" b="1"/>
            <a:t>1000</a:t>
          </a:r>
        </a:p>
      </xdr:txBody>
    </xdr:sp>
    <xdr:clientData/>
  </xdr:twoCellAnchor>
  <xdr:twoCellAnchor>
    <xdr:from>
      <xdr:col>10</xdr:col>
      <xdr:colOff>459826</xdr:colOff>
      <xdr:row>1</xdr:row>
      <xdr:rowOff>145977</xdr:rowOff>
    </xdr:from>
    <xdr:to>
      <xdr:col>13</xdr:col>
      <xdr:colOff>181429</xdr:colOff>
      <xdr:row>4</xdr:row>
      <xdr:rowOff>153276</xdr:rowOff>
    </xdr:to>
    <xdr:sp macro="" textlink="">
      <xdr:nvSpPr>
        <xdr:cNvPr id="21" name="Rectangle: Rounded Corners 20">
          <a:extLst>
            <a:ext uri="{FF2B5EF4-FFF2-40B4-BE49-F238E27FC236}">
              <a16:creationId xmlns:a16="http://schemas.microsoft.com/office/drawing/2014/main" id="{E63DB065-BDD2-412F-837F-0F4B4B68B5B2}"/>
            </a:ext>
          </a:extLst>
        </xdr:cNvPr>
        <xdr:cNvSpPr/>
      </xdr:nvSpPr>
      <xdr:spPr>
        <a:xfrm>
          <a:off x="6510469" y="327406"/>
          <a:ext cx="1544960" cy="551584"/>
        </a:xfrm>
        <a:prstGeom prst="round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TOTAL CASUAL USERS</a:t>
          </a:r>
          <a:br>
            <a:rPr lang="en-US" sz="1100" b="1"/>
          </a:br>
          <a:r>
            <a:rPr lang="en-US" sz="1100" b="1"/>
            <a:t>               </a:t>
          </a:r>
          <a:r>
            <a:rPr lang="en-US" sz="1400" b="1"/>
            <a:t>4921</a:t>
          </a:r>
        </a:p>
      </xdr:txBody>
    </xdr:sp>
    <xdr:clientData/>
  </xdr:twoCellAnchor>
  <xdr:twoCellAnchor editAs="oneCell">
    <xdr:from>
      <xdr:col>13</xdr:col>
      <xdr:colOff>199570</xdr:colOff>
      <xdr:row>0</xdr:row>
      <xdr:rowOff>14599</xdr:rowOff>
    </xdr:from>
    <xdr:to>
      <xdr:col>17</xdr:col>
      <xdr:colOff>589642</xdr:colOff>
      <xdr:row>4</xdr:row>
      <xdr:rowOff>160576</xdr:rowOff>
    </xdr:to>
    <xdr:pic>
      <xdr:nvPicPr>
        <xdr:cNvPr id="25" name="Picture 24">
          <a:extLst>
            <a:ext uri="{FF2B5EF4-FFF2-40B4-BE49-F238E27FC236}">
              <a16:creationId xmlns:a16="http://schemas.microsoft.com/office/drawing/2014/main" id="{43061B15-D323-4491-94A5-ECE33456E4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73570" y="14599"/>
          <a:ext cx="2821215" cy="871691"/>
        </a:xfrm>
        <a:prstGeom prst="rect">
          <a:avLst/>
        </a:prstGeom>
        <a:ln>
          <a:solidFill>
            <a:schemeClr val="tx1"/>
          </a:solidFill>
        </a:ln>
      </xdr:spPr>
    </xdr:pic>
    <xdr:clientData/>
  </xdr:twoCellAnchor>
  <xdr:twoCellAnchor>
    <xdr:from>
      <xdr:col>6</xdr:col>
      <xdr:colOff>333942</xdr:colOff>
      <xdr:row>9</xdr:row>
      <xdr:rowOff>134671</xdr:rowOff>
    </xdr:from>
    <xdr:to>
      <xdr:col>18</xdr:col>
      <xdr:colOff>0</xdr:colOff>
      <xdr:row>22</xdr:row>
      <xdr:rowOff>23546</xdr:rowOff>
    </xdr:to>
    <xdr:graphicFrame macro="">
      <xdr:nvGraphicFramePr>
        <xdr:cNvPr id="28" name="Chart 27">
          <a:extLst>
            <a:ext uri="{FF2B5EF4-FFF2-40B4-BE49-F238E27FC236}">
              <a16:creationId xmlns:a16="http://schemas.microsoft.com/office/drawing/2014/main" id="{21325F74-FC78-476C-A7B6-D000EFFA6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498354</xdr:colOff>
      <xdr:row>50</xdr:row>
      <xdr:rowOff>56265</xdr:rowOff>
    </xdr:from>
    <xdr:to>
      <xdr:col>17</xdr:col>
      <xdr:colOff>586773</xdr:colOff>
      <xdr:row>62</xdr:row>
      <xdr:rowOff>146247</xdr:rowOff>
    </xdr:to>
    <xdr:graphicFrame macro="">
      <xdr:nvGraphicFramePr>
        <xdr:cNvPr id="29" name="Chart 28">
          <a:extLst>
            <a:ext uri="{FF2B5EF4-FFF2-40B4-BE49-F238E27FC236}">
              <a16:creationId xmlns:a16="http://schemas.microsoft.com/office/drawing/2014/main" id="{AC8C467E-54BA-4BD9-B997-5C0DA3FE4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281328</xdr:colOff>
      <xdr:row>22</xdr:row>
      <xdr:rowOff>23888</xdr:rowOff>
    </xdr:from>
    <xdr:to>
      <xdr:col>17</xdr:col>
      <xdr:colOff>586771</xdr:colOff>
      <xdr:row>35</xdr:row>
      <xdr:rowOff>176834</xdr:rowOff>
    </xdr:to>
    <xdr:graphicFrame macro="">
      <xdr:nvGraphicFramePr>
        <xdr:cNvPr id="30" name="Chart 29">
          <a:extLst>
            <a:ext uri="{FF2B5EF4-FFF2-40B4-BE49-F238E27FC236}">
              <a16:creationId xmlns:a16="http://schemas.microsoft.com/office/drawing/2014/main" id="{74B52436-06B6-4F4F-B23E-41A0A7067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151892</xdr:colOff>
      <xdr:row>22</xdr:row>
      <xdr:rowOff>13562</xdr:rowOff>
    </xdr:from>
    <xdr:to>
      <xdr:col>11</xdr:col>
      <xdr:colOff>289367</xdr:colOff>
      <xdr:row>36</xdr:row>
      <xdr:rowOff>40190</xdr:rowOff>
    </xdr:to>
    <xdr:graphicFrame macro="">
      <xdr:nvGraphicFramePr>
        <xdr:cNvPr id="31" name="Chart 30">
          <a:extLst>
            <a:ext uri="{FF2B5EF4-FFF2-40B4-BE49-F238E27FC236}">
              <a16:creationId xmlns:a16="http://schemas.microsoft.com/office/drawing/2014/main" id="{75CA36E5-5600-4F68-ABBE-54AE68AE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294669</xdr:colOff>
      <xdr:row>36</xdr:row>
      <xdr:rowOff>40190</xdr:rowOff>
    </xdr:from>
    <xdr:to>
      <xdr:col>17</xdr:col>
      <xdr:colOff>586773</xdr:colOff>
      <xdr:row>50</xdr:row>
      <xdr:rowOff>64304</xdr:rowOff>
    </xdr:to>
    <xdr:graphicFrame macro="">
      <xdr:nvGraphicFramePr>
        <xdr:cNvPr id="32" name="Chart 31">
          <a:extLst>
            <a:ext uri="{FF2B5EF4-FFF2-40B4-BE49-F238E27FC236}">
              <a16:creationId xmlns:a16="http://schemas.microsoft.com/office/drawing/2014/main" id="{A95DD500-3B3E-46FD-97F2-9D210F83A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36</xdr:row>
      <xdr:rowOff>53812</xdr:rowOff>
    </xdr:from>
    <xdr:to>
      <xdr:col>8</xdr:col>
      <xdr:colOff>289367</xdr:colOff>
      <xdr:row>50</xdr:row>
      <xdr:rowOff>70806</xdr:rowOff>
    </xdr:to>
    <xdr:graphicFrame macro="">
      <xdr:nvGraphicFramePr>
        <xdr:cNvPr id="33" name="Chart 32">
          <a:extLst>
            <a:ext uri="{FF2B5EF4-FFF2-40B4-BE49-F238E27FC236}">
              <a16:creationId xmlns:a16="http://schemas.microsoft.com/office/drawing/2014/main" id="{77535551-6010-4CC6-B569-60DD8BBE5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14</xdr:row>
      <xdr:rowOff>0</xdr:rowOff>
    </xdr:from>
    <xdr:to>
      <xdr:col>6</xdr:col>
      <xdr:colOff>313029</xdr:colOff>
      <xdr:row>22</xdr:row>
      <xdr:rowOff>0</xdr:rowOff>
    </xdr:to>
    <xdr:graphicFrame macro="">
      <xdr:nvGraphicFramePr>
        <xdr:cNvPr id="35" name="Chart 34">
          <a:extLst>
            <a:ext uri="{FF2B5EF4-FFF2-40B4-BE49-F238E27FC236}">
              <a16:creationId xmlns:a16="http://schemas.microsoft.com/office/drawing/2014/main" id="{E8ACA041-0EAF-40F1-AF9A-3937776AF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17638</xdr:colOff>
      <xdr:row>22</xdr:row>
      <xdr:rowOff>35277</xdr:rowOff>
    </xdr:from>
    <xdr:to>
      <xdr:col>6</xdr:col>
      <xdr:colOff>128608</xdr:colOff>
      <xdr:row>36</xdr:row>
      <xdr:rowOff>35278</xdr:rowOff>
    </xdr:to>
    <xdr:graphicFrame macro="">
      <xdr:nvGraphicFramePr>
        <xdr:cNvPr id="36" name="Chart 35">
          <a:extLst>
            <a:ext uri="{FF2B5EF4-FFF2-40B4-BE49-F238E27FC236}">
              <a16:creationId xmlns:a16="http://schemas.microsoft.com/office/drawing/2014/main" id="{88055C26-6C3A-4840-833E-DC459E50B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19258</xdr:colOff>
      <xdr:row>4</xdr:row>
      <xdr:rowOff>174992</xdr:rowOff>
    </xdr:from>
    <xdr:to>
      <xdr:col>3</xdr:col>
      <xdr:colOff>454437</xdr:colOff>
      <xdr:row>9</xdr:row>
      <xdr:rowOff>124296</xdr:rowOff>
    </xdr:to>
    <mc:AlternateContent xmlns:mc="http://schemas.openxmlformats.org/markup-compatibility/2006" xmlns:a14="http://schemas.microsoft.com/office/drawing/2010/main">
      <mc:Choice Requires="a14">
        <xdr:graphicFrame macro="">
          <xdr:nvGraphicFramePr>
            <xdr:cNvPr id="2" name="Date 2">
              <a:extLst>
                <a:ext uri="{FF2B5EF4-FFF2-40B4-BE49-F238E27FC236}">
                  <a16:creationId xmlns:a16="http://schemas.microsoft.com/office/drawing/2014/main" id="{66C90460-937B-4025-89A7-E96AA44C37DC}"/>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9258" y="914486"/>
              <a:ext cx="1777521" cy="873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289199</xdr:colOff>
      <xdr:row>5</xdr:row>
      <xdr:rowOff>4137</xdr:rowOff>
    </xdr:from>
    <xdr:to>
      <xdr:col>9</xdr:col>
      <xdr:colOff>4149</xdr:colOff>
      <xdr:row>9</xdr:row>
      <xdr:rowOff>110435</xdr:rowOff>
    </xdr:to>
    <mc:AlternateContent xmlns:mc="http://schemas.openxmlformats.org/markup-compatibility/2006" xmlns:a14="http://schemas.microsoft.com/office/drawing/2010/main">
      <mc:Choice Requires="a14">
        <xdr:graphicFrame macro="">
          <xdr:nvGraphicFramePr>
            <xdr:cNvPr id="12" name="Hours 2">
              <a:extLst>
                <a:ext uri="{FF2B5EF4-FFF2-40B4-BE49-F238E27FC236}">
                  <a16:creationId xmlns:a16="http://schemas.microsoft.com/office/drawing/2014/main" id="{A81914EF-0CD5-408E-8F33-B7E8E31CB338}"/>
                </a:ext>
              </a:extLst>
            </xdr:cNvPr>
            <xdr:cNvGraphicFramePr/>
          </xdr:nvGraphicFramePr>
          <xdr:xfrm>
            <a:off x="0" y="0"/>
            <a:ext cx="0" cy="0"/>
          </xdr:xfrm>
          <a:graphic>
            <a:graphicData uri="http://schemas.microsoft.com/office/drawing/2010/slicer">
              <sle:slicer xmlns:sle="http://schemas.microsoft.com/office/drawing/2010/slicer" name="Hours 2"/>
            </a:graphicData>
          </a:graphic>
        </xdr:graphicFrame>
      </mc:Choice>
      <mc:Fallback xmlns="">
        <xdr:sp macro="" textlink="">
          <xdr:nvSpPr>
            <xdr:cNvPr id="0" name=""/>
            <xdr:cNvSpPr>
              <a:spLocks noTextEdit="1"/>
            </xdr:cNvSpPr>
          </xdr:nvSpPr>
          <xdr:spPr>
            <a:xfrm>
              <a:off x="3641034" y="928504"/>
              <a:ext cx="1820899" cy="845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460049</xdr:colOff>
      <xdr:row>5</xdr:row>
      <xdr:rowOff>20160</xdr:rowOff>
    </xdr:from>
    <xdr:to>
      <xdr:col>6</xdr:col>
      <xdr:colOff>267025</xdr:colOff>
      <xdr:row>9</xdr:row>
      <xdr:rowOff>100067</xdr:rowOff>
    </xdr:to>
    <mc:AlternateContent xmlns:mc="http://schemas.openxmlformats.org/markup-compatibility/2006" xmlns:a14="http://schemas.microsoft.com/office/drawing/2010/main">
      <mc:Choice Requires="a14">
        <xdr:graphicFrame macro="">
          <xdr:nvGraphicFramePr>
            <xdr:cNvPr id="13" name="Weekday 2">
              <a:extLst>
                <a:ext uri="{FF2B5EF4-FFF2-40B4-BE49-F238E27FC236}">
                  <a16:creationId xmlns:a16="http://schemas.microsoft.com/office/drawing/2014/main" id="{B8AFE328-26B7-411A-A9EF-76607D514ECA}"/>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1802391" y="944527"/>
              <a:ext cx="1816470" cy="819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7318</xdr:colOff>
      <xdr:row>5</xdr:row>
      <xdr:rowOff>6139</xdr:rowOff>
    </xdr:from>
    <xdr:to>
      <xdr:col>15</xdr:col>
      <xdr:colOff>983</xdr:colOff>
      <xdr:row>9</xdr:row>
      <xdr:rowOff>128840</xdr:rowOff>
    </xdr:to>
    <mc:AlternateContent xmlns:mc="http://schemas.openxmlformats.org/markup-compatibility/2006" xmlns:a14="http://schemas.microsoft.com/office/drawing/2010/main">
      <mc:Choice Requires="a14">
        <xdr:graphicFrame macro="">
          <xdr:nvGraphicFramePr>
            <xdr:cNvPr id="14" name="Wethers 2">
              <a:extLst>
                <a:ext uri="{FF2B5EF4-FFF2-40B4-BE49-F238E27FC236}">
                  <a16:creationId xmlns:a16="http://schemas.microsoft.com/office/drawing/2014/main" id="{E9678702-AD7E-4E52-B93B-1358B3974F10}"/>
                </a:ext>
              </a:extLst>
            </xdr:cNvPr>
            <xdr:cNvGraphicFramePr/>
          </xdr:nvGraphicFramePr>
          <xdr:xfrm>
            <a:off x="0" y="0"/>
            <a:ext cx="0" cy="0"/>
          </xdr:xfrm>
          <a:graphic>
            <a:graphicData uri="http://schemas.microsoft.com/office/drawing/2010/slicer">
              <sle:slicer xmlns:sle="http://schemas.microsoft.com/office/drawing/2010/slicer" name="Wethers 2"/>
            </a:graphicData>
          </a:graphic>
        </xdr:graphicFrame>
      </mc:Choice>
      <mc:Fallback xmlns="">
        <xdr:sp macro="" textlink="">
          <xdr:nvSpPr>
            <xdr:cNvPr id="0" name=""/>
            <xdr:cNvSpPr>
              <a:spLocks noTextEdit="1"/>
            </xdr:cNvSpPr>
          </xdr:nvSpPr>
          <xdr:spPr>
            <a:xfrm>
              <a:off x="7297761" y="930506"/>
              <a:ext cx="1826323" cy="862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607213</xdr:colOff>
      <xdr:row>4</xdr:row>
      <xdr:rowOff>181508</xdr:rowOff>
    </xdr:from>
    <xdr:to>
      <xdr:col>17</xdr:col>
      <xdr:colOff>598249</xdr:colOff>
      <xdr:row>9</xdr:row>
      <xdr:rowOff>156449</xdr:rowOff>
    </xdr:to>
    <mc:AlternateContent xmlns:mc="http://schemas.openxmlformats.org/markup-compatibility/2006" xmlns:a14="http://schemas.microsoft.com/office/drawing/2010/main">
      <mc:Choice Requires="a14">
        <xdr:graphicFrame macro="">
          <xdr:nvGraphicFramePr>
            <xdr:cNvPr id="17" name="casual 2">
              <a:extLst>
                <a:ext uri="{FF2B5EF4-FFF2-40B4-BE49-F238E27FC236}">
                  <a16:creationId xmlns:a16="http://schemas.microsoft.com/office/drawing/2014/main" id="{06D19AD5-EFE1-4C22-B4ED-C7DBDFFE4F06}"/>
                </a:ext>
              </a:extLst>
            </xdr:cNvPr>
            <xdr:cNvGraphicFramePr/>
          </xdr:nvGraphicFramePr>
          <xdr:xfrm>
            <a:off x="0" y="0"/>
            <a:ext cx="0" cy="0"/>
          </xdr:xfrm>
          <a:graphic>
            <a:graphicData uri="http://schemas.microsoft.com/office/drawing/2010/slicer">
              <sle:slicer xmlns:sle="http://schemas.microsoft.com/office/drawing/2010/slicer" name="casual 2"/>
            </a:graphicData>
          </a:graphic>
        </xdr:graphicFrame>
      </mc:Choice>
      <mc:Fallback xmlns="">
        <xdr:sp macro="" textlink="">
          <xdr:nvSpPr>
            <xdr:cNvPr id="0" name=""/>
            <xdr:cNvSpPr>
              <a:spLocks noTextEdit="1"/>
            </xdr:cNvSpPr>
          </xdr:nvSpPr>
          <xdr:spPr>
            <a:xfrm>
              <a:off x="9119428" y="921002"/>
              <a:ext cx="1823694" cy="899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29135</xdr:colOff>
      <xdr:row>5</xdr:row>
      <xdr:rowOff>8142</xdr:rowOff>
    </xdr:from>
    <xdr:to>
      <xdr:col>12</xdr:col>
      <xdr:colOff>20171</xdr:colOff>
      <xdr:row>9</xdr:row>
      <xdr:rowOff>110436</xdr:rowOff>
    </xdr:to>
    <mc:AlternateContent xmlns:mc="http://schemas.openxmlformats.org/markup-compatibility/2006" xmlns:a14="http://schemas.microsoft.com/office/drawing/2010/main">
      <mc:Choice Requires="a14">
        <xdr:graphicFrame macro="">
          <xdr:nvGraphicFramePr>
            <xdr:cNvPr id="20" name="registered 2">
              <a:extLst>
                <a:ext uri="{FF2B5EF4-FFF2-40B4-BE49-F238E27FC236}">
                  <a16:creationId xmlns:a16="http://schemas.microsoft.com/office/drawing/2014/main" id="{94360DD8-4052-47F4-A1E8-8324EFABD6FA}"/>
                </a:ext>
              </a:extLst>
            </xdr:cNvPr>
            <xdr:cNvGraphicFramePr/>
          </xdr:nvGraphicFramePr>
          <xdr:xfrm>
            <a:off x="0" y="0"/>
            <a:ext cx="0" cy="0"/>
          </xdr:xfrm>
          <a:graphic>
            <a:graphicData uri="http://schemas.microsoft.com/office/drawing/2010/slicer">
              <sle:slicer xmlns:sle="http://schemas.microsoft.com/office/drawing/2010/slicer" name="registered 2"/>
            </a:graphicData>
          </a:graphic>
        </xdr:graphicFrame>
      </mc:Choice>
      <mc:Fallback xmlns="">
        <xdr:sp macro="" textlink="">
          <xdr:nvSpPr>
            <xdr:cNvPr id="0" name=""/>
            <xdr:cNvSpPr>
              <a:spLocks noTextEdit="1"/>
            </xdr:cNvSpPr>
          </xdr:nvSpPr>
          <xdr:spPr>
            <a:xfrm>
              <a:off x="5486920" y="932509"/>
              <a:ext cx="1823694" cy="841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481783</xdr:colOff>
      <xdr:row>9</xdr:row>
      <xdr:rowOff>120822</xdr:rowOff>
    </xdr:from>
    <xdr:to>
      <xdr:col>6</xdr:col>
      <xdr:colOff>288759</xdr:colOff>
      <xdr:row>14</xdr:row>
      <xdr:rowOff>9203</xdr:rowOff>
    </xdr:to>
    <mc:AlternateContent xmlns:mc="http://schemas.openxmlformats.org/markup-compatibility/2006" xmlns:a14="http://schemas.microsoft.com/office/drawing/2010/main">
      <mc:Choice Requires="a14">
        <xdr:graphicFrame macro="">
          <xdr:nvGraphicFramePr>
            <xdr:cNvPr id="22" name="cnt 2">
              <a:extLst>
                <a:ext uri="{FF2B5EF4-FFF2-40B4-BE49-F238E27FC236}">
                  <a16:creationId xmlns:a16="http://schemas.microsoft.com/office/drawing/2014/main" id="{604192BE-9387-4E3A-8AC8-A8744DE4F76A}"/>
                </a:ext>
              </a:extLst>
            </xdr:cNvPr>
            <xdr:cNvGraphicFramePr/>
          </xdr:nvGraphicFramePr>
          <xdr:xfrm>
            <a:off x="0" y="0"/>
            <a:ext cx="0" cy="0"/>
          </xdr:xfrm>
          <a:graphic>
            <a:graphicData uri="http://schemas.microsoft.com/office/drawing/2010/slicer">
              <sle:slicer xmlns:sle="http://schemas.microsoft.com/office/drawing/2010/slicer" name="cnt 2"/>
            </a:graphicData>
          </a:graphic>
        </xdr:graphicFrame>
      </mc:Choice>
      <mc:Fallback xmlns="">
        <xdr:sp macro="" textlink="">
          <xdr:nvSpPr>
            <xdr:cNvPr id="0" name=""/>
            <xdr:cNvSpPr>
              <a:spLocks noTextEdit="1"/>
            </xdr:cNvSpPr>
          </xdr:nvSpPr>
          <xdr:spPr>
            <a:xfrm>
              <a:off x="1824125" y="1784683"/>
              <a:ext cx="1816470" cy="82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18406</xdr:colOff>
      <xdr:row>9</xdr:row>
      <xdr:rowOff>74451</xdr:rowOff>
    </xdr:from>
    <xdr:to>
      <xdr:col>3</xdr:col>
      <xdr:colOff>512786</xdr:colOff>
      <xdr:row>14</xdr:row>
      <xdr:rowOff>18405</xdr:rowOff>
    </xdr:to>
    <mc:AlternateContent xmlns:mc="http://schemas.openxmlformats.org/markup-compatibility/2006" xmlns:a14="http://schemas.microsoft.com/office/drawing/2010/main">
      <mc:Choice Requires="a14">
        <xdr:graphicFrame macro="">
          <xdr:nvGraphicFramePr>
            <xdr:cNvPr id="23" name="Temp 2">
              <a:extLst>
                <a:ext uri="{FF2B5EF4-FFF2-40B4-BE49-F238E27FC236}">
                  <a16:creationId xmlns:a16="http://schemas.microsoft.com/office/drawing/2014/main" id="{0B2D2AF9-8FD3-4C4C-A8BC-67571217BE0A}"/>
                </a:ext>
              </a:extLst>
            </xdr:cNvPr>
            <xdr:cNvGraphicFramePr/>
          </xdr:nvGraphicFramePr>
          <xdr:xfrm>
            <a:off x="0" y="0"/>
            <a:ext cx="0" cy="0"/>
          </xdr:xfrm>
          <a:graphic>
            <a:graphicData uri="http://schemas.microsoft.com/office/drawing/2010/slicer">
              <sle:slicer xmlns:sle="http://schemas.microsoft.com/office/drawing/2010/slicer" name="Temp 2"/>
            </a:graphicData>
          </a:graphic>
        </xdr:graphicFrame>
      </mc:Choice>
      <mc:Fallback xmlns="">
        <xdr:sp macro="" textlink="">
          <xdr:nvSpPr>
            <xdr:cNvPr id="0" name=""/>
            <xdr:cNvSpPr>
              <a:spLocks noTextEdit="1"/>
            </xdr:cNvSpPr>
          </xdr:nvSpPr>
          <xdr:spPr>
            <a:xfrm>
              <a:off x="18406" y="1738312"/>
              <a:ext cx="1836722" cy="884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24114</xdr:colOff>
      <xdr:row>50</xdr:row>
      <xdr:rowOff>80379</xdr:rowOff>
    </xdr:from>
    <xdr:to>
      <xdr:col>11</xdr:col>
      <xdr:colOff>474240</xdr:colOff>
      <xdr:row>62</xdr:row>
      <xdr:rowOff>104493</xdr:rowOff>
    </xdr:to>
    <xdr:graphicFrame macro="">
      <xdr:nvGraphicFramePr>
        <xdr:cNvPr id="26" name="Chart 25">
          <a:extLst>
            <a:ext uri="{FF2B5EF4-FFF2-40B4-BE49-F238E27FC236}">
              <a16:creationId xmlns:a16="http://schemas.microsoft.com/office/drawing/2014/main" id="{238FFA96-11FF-41B6-8CE5-378145ED4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8038</xdr:colOff>
      <xdr:row>62</xdr:row>
      <xdr:rowOff>128608</xdr:rowOff>
    </xdr:from>
    <xdr:to>
      <xdr:col>17</xdr:col>
      <xdr:colOff>602849</xdr:colOff>
      <xdr:row>70</xdr:row>
      <xdr:rowOff>176836</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0B6CF37A-4512-4145-B83E-C91264244E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038" y="11606836"/>
              <a:ext cx="10939684" cy="15272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rial%20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5"/>
      <sheetName val="Sheet6"/>
      <sheetName val="Sheet4"/>
      <sheetName val="Sheet2"/>
      <sheetName val="Sheet7"/>
      <sheetName val="Sheet1"/>
      <sheetName val="Sheet8"/>
    </sheetNames>
    <sheetDataSet>
      <sheetData sheetId="0"/>
      <sheetData sheetId="1">
        <row r="1">
          <cell r="B1" t="str">
            <v>registered</v>
          </cell>
          <cell r="C1" t="str">
            <v>Forecast(registered)</v>
          </cell>
        </row>
        <row r="2">
          <cell r="A2">
            <v>40544</v>
          </cell>
          <cell r="B2">
            <v>27.25</v>
          </cell>
        </row>
        <row r="3">
          <cell r="A3">
            <v>40545</v>
          </cell>
          <cell r="B3">
            <v>29.130434782608695</v>
          </cell>
        </row>
        <row r="4">
          <cell r="A4">
            <v>40546</v>
          </cell>
          <cell r="B4">
            <v>55.863636363636367</v>
          </cell>
        </row>
        <row r="5">
          <cell r="A5">
            <v>40547</v>
          </cell>
          <cell r="B5">
            <v>63.217391304347828</v>
          </cell>
        </row>
        <row r="6">
          <cell r="A6">
            <v>40548</v>
          </cell>
          <cell r="B6">
            <v>66</v>
          </cell>
        </row>
        <row r="7">
          <cell r="A7">
            <v>40549</v>
          </cell>
          <cell r="B7">
            <v>66</v>
          </cell>
        </row>
        <row r="8">
          <cell r="A8">
            <v>40550</v>
          </cell>
          <cell r="B8">
            <v>59.217391304347828</v>
          </cell>
        </row>
        <row r="9">
          <cell r="A9">
            <v>40551</v>
          </cell>
          <cell r="B9">
            <v>37.125</v>
          </cell>
        </row>
        <row r="10">
          <cell r="A10">
            <v>40552</v>
          </cell>
          <cell r="B10">
            <v>32</v>
          </cell>
        </row>
        <row r="11">
          <cell r="A11">
            <v>40553</v>
          </cell>
          <cell r="B11">
            <v>53.333333333333336</v>
          </cell>
        </row>
        <row r="12">
          <cell r="A12">
            <v>40554</v>
          </cell>
          <cell r="B12">
            <v>55.454545454545453</v>
          </cell>
        </row>
        <row r="13">
          <cell r="A13">
            <v>40555</v>
          </cell>
          <cell r="B13">
            <v>51.68181818181818</v>
          </cell>
        </row>
        <row r="14">
          <cell r="A14">
            <v>40556</v>
          </cell>
          <cell r="B14">
            <v>57</v>
          </cell>
        </row>
        <row r="15">
          <cell r="A15">
            <v>40557</v>
          </cell>
          <cell r="B15">
            <v>59.434782608695649</v>
          </cell>
        </row>
        <row r="16">
          <cell r="A16">
            <v>40558</v>
          </cell>
          <cell r="B16">
            <v>42.75</v>
          </cell>
        </row>
        <row r="17">
          <cell r="A17">
            <v>40559</v>
          </cell>
          <cell r="B17">
            <v>39.708333333333336</v>
          </cell>
        </row>
        <row r="18">
          <cell r="A18">
            <v>40560</v>
          </cell>
          <cell r="B18">
            <v>36.791666666666664</v>
          </cell>
        </row>
        <row r="19">
          <cell r="A19">
            <v>40561</v>
          </cell>
          <cell r="B19">
            <v>56.166666666666664</v>
          </cell>
        </row>
        <row r="20">
          <cell r="A20">
            <v>40562</v>
          </cell>
          <cell r="B20">
            <v>68.347826086956516</v>
          </cell>
        </row>
        <row r="21">
          <cell r="A21">
            <v>40563</v>
          </cell>
          <cell r="B21">
            <v>76.833333333333329</v>
          </cell>
        </row>
        <row r="22">
          <cell r="A22">
            <v>40564</v>
          </cell>
          <cell r="B22">
            <v>61.166666666666664</v>
          </cell>
        </row>
        <row r="23">
          <cell r="A23">
            <v>40565</v>
          </cell>
          <cell r="B23">
            <v>38.608695652173914</v>
          </cell>
        </row>
        <row r="24">
          <cell r="A24">
            <v>40566</v>
          </cell>
          <cell r="B24">
            <v>36.347826086956523</v>
          </cell>
        </row>
        <row r="25">
          <cell r="A25">
            <v>40567</v>
          </cell>
          <cell r="B25">
            <v>57.826086956521742</v>
          </cell>
        </row>
        <row r="26">
          <cell r="A26">
            <v>40568</v>
          </cell>
          <cell r="B26">
            <v>78.217391304347828</v>
          </cell>
        </row>
        <row r="27">
          <cell r="A27">
            <v>40569</v>
          </cell>
          <cell r="B27">
            <v>29.5</v>
          </cell>
        </row>
        <row r="28">
          <cell r="A28">
            <v>40570</v>
          </cell>
          <cell r="B28">
            <v>52</v>
          </cell>
        </row>
        <row r="29">
          <cell r="A29">
            <v>40571</v>
          </cell>
          <cell r="B29">
            <v>49.086956521739133</v>
          </cell>
        </row>
        <row r="30">
          <cell r="A30">
            <v>40572</v>
          </cell>
          <cell r="B30">
            <v>42.391304347826086</v>
          </cell>
        </row>
        <row r="31">
          <cell r="A31">
            <v>40573</v>
          </cell>
          <cell r="B31">
            <v>41.565217391304351</v>
          </cell>
        </row>
        <row r="32">
          <cell r="A32">
            <v>40574</v>
          </cell>
          <cell r="B32">
            <v>60.791666666666664</v>
          </cell>
        </row>
        <row r="33">
          <cell r="A33">
            <v>40575</v>
          </cell>
          <cell r="B33">
            <v>57.086956521739133</v>
          </cell>
        </row>
        <row r="34">
          <cell r="A34">
            <v>40576</v>
          </cell>
          <cell r="B34">
            <v>60.583333333333336</v>
          </cell>
        </row>
        <row r="35">
          <cell r="A35">
            <v>40577</v>
          </cell>
          <cell r="B35">
            <v>64.739130434782609</v>
          </cell>
        </row>
        <row r="36">
          <cell r="A36">
            <v>40578</v>
          </cell>
          <cell r="B36">
            <v>70.434782608695656</v>
          </cell>
        </row>
        <row r="37">
          <cell r="A37">
            <v>40579</v>
          </cell>
          <cell r="B37">
            <v>37.708333333333336</v>
          </cell>
        </row>
        <row r="38">
          <cell r="A38">
            <v>40580</v>
          </cell>
          <cell r="B38">
            <v>52.875</v>
          </cell>
        </row>
        <row r="39">
          <cell r="A39">
            <v>40581</v>
          </cell>
          <cell r="B39">
            <v>66.333333333333329</v>
          </cell>
        </row>
        <row r="40">
          <cell r="A40">
            <v>40582</v>
          </cell>
          <cell r="B40">
            <v>61.083333333333336</v>
          </cell>
        </row>
        <row r="41">
          <cell r="A41">
            <v>40583</v>
          </cell>
          <cell r="B41">
            <v>67.478260869565219</v>
          </cell>
        </row>
        <row r="42">
          <cell r="A42">
            <v>40584</v>
          </cell>
          <cell r="B42">
            <v>64.826086956521735</v>
          </cell>
        </row>
        <row r="43">
          <cell r="A43">
            <v>40585</v>
          </cell>
          <cell r="B43">
            <v>72.590909090909093</v>
          </cell>
        </row>
        <row r="44">
          <cell r="A44">
            <v>40586</v>
          </cell>
          <cell r="B44">
            <v>49.333333333333336</v>
          </cell>
        </row>
        <row r="45">
          <cell r="A45">
            <v>40587</v>
          </cell>
          <cell r="B45">
            <v>51.826086956521742</v>
          </cell>
        </row>
        <row r="46">
          <cell r="A46">
            <v>40588</v>
          </cell>
          <cell r="B46">
            <v>17.875</v>
          </cell>
        </row>
        <row r="47">
          <cell r="A47">
            <v>40589</v>
          </cell>
          <cell r="C47">
            <v>62.263210337816645</v>
          </cell>
          <cell r="D47">
            <v>22.359704110962348</v>
          </cell>
        </row>
        <row r="48">
          <cell r="A48">
            <v>40590</v>
          </cell>
          <cell r="C48">
            <v>65.743016796662502</v>
          </cell>
          <cell r="D48">
            <v>22.539302655320242</v>
          </cell>
        </row>
        <row r="49">
          <cell r="A49">
            <v>40591</v>
          </cell>
          <cell r="C49">
            <v>70.334537753982971</v>
          </cell>
          <cell r="D49">
            <v>22.720287175128039</v>
          </cell>
        </row>
        <row r="50">
          <cell r="A50">
            <v>40592</v>
          </cell>
          <cell r="C50">
            <v>63.50128361457493</v>
          </cell>
          <cell r="D50">
            <v>22.902646642670085</v>
          </cell>
        </row>
        <row r="51">
          <cell r="A51">
            <v>40593</v>
          </cell>
          <cell r="C51">
            <v>43.905158501825994</v>
          </cell>
          <cell r="D51">
            <v>23.086370131682042</v>
          </cell>
        </row>
        <row r="52">
          <cell r="A52">
            <v>40594</v>
          </cell>
          <cell r="C52">
            <v>40.807977773729228</v>
          </cell>
          <cell r="D52">
            <v>23.271446819806105</v>
          </cell>
        </row>
        <row r="53">
          <cell r="A53">
            <v>40595</v>
          </cell>
          <cell r="C53">
            <v>54.228588031677255</v>
          </cell>
          <cell r="D53">
            <v>23.457865990790218</v>
          </cell>
        </row>
        <row r="54">
          <cell r="A54">
            <v>40596</v>
          </cell>
          <cell r="C54">
            <v>63.668219565596708</v>
          </cell>
          <cell r="D54">
            <v>23.648439554956255</v>
          </cell>
        </row>
        <row r="55">
          <cell r="A55">
            <v>40597</v>
          </cell>
          <cell r="C55">
            <v>67.148026024442558</v>
          </cell>
          <cell r="D55">
            <v>23.837489589446427</v>
          </cell>
        </row>
        <row r="56">
          <cell r="A56">
            <v>40598</v>
          </cell>
          <cell r="C56">
            <v>71.739546981763027</v>
          </cell>
          <cell r="D56">
            <v>24.027850813846985</v>
          </cell>
        </row>
        <row r="57">
          <cell r="A57">
            <v>40599</v>
          </cell>
          <cell r="C57">
            <v>64.906292842354986</v>
          </cell>
          <cell r="D57">
            <v>24.219512953685019</v>
          </cell>
        </row>
        <row r="58">
          <cell r="A58">
            <v>40600</v>
          </cell>
          <cell r="C58">
            <v>45.31016772960605</v>
          </cell>
          <cell r="D58">
            <v>24.412465848074234</v>
          </cell>
        </row>
        <row r="59">
          <cell r="A59">
            <v>40601</v>
          </cell>
          <cell r="C59">
            <v>42.212987001509291</v>
          </cell>
          <cell r="D59">
            <v>24.606699450642409</v>
          </cell>
        </row>
        <row r="60">
          <cell r="A60">
            <v>40602</v>
          </cell>
          <cell r="C60">
            <v>55.633597259457318</v>
          </cell>
          <cell r="D60">
            <v>24.802203830285265</v>
          </cell>
        </row>
      </sheetData>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4.030669328706" createdVersion="6" refreshedVersion="6" minRefreshableVersion="3" recordCount="610" xr:uid="{B45E644C-F68B-4CEF-83AC-1A3B62BF7C69}">
  <cacheSource type="worksheet">
    <worksheetSource name="Sheet1"/>
  </cacheSource>
  <cacheFields count="16">
    <cacheField name="instant" numFmtId="0">
      <sharedItems containsSemiMixedTypes="0" containsString="0" containsNumber="1" containsInteger="1" minValue="1" maxValue="610" count="6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sharedItems>
    </cacheField>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1" count="1">
        <n v="1"/>
      </sharedItems>
    </cacheField>
    <cacheField name="Hours"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thers"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4.039046296297" createdVersion="6" refreshedVersion="6" minRefreshableVersion="3" recordCount="1000" xr:uid="{4813F96A-10DE-41F0-BB7B-B8CE3A038C5D}">
  <cacheSource type="worksheet">
    <worksheetSource name="Sheet4"/>
  </cacheSource>
  <cacheFields count="17">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22">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ount="2">
        <n v="1"/>
        <n v="2"/>
      </sharedItems>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thers"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Months"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66228724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8.650052662037" createdVersion="6" refreshedVersion="6" minRefreshableVersion="3" recordCount="1000" xr:uid="{59A97A8B-3B4C-49D9-A025-7FEFCFA90B8C}">
  <cacheSource type="worksheet">
    <worksheetSource name="Sheet45"/>
  </cacheSource>
  <cacheFields count="16">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unt="2">
        <s v="Jan"/>
        <s v="Feb"/>
      </sharedItems>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unt="7">
        <s v="Saturday"/>
        <s v="Sunday"/>
        <s v="Monday"/>
        <s v="Tuesday"/>
        <s v="Wednesday"/>
        <s v="Thrusday"/>
        <s v="Friday"/>
      </sharedItems>
    </cacheField>
    <cacheField name="Wethers" numFmtId="0">
      <sharedItems count="4">
        <s v="Clear"/>
        <s v="Mist"/>
        <s v="Light rain/snow"/>
        <s v="Heavy rain/snow"/>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0">
        <n v="0.28789999999999999"/>
        <n v="0.2727"/>
        <n v="0.2576"/>
        <n v="0"/>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1.52E-2"/>
        <n v="0.36359999999999998"/>
      </sharedItems>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2010998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x v="0"/>
    <x v="0"/>
    <n v="0"/>
    <x v="0"/>
    <n v="6"/>
    <n v="1"/>
    <x v="0"/>
    <n v="0.28789999999999999"/>
    <n v="0.81"/>
    <n v="0"/>
    <n v="3"/>
    <n v="13"/>
    <n v="16"/>
  </r>
  <r>
    <x v="1"/>
    <x v="0"/>
    <x v="0"/>
    <x v="0"/>
    <x v="0"/>
    <n v="1"/>
    <x v="0"/>
    <n v="6"/>
    <n v="1"/>
    <x v="1"/>
    <n v="0.2727"/>
    <n v="0.8"/>
    <n v="0"/>
    <n v="8"/>
    <n v="32"/>
    <n v="40"/>
  </r>
  <r>
    <x v="2"/>
    <x v="0"/>
    <x v="0"/>
    <x v="0"/>
    <x v="0"/>
    <n v="2"/>
    <x v="0"/>
    <n v="6"/>
    <n v="1"/>
    <x v="1"/>
    <n v="0.2727"/>
    <n v="0.8"/>
    <n v="0"/>
    <n v="5"/>
    <n v="27"/>
    <n v="32"/>
  </r>
  <r>
    <x v="3"/>
    <x v="0"/>
    <x v="0"/>
    <x v="0"/>
    <x v="0"/>
    <n v="3"/>
    <x v="0"/>
    <n v="6"/>
    <n v="1"/>
    <x v="0"/>
    <n v="0.28789999999999999"/>
    <n v="0.75"/>
    <n v="0"/>
    <n v="3"/>
    <n v="10"/>
    <n v="13"/>
  </r>
  <r>
    <x v="4"/>
    <x v="0"/>
    <x v="0"/>
    <x v="0"/>
    <x v="0"/>
    <n v="4"/>
    <x v="0"/>
    <n v="6"/>
    <n v="1"/>
    <x v="0"/>
    <n v="0.28789999999999999"/>
    <n v="0.75"/>
    <n v="0"/>
    <n v="0"/>
    <n v="1"/>
    <n v="1"/>
  </r>
  <r>
    <x v="5"/>
    <x v="0"/>
    <x v="0"/>
    <x v="0"/>
    <x v="0"/>
    <n v="5"/>
    <x v="0"/>
    <n v="6"/>
    <n v="2"/>
    <x v="0"/>
    <n v="0.2576"/>
    <n v="0.75"/>
    <n v="8.9599999999999999E-2"/>
    <n v="0"/>
    <n v="1"/>
    <n v="1"/>
  </r>
  <r>
    <x v="6"/>
    <x v="0"/>
    <x v="0"/>
    <x v="0"/>
    <x v="0"/>
    <n v="6"/>
    <x v="0"/>
    <n v="6"/>
    <n v="1"/>
    <x v="1"/>
    <n v="0.2727"/>
    <n v="0.8"/>
    <n v="0"/>
    <n v="2"/>
    <n v="0"/>
    <n v="2"/>
  </r>
  <r>
    <x v="7"/>
    <x v="0"/>
    <x v="0"/>
    <x v="0"/>
    <x v="0"/>
    <n v="7"/>
    <x v="0"/>
    <n v="6"/>
    <n v="1"/>
    <x v="2"/>
    <n v="0.2576"/>
    <n v="0.86"/>
    <n v="0"/>
    <n v="1"/>
    <n v="2"/>
    <n v="3"/>
  </r>
  <r>
    <x v="8"/>
    <x v="0"/>
    <x v="0"/>
    <x v="0"/>
    <x v="0"/>
    <n v="8"/>
    <x v="0"/>
    <n v="6"/>
    <n v="1"/>
    <x v="0"/>
    <n v="0"/>
    <n v="0.75"/>
    <n v="0"/>
    <n v="1"/>
    <n v="7"/>
    <n v="8"/>
  </r>
  <r>
    <x v="9"/>
    <x v="0"/>
    <x v="0"/>
    <x v="0"/>
    <x v="0"/>
    <n v="9"/>
    <x v="0"/>
    <n v="6"/>
    <n v="1"/>
    <x v="3"/>
    <n v="0.34849999999999998"/>
    <n v="0.76"/>
    <n v="0"/>
    <n v="8"/>
    <n v="6"/>
    <n v="14"/>
  </r>
  <r>
    <x v="10"/>
    <x v="0"/>
    <x v="0"/>
    <x v="0"/>
    <x v="0"/>
    <n v="10"/>
    <x v="0"/>
    <n v="6"/>
    <n v="1"/>
    <x v="4"/>
    <n v="0.39389999999999997"/>
    <n v="0.76"/>
    <n v="0.25369999999999998"/>
    <n v="12"/>
    <n v="24"/>
    <n v="36"/>
  </r>
  <r>
    <x v="11"/>
    <x v="0"/>
    <x v="0"/>
    <x v="0"/>
    <x v="0"/>
    <n v="11"/>
    <x v="0"/>
    <n v="6"/>
    <n v="1"/>
    <x v="5"/>
    <n v="0.33329999999999999"/>
    <n v="0.81"/>
    <n v="0.28360000000000002"/>
    <n v="26"/>
    <n v="30"/>
    <n v="56"/>
  </r>
  <r>
    <x v="12"/>
    <x v="0"/>
    <x v="0"/>
    <x v="0"/>
    <x v="0"/>
    <n v="12"/>
    <x v="0"/>
    <n v="6"/>
    <n v="1"/>
    <x v="6"/>
    <n v="0.42420000000000002"/>
    <n v="0.77"/>
    <n v="0.28360000000000002"/>
    <n v="29"/>
    <n v="55"/>
    <n v="84"/>
  </r>
  <r>
    <x v="13"/>
    <x v="0"/>
    <x v="0"/>
    <x v="0"/>
    <x v="0"/>
    <n v="13"/>
    <x v="0"/>
    <n v="6"/>
    <n v="2"/>
    <x v="7"/>
    <n v="0.45450000000000002"/>
    <n v="0.72"/>
    <n v="0.29849999999999999"/>
    <n v="47"/>
    <n v="47"/>
    <n v="94"/>
  </r>
  <r>
    <x v="14"/>
    <x v="0"/>
    <x v="0"/>
    <x v="0"/>
    <x v="0"/>
    <n v="14"/>
    <x v="0"/>
    <n v="6"/>
    <n v="2"/>
    <x v="7"/>
    <n v="0.45450000000000002"/>
    <n v="0.72"/>
    <n v="0.28360000000000002"/>
    <n v="35"/>
    <n v="71"/>
    <n v="106"/>
  </r>
  <r>
    <x v="15"/>
    <x v="0"/>
    <x v="0"/>
    <x v="0"/>
    <x v="0"/>
    <n v="15"/>
    <x v="0"/>
    <n v="6"/>
    <n v="2"/>
    <x v="8"/>
    <n v="0.43940000000000001"/>
    <n v="0.77"/>
    <n v="0.29849999999999999"/>
    <n v="40"/>
    <n v="70"/>
    <n v="110"/>
  </r>
  <r>
    <x v="16"/>
    <x v="0"/>
    <x v="0"/>
    <x v="0"/>
    <x v="0"/>
    <n v="16"/>
    <x v="0"/>
    <n v="6"/>
    <n v="2"/>
    <x v="6"/>
    <n v="0.42420000000000002"/>
    <n v="0.82"/>
    <n v="0.29849999999999999"/>
    <n v="41"/>
    <n v="52"/>
    <n v="93"/>
  </r>
  <r>
    <x v="17"/>
    <x v="0"/>
    <x v="0"/>
    <x v="0"/>
    <x v="0"/>
    <n v="17"/>
    <x v="0"/>
    <n v="6"/>
    <n v="2"/>
    <x v="8"/>
    <n v="0"/>
    <n v="0.82"/>
    <n v="0.28360000000000002"/>
    <n v="15"/>
    <n v="52"/>
    <n v="67"/>
  </r>
  <r>
    <x v="18"/>
    <x v="0"/>
    <x v="0"/>
    <x v="0"/>
    <x v="0"/>
    <n v="18"/>
    <x v="0"/>
    <n v="6"/>
    <n v="3"/>
    <x v="6"/>
    <n v="0.42420000000000002"/>
    <n v="0.88"/>
    <n v="0.25369999999999998"/>
    <n v="9"/>
    <n v="26"/>
    <n v="35"/>
  </r>
  <r>
    <x v="19"/>
    <x v="0"/>
    <x v="0"/>
    <x v="0"/>
    <x v="0"/>
    <n v="19"/>
    <x v="0"/>
    <n v="6"/>
    <n v="3"/>
    <x v="6"/>
    <n v="0.42420000000000002"/>
    <n v="0.88"/>
    <n v="0.25369999999999998"/>
    <n v="6"/>
    <n v="31"/>
    <n v="37"/>
  </r>
  <r>
    <x v="20"/>
    <x v="0"/>
    <x v="0"/>
    <x v="0"/>
    <x v="0"/>
    <n v="20"/>
    <x v="0"/>
    <n v="6"/>
    <n v="2"/>
    <x v="9"/>
    <n v="0.40910000000000002"/>
    <n v="0.87"/>
    <n v="0.25369999999999998"/>
    <n v="11"/>
    <n v="25"/>
    <n v="36"/>
  </r>
  <r>
    <x v="21"/>
    <x v="0"/>
    <x v="0"/>
    <x v="0"/>
    <x v="0"/>
    <n v="21"/>
    <x v="0"/>
    <n v="6"/>
    <n v="2"/>
    <x v="9"/>
    <n v="0.40910000000000002"/>
    <n v="0.87"/>
    <n v="0.19400000000000001"/>
    <n v="3"/>
    <n v="31"/>
    <n v="34"/>
  </r>
  <r>
    <x v="22"/>
    <x v="0"/>
    <x v="0"/>
    <x v="0"/>
    <x v="0"/>
    <n v="22"/>
    <x v="0"/>
    <n v="6"/>
    <n v="2"/>
    <x v="9"/>
    <n v="0.40910000000000002"/>
    <n v="0.94"/>
    <n v="0.22389999999999999"/>
    <n v="11"/>
    <n v="17"/>
    <n v="28"/>
  </r>
  <r>
    <x v="23"/>
    <x v="0"/>
    <x v="0"/>
    <x v="0"/>
    <x v="0"/>
    <n v="23"/>
    <x v="0"/>
    <n v="6"/>
    <n v="2"/>
    <x v="7"/>
    <n v="0"/>
    <n v="0.88"/>
    <n v="0.29849999999999999"/>
    <n v="15"/>
    <n v="24"/>
    <n v="39"/>
  </r>
  <r>
    <x v="24"/>
    <x v="1"/>
    <x v="0"/>
    <x v="0"/>
    <x v="0"/>
    <n v="0"/>
    <x v="0"/>
    <n v="0"/>
    <n v="2"/>
    <x v="7"/>
    <n v="0.45450000000000002"/>
    <n v="0.88"/>
    <n v="0.29849999999999999"/>
    <n v="4"/>
    <n v="13"/>
    <n v="17"/>
  </r>
  <r>
    <x v="25"/>
    <x v="1"/>
    <x v="0"/>
    <x v="0"/>
    <x v="0"/>
    <n v="1"/>
    <x v="0"/>
    <n v="0"/>
    <n v="2"/>
    <x v="8"/>
    <n v="0.43940000000000001"/>
    <n v="0.94"/>
    <n v="0.25369999999999998"/>
    <n v="1"/>
    <n v="16"/>
    <n v="17"/>
  </r>
  <r>
    <x v="26"/>
    <x v="1"/>
    <x v="0"/>
    <x v="0"/>
    <x v="0"/>
    <n v="2"/>
    <x v="0"/>
    <n v="0"/>
    <n v="2"/>
    <x v="6"/>
    <n v="0.42420000000000002"/>
    <n v="1"/>
    <n v="0.28360000000000002"/>
    <n v="1"/>
    <n v="8"/>
    <n v="9"/>
  </r>
  <r>
    <x v="27"/>
    <x v="1"/>
    <x v="0"/>
    <x v="0"/>
    <x v="0"/>
    <n v="3"/>
    <x v="0"/>
    <n v="0"/>
    <n v="2"/>
    <x v="7"/>
    <n v="0.45450000000000002"/>
    <n v="0.94"/>
    <n v="0.19400000000000001"/>
    <n v="2"/>
    <n v="4"/>
    <n v="6"/>
  </r>
  <r>
    <x v="28"/>
    <x v="1"/>
    <x v="0"/>
    <x v="0"/>
    <x v="0"/>
    <n v="4"/>
    <x v="0"/>
    <n v="0"/>
    <n v="2"/>
    <x v="7"/>
    <n v="0"/>
    <n v="0.94"/>
    <n v="0.19400000000000001"/>
    <n v="2"/>
    <n v="1"/>
    <n v="3"/>
  </r>
  <r>
    <x v="29"/>
    <x v="1"/>
    <x v="0"/>
    <x v="0"/>
    <x v="0"/>
    <n v="6"/>
    <x v="0"/>
    <n v="0"/>
    <n v="3"/>
    <x v="6"/>
    <n v="0.42420000000000002"/>
    <n v="0.77"/>
    <n v="0.29849999999999999"/>
    <n v="0"/>
    <n v="2"/>
    <n v="2"/>
  </r>
  <r>
    <x v="30"/>
    <x v="1"/>
    <x v="0"/>
    <x v="0"/>
    <x v="0"/>
    <n v="7"/>
    <x v="0"/>
    <n v="0"/>
    <n v="2"/>
    <x v="9"/>
    <n v="0.40910000000000002"/>
    <n v="0.76"/>
    <n v="0.19400000000000001"/>
    <n v="0"/>
    <n v="1"/>
    <n v="1"/>
  </r>
  <r>
    <x v="31"/>
    <x v="1"/>
    <x v="0"/>
    <x v="0"/>
    <x v="0"/>
    <n v="8"/>
    <x v="0"/>
    <n v="0"/>
    <n v="3"/>
    <x v="9"/>
    <n v="0.40910000000000002"/>
    <n v="0.71"/>
    <n v="0.22389999999999999"/>
    <n v="0"/>
    <n v="8"/>
    <n v="8"/>
  </r>
  <r>
    <x v="32"/>
    <x v="1"/>
    <x v="0"/>
    <x v="0"/>
    <x v="0"/>
    <n v="9"/>
    <x v="0"/>
    <n v="0"/>
    <n v="2"/>
    <x v="4"/>
    <n v="0"/>
    <n v="0.76"/>
    <n v="0.22389999999999999"/>
    <n v="1"/>
    <n v="19"/>
    <n v="20"/>
  </r>
  <r>
    <x v="33"/>
    <x v="1"/>
    <x v="0"/>
    <x v="0"/>
    <x v="0"/>
    <n v="10"/>
    <x v="0"/>
    <n v="0"/>
    <n v="2"/>
    <x v="5"/>
    <n v="0.34849999999999998"/>
    <n v="0.81"/>
    <n v="0.22389999999999999"/>
    <n v="7"/>
    <n v="46"/>
    <n v="53"/>
  </r>
  <r>
    <x v="34"/>
    <x v="1"/>
    <x v="0"/>
    <x v="0"/>
    <x v="0"/>
    <n v="11"/>
    <x v="0"/>
    <n v="0"/>
    <n v="2"/>
    <x v="5"/>
    <n v="0.33329999999999999"/>
    <n v="0.71"/>
    <n v="0.25369999999999998"/>
    <n v="16"/>
    <n v="54"/>
    <n v="70"/>
  </r>
  <r>
    <x v="35"/>
    <x v="1"/>
    <x v="0"/>
    <x v="0"/>
    <x v="0"/>
    <n v="12"/>
    <x v="0"/>
    <n v="0"/>
    <n v="2"/>
    <x v="5"/>
    <n v="0.33329999999999999"/>
    <n v="0.66"/>
    <n v="0.29849999999999999"/>
    <n v="20"/>
    <n v="73"/>
    <n v="93"/>
  </r>
  <r>
    <x v="36"/>
    <x v="1"/>
    <x v="0"/>
    <x v="0"/>
    <x v="0"/>
    <n v="13"/>
    <x v="0"/>
    <n v="0"/>
    <n v="2"/>
    <x v="5"/>
    <n v="0.34849999999999998"/>
    <n v="0.66"/>
    <n v="0.1343"/>
    <n v="11"/>
    <n v="64"/>
    <n v="75"/>
  </r>
  <r>
    <x v="37"/>
    <x v="1"/>
    <x v="0"/>
    <x v="0"/>
    <x v="0"/>
    <n v="14"/>
    <x v="0"/>
    <n v="0"/>
    <n v="3"/>
    <x v="5"/>
    <n v="0"/>
    <n v="0.76"/>
    <n v="0.19400000000000001"/>
    <n v="4"/>
    <n v="55"/>
    <n v="59"/>
  </r>
  <r>
    <x v="38"/>
    <x v="1"/>
    <x v="0"/>
    <x v="0"/>
    <x v="0"/>
    <n v="15"/>
    <x v="0"/>
    <n v="0"/>
    <n v="3"/>
    <x v="10"/>
    <n v="0.33329999999999999"/>
    <n v="0.81"/>
    <n v="0.16420000000000001"/>
    <n v="19"/>
    <n v="55"/>
    <n v="74"/>
  </r>
  <r>
    <x v="39"/>
    <x v="1"/>
    <x v="0"/>
    <x v="0"/>
    <x v="0"/>
    <n v="16"/>
    <x v="0"/>
    <n v="0"/>
    <n v="3"/>
    <x v="10"/>
    <n v="0.33329999999999999"/>
    <n v="0.71"/>
    <n v="0.16420000000000001"/>
    <n v="9"/>
    <n v="67"/>
    <n v="76"/>
  </r>
  <r>
    <x v="40"/>
    <x v="1"/>
    <x v="0"/>
    <x v="0"/>
    <x v="0"/>
    <n v="17"/>
    <x v="0"/>
    <n v="0"/>
    <n v="1"/>
    <x v="10"/>
    <n v="0.33329999999999999"/>
    <n v="0.56999999999999995"/>
    <n v="0.19400000000000001"/>
    <n v="7"/>
    <n v="58"/>
    <n v="65"/>
  </r>
  <r>
    <x v="41"/>
    <x v="1"/>
    <x v="0"/>
    <x v="0"/>
    <x v="0"/>
    <n v="18"/>
    <x v="0"/>
    <n v="0"/>
    <n v="2"/>
    <x v="5"/>
    <n v="0.33329999999999999"/>
    <n v="0.46"/>
    <n v="0.32840000000000003"/>
    <n v="10"/>
    <n v="43"/>
    <n v="53"/>
  </r>
  <r>
    <x v="42"/>
    <x v="1"/>
    <x v="0"/>
    <x v="0"/>
    <x v="0"/>
    <n v="19"/>
    <x v="0"/>
    <n v="0"/>
    <n v="1"/>
    <x v="3"/>
    <n v="0.28789999999999999"/>
    <n v="0.42"/>
    <n v="0.44779999999999998"/>
    <n v="1"/>
    <n v="29"/>
    <n v="30"/>
  </r>
  <r>
    <x v="43"/>
    <x v="1"/>
    <x v="0"/>
    <x v="0"/>
    <x v="0"/>
    <n v="20"/>
    <x v="0"/>
    <n v="0"/>
    <n v="1"/>
    <x v="11"/>
    <n v="0"/>
    <n v="0.39"/>
    <n v="0.35820000000000002"/>
    <n v="5"/>
    <n v="17"/>
    <n v="22"/>
  </r>
  <r>
    <x v="44"/>
    <x v="1"/>
    <x v="0"/>
    <x v="0"/>
    <x v="0"/>
    <n v="21"/>
    <x v="0"/>
    <n v="0"/>
    <n v="1"/>
    <x v="12"/>
    <n v="0.2273"/>
    <n v="0.44"/>
    <n v="0.32840000000000003"/>
    <n v="11"/>
    <n v="20"/>
    <n v="31"/>
  </r>
  <r>
    <x v="45"/>
    <x v="1"/>
    <x v="0"/>
    <x v="0"/>
    <x v="0"/>
    <n v="22"/>
    <x v="0"/>
    <n v="0"/>
    <n v="1"/>
    <x v="0"/>
    <n v="0.21210000000000001"/>
    <n v="0.44"/>
    <n v="0.29849999999999999"/>
    <n v="0"/>
    <n v="9"/>
    <n v="9"/>
  </r>
  <r>
    <x v="46"/>
    <x v="1"/>
    <x v="0"/>
    <x v="0"/>
    <x v="0"/>
    <n v="23"/>
    <x v="0"/>
    <n v="0"/>
    <n v="1"/>
    <x v="1"/>
    <n v="0.2273"/>
    <n v="0.47"/>
    <n v="0.16420000000000001"/>
    <n v="0"/>
    <n v="8"/>
    <n v="8"/>
  </r>
  <r>
    <x v="47"/>
    <x v="2"/>
    <x v="0"/>
    <x v="0"/>
    <x v="0"/>
    <n v="0"/>
    <x v="0"/>
    <n v="1"/>
    <n v="1"/>
    <x v="1"/>
    <n v="0.19700000000000001"/>
    <n v="0.44"/>
    <n v="0.35820000000000002"/>
    <n v="0"/>
    <n v="5"/>
    <n v="5"/>
  </r>
  <r>
    <x v="48"/>
    <x v="2"/>
    <x v="0"/>
    <x v="0"/>
    <x v="0"/>
    <n v="1"/>
    <x v="0"/>
    <n v="1"/>
    <n v="1"/>
    <x v="2"/>
    <n v="0"/>
    <n v="0.44"/>
    <n v="0.41789999999999999"/>
    <n v="0"/>
    <n v="2"/>
    <n v="2"/>
  </r>
  <r>
    <x v="49"/>
    <x v="2"/>
    <x v="0"/>
    <x v="0"/>
    <x v="0"/>
    <n v="4"/>
    <x v="0"/>
    <n v="1"/>
    <n v="1"/>
    <x v="13"/>
    <n v="0.13639999999999999"/>
    <n v="0.47"/>
    <n v="0.3881"/>
    <n v="0"/>
    <n v="1"/>
    <n v="1"/>
  </r>
  <r>
    <x v="50"/>
    <x v="2"/>
    <x v="0"/>
    <x v="0"/>
    <x v="0"/>
    <n v="5"/>
    <x v="0"/>
    <n v="1"/>
    <n v="1"/>
    <x v="13"/>
    <n v="0.13639999999999999"/>
    <n v="0.47"/>
    <n v="0.28360000000000002"/>
    <n v="0"/>
    <n v="3"/>
    <n v="3"/>
  </r>
  <r>
    <x v="51"/>
    <x v="2"/>
    <x v="0"/>
    <x v="0"/>
    <x v="0"/>
    <n v="6"/>
    <x v="0"/>
    <n v="1"/>
    <n v="1"/>
    <x v="14"/>
    <n v="0.1061"/>
    <n v="0.5"/>
    <n v="0.3881"/>
    <n v="0"/>
    <n v="30"/>
    <n v="30"/>
  </r>
  <r>
    <x v="52"/>
    <x v="2"/>
    <x v="0"/>
    <x v="0"/>
    <x v="0"/>
    <n v="7"/>
    <x v="0"/>
    <n v="1"/>
    <n v="1"/>
    <x v="14"/>
    <n v="0.13639999999999999"/>
    <n v="0.5"/>
    <n v="0.19400000000000001"/>
    <n v="1"/>
    <n v="63"/>
    <n v="64"/>
  </r>
  <r>
    <x v="53"/>
    <x v="2"/>
    <x v="0"/>
    <x v="0"/>
    <x v="0"/>
    <n v="8"/>
    <x v="0"/>
    <n v="1"/>
    <n v="1"/>
    <x v="14"/>
    <n v="0.1212"/>
    <n v="0.5"/>
    <n v="0.28360000000000002"/>
    <n v="1"/>
    <n v="153"/>
    <n v="154"/>
  </r>
  <r>
    <x v="54"/>
    <x v="2"/>
    <x v="0"/>
    <x v="0"/>
    <x v="0"/>
    <n v="9"/>
    <x v="0"/>
    <n v="1"/>
    <n v="1"/>
    <x v="13"/>
    <n v="0.13639999999999999"/>
    <n v="0.43"/>
    <n v="0.3881"/>
    <n v="7"/>
    <n v="81"/>
    <n v="88"/>
  </r>
  <r>
    <x v="55"/>
    <x v="2"/>
    <x v="0"/>
    <x v="0"/>
    <x v="0"/>
    <n v="10"/>
    <x v="0"/>
    <n v="1"/>
    <n v="1"/>
    <x v="15"/>
    <n v="0.16669999999999999"/>
    <n v="0.43"/>
    <n v="0.25369999999999998"/>
    <n v="11"/>
    <n v="33"/>
    <n v="44"/>
  </r>
  <r>
    <x v="56"/>
    <x v="2"/>
    <x v="0"/>
    <x v="0"/>
    <x v="0"/>
    <n v="11"/>
    <x v="0"/>
    <n v="1"/>
    <n v="1"/>
    <x v="2"/>
    <n v="0.18179999999999999"/>
    <n v="0.4"/>
    <n v="0.32840000000000003"/>
    <n v="10"/>
    <n v="41"/>
    <n v="51"/>
  </r>
  <r>
    <x v="57"/>
    <x v="2"/>
    <x v="0"/>
    <x v="0"/>
    <x v="0"/>
    <n v="12"/>
    <x v="0"/>
    <n v="1"/>
    <n v="1"/>
    <x v="1"/>
    <n v="0.21210000000000001"/>
    <n v="0.35"/>
    <n v="0.29849999999999999"/>
    <n v="13"/>
    <n v="48"/>
    <n v="61"/>
  </r>
  <r>
    <x v="58"/>
    <x v="2"/>
    <x v="0"/>
    <x v="0"/>
    <x v="0"/>
    <n v="13"/>
    <x v="0"/>
    <n v="1"/>
    <n v="1"/>
    <x v="0"/>
    <n v="0"/>
    <n v="0.35"/>
    <n v="0.28360000000000002"/>
    <n v="8"/>
    <n v="53"/>
    <n v="61"/>
  </r>
  <r>
    <x v="59"/>
    <x v="2"/>
    <x v="0"/>
    <x v="0"/>
    <x v="0"/>
    <n v="14"/>
    <x v="0"/>
    <n v="1"/>
    <n v="1"/>
    <x v="12"/>
    <n v="0.2424"/>
    <n v="0.3"/>
    <n v="0.28360000000000002"/>
    <n v="11"/>
    <n v="66"/>
    <n v="77"/>
  </r>
  <r>
    <x v="60"/>
    <x v="2"/>
    <x v="0"/>
    <x v="0"/>
    <x v="0"/>
    <n v="15"/>
    <x v="0"/>
    <n v="1"/>
    <n v="1"/>
    <x v="12"/>
    <n v="0.2424"/>
    <n v="0.3"/>
    <n v="0.25369999999999998"/>
    <n v="14"/>
    <n v="58"/>
    <n v="72"/>
  </r>
  <r>
    <x v="61"/>
    <x v="2"/>
    <x v="0"/>
    <x v="0"/>
    <x v="0"/>
    <n v="16"/>
    <x v="0"/>
    <n v="1"/>
    <n v="1"/>
    <x v="12"/>
    <n v="0.2424"/>
    <n v="0.3"/>
    <n v="0.25369999999999998"/>
    <n v="9"/>
    <n v="67"/>
    <n v="76"/>
  </r>
  <r>
    <x v="62"/>
    <x v="2"/>
    <x v="0"/>
    <x v="0"/>
    <x v="0"/>
    <n v="17"/>
    <x v="0"/>
    <n v="1"/>
    <n v="1"/>
    <x v="0"/>
    <n v="0.2273"/>
    <n v="0.3"/>
    <n v="0.22389999999999999"/>
    <n v="11"/>
    <n v="146"/>
    <n v="157"/>
  </r>
  <r>
    <x v="63"/>
    <x v="2"/>
    <x v="0"/>
    <x v="0"/>
    <x v="0"/>
    <n v="18"/>
    <x v="0"/>
    <n v="1"/>
    <n v="1"/>
    <x v="0"/>
    <n v="0.2576"/>
    <n v="0.32"/>
    <n v="0.1045"/>
    <n v="9"/>
    <n v="148"/>
    <n v="157"/>
  </r>
  <r>
    <x v="64"/>
    <x v="2"/>
    <x v="0"/>
    <x v="0"/>
    <x v="0"/>
    <n v="19"/>
    <x v="0"/>
    <n v="1"/>
    <n v="1"/>
    <x v="2"/>
    <n v="0.2576"/>
    <n v="0.47"/>
    <n v="0"/>
    <n v="8"/>
    <n v="102"/>
    <n v="110"/>
  </r>
  <r>
    <x v="65"/>
    <x v="2"/>
    <x v="0"/>
    <x v="0"/>
    <x v="0"/>
    <n v="20"/>
    <x v="0"/>
    <n v="1"/>
    <n v="1"/>
    <x v="2"/>
    <n v="0"/>
    <n v="0.47"/>
    <n v="0.1045"/>
    <n v="3"/>
    <n v="49"/>
    <n v="52"/>
  </r>
  <r>
    <x v="66"/>
    <x v="2"/>
    <x v="0"/>
    <x v="0"/>
    <x v="0"/>
    <n v="21"/>
    <x v="0"/>
    <n v="1"/>
    <n v="1"/>
    <x v="15"/>
    <n v="0.19700000000000001"/>
    <n v="0.64"/>
    <n v="0.1343"/>
    <n v="3"/>
    <n v="49"/>
    <n v="52"/>
  </r>
  <r>
    <x v="67"/>
    <x v="2"/>
    <x v="0"/>
    <x v="0"/>
    <x v="0"/>
    <n v="22"/>
    <x v="0"/>
    <n v="1"/>
    <n v="1"/>
    <x v="14"/>
    <n v="0.1515"/>
    <n v="0.69"/>
    <n v="0.1343"/>
    <n v="0"/>
    <n v="20"/>
    <n v="20"/>
  </r>
  <r>
    <x v="68"/>
    <x v="2"/>
    <x v="0"/>
    <x v="0"/>
    <x v="0"/>
    <n v="23"/>
    <x v="0"/>
    <n v="1"/>
    <n v="1"/>
    <x v="15"/>
    <n v="0.21210000000000001"/>
    <n v="0.55000000000000004"/>
    <n v="0.1045"/>
    <n v="1"/>
    <n v="11"/>
    <n v="12"/>
  </r>
  <r>
    <x v="69"/>
    <x v="3"/>
    <x v="0"/>
    <x v="0"/>
    <x v="0"/>
    <n v="0"/>
    <x v="0"/>
    <n v="2"/>
    <n v="1"/>
    <x v="13"/>
    <n v="0"/>
    <n v="0.55000000000000004"/>
    <n v="0.1045"/>
    <n v="0"/>
    <n v="5"/>
    <n v="5"/>
  </r>
  <r>
    <x v="70"/>
    <x v="3"/>
    <x v="0"/>
    <x v="0"/>
    <x v="0"/>
    <n v="1"/>
    <x v="0"/>
    <n v="2"/>
    <n v="1"/>
    <x v="13"/>
    <n v="0.18179999999999999"/>
    <n v="0.59"/>
    <n v="0.1045"/>
    <n v="0"/>
    <n v="2"/>
    <n v="2"/>
  </r>
  <r>
    <x v="71"/>
    <x v="3"/>
    <x v="0"/>
    <x v="0"/>
    <x v="0"/>
    <n v="2"/>
    <x v="0"/>
    <n v="2"/>
    <n v="1"/>
    <x v="14"/>
    <n v="0.1515"/>
    <n v="0.63"/>
    <n v="0.1343"/>
    <n v="0"/>
    <n v="1"/>
    <n v="1"/>
  </r>
  <r>
    <x v="72"/>
    <x v="3"/>
    <x v="0"/>
    <x v="0"/>
    <x v="0"/>
    <n v="4"/>
    <x v="0"/>
    <n v="2"/>
    <n v="1"/>
    <x v="14"/>
    <n v="0.18179999999999999"/>
    <n v="0.63"/>
    <n v="8.9599999999999999E-2"/>
    <n v="0"/>
    <n v="2"/>
    <n v="2"/>
  </r>
  <r>
    <x v="73"/>
    <x v="3"/>
    <x v="0"/>
    <x v="0"/>
    <x v="0"/>
    <n v="5"/>
    <x v="0"/>
    <n v="2"/>
    <n v="1"/>
    <x v="16"/>
    <n v="0.1515"/>
    <n v="0.68"/>
    <n v="0.1045"/>
    <n v="0"/>
    <n v="4"/>
    <n v="4"/>
  </r>
  <r>
    <x v="74"/>
    <x v="3"/>
    <x v="0"/>
    <x v="0"/>
    <x v="0"/>
    <n v="6"/>
    <x v="0"/>
    <n v="2"/>
    <n v="1"/>
    <x v="16"/>
    <n v="0.1515"/>
    <n v="0.74"/>
    <n v="0.1045"/>
    <n v="0"/>
    <n v="36"/>
    <n v="36"/>
  </r>
  <r>
    <x v="75"/>
    <x v="3"/>
    <x v="0"/>
    <x v="0"/>
    <x v="0"/>
    <n v="7"/>
    <x v="0"/>
    <n v="2"/>
    <n v="1"/>
    <x v="16"/>
    <n v="0.1515"/>
    <n v="0.74"/>
    <n v="0.1343"/>
    <n v="2"/>
    <n v="92"/>
    <n v="94"/>
  </r>
  <r>
    <x v="76"/>
    <x v="3"/>
    <x v="0"/>
    <x v="0"/>
    <x v="0"/>
    <n v="8"/>
    <x v="0"/>
    <n v="2"/>
    <n v="1"/>
    <x v="14"/>
    <n v="0.1515"/>
    <n v="0.69"/>
    <n v="0.16420000000000001"/>
    <n v="2"/>
    <n v="177"/>
    <n v="179"/>
  </r>
  <r>
    <x v="77"/>
    <x v="3"/>
    <x v="0"/>
    <x v="0"/>
    <x v="0"/>
    <n v="9"/>
    <x v="0"/>
    <n v="2"/>
    <n v="1"/>
    <x v="13"/>
    <n v="0.1515"/>
    <n v="0.64"/>
    <n v="0.22389999999999999"/>
    <n v="2"/>
    <n v="98"/>
    <n v="100"/>
  </r>
  <r>
    <x v="78"/>
    <x v="3"/>
    <x v="0"/>
    <x v="0"/>
    <x v="0"/>
    <n v="10"/>
    <x v="0"/>
    <n v="2"/>
    <n v="2"/>
    <x v="13"/>
    <n v="0.13639999999999999"/>
    <n v="0.69"/>
    <n v="0.32840000000000003"/>
    <n v="5"/>
    <n v="37"/>
    <n v="42"/>
  </r>
  <r>
    <x v="79"/>
    <x v="3"/>
    <x v="0"/>
    <x v="0"/>
    <x v="0"/>
    <n v="11"/>
    <x v="0"/>
    <n v="2"/>
    <n v="1"/>
    <x v="1"/>
    <n v="0.21210000000000001"/>
    <n v="0.51"/>
    <n v="0.29849999999999999"/>
    <n v="7"/>
    <n v="50"/>
    <n v="57"/>
  </r>
  <r>
    <x v="80"/>
    <x v="3"/>
    <x v="0"/>
    <x v="0"/>
    <x v="0"/>
    <n v="12"/>
    <x v="0"/>
    <n v="2"/>
    <n v="1"/>
    <x v="1"/>
    <n v="0.2273"/>
    <n v="0.51"/>
    <n v="0.16420000000000001"/>
    <n v="12"/>
    <n v="66"/>
    <n v="78"/>
  </r>
  <r>
    <x v="81"/>
    <x v="3"/>
    <x v="0"/>
    <x v="0"/>
    <x v="0"/>
    <n v="13"/>
    <x v="0"/>
    <n v="2"/>
    <n v="1"/>
    <x v="0"/>
    <n v="0.2273"/>
    <n v="0.56000000000000005"/>
    <n v="0.19400000000000001"/>
    <n v="18"/>
    <n v="79"/>
    <n v="97"/>
  </r>
  <r>
    <x v="82"/>
    <x v="3"/>
    <x v="0"/>
    <x v="0"/>
    <x v="0"/>
    <n v="14"/>
    <x v="0"/>
    <n v="2"/>
    <n v="1"/>
    <x v="12"/>
    <n v="0.2576"/>
    <n v="0.52"/>
    <n v="0.22389999999999999"/>
    <n v="9"/>
    <n v="54"/>
    <n v="63"/>
  </r>
  <r>
    <x v="83"/>
    <x v="3"/>
    <x v="0"/>
    <x v="0"/>
    <x v="0"/>
    <n v="15"/>
    <x v="0"/>
    <n v="2"/>
    <n v="1"/>
    <x v="17"/>
    <n v="0.2727"/>
    <n v="0.52"/>
    <n v="0.25369999999999998"/>
    <n v="17"/>
    <n v="48"/>
    <n v="65"/>
  </r>
  <r>
    <x v="84"/>
    <x v="3"/>
    <x v="0"/>
    <x v="0"/>
    <x v="0"/>
    <n v="16"/>
    <x v="0"/>
    <n v="2"/>
    <n v="1"/>
    <x v="11"/>
    <n v="0.28789999999999999"/>
    <n v="0.49"/>
    <n v="0.25369999999999998"/>
    <n v="15"/>
    <n v="68"/>
    <n v="83"/>
  </r>
  <r>
    <x v="85"/>
    <x v="3"/>
    <x v="0"/>
    <x v="0"/>
    <x v="0"/>
    <n v="17"/>
    <x v="0"/>
    <n v="2"/>
    <n v="1"/>
    <x v="17"/>
    <n v="0.2727"/>
    <n v="0.48"/>
    <n v="0.22389999999999999"/>
    <n v="10"/>
    <n v="202"/>
    <n v="212"/>
  </r>
  <r>
    <x v="86"/>
    <x v="3"/>
    <x v="0"/>
    <x v="0"/>
    <x v="0"/>
    <n v="18"/>
    <x v="0"/>
    <n v="2"/>
    <n v="1"/>
    <x v="12"/>
    <n v="0.2576"/>
    <n v="0.48"/>
    <n v="0.19400000000000001"/>
    <n v="3"/>
    <n v="179"/>
    <n v="182"/>
  </r>
  <r>
    <x v="87"/>
    <x v="3"/>
    <x v="0"/>
    <x v="0"/>
    <x v="0"/>
    <n v="19"/>
    <x v="0"/>
    <n v="2"/>
    <n v="1"/>
    <x v="0"/>
    <n v="0.2576"/>
    <n v="0.48"/>
    <n v="0.1045"/>
    <n v="2"/>
    <n v="110"/>
    <n v="112"/>
  </r>
  <r>
    <x v="88"/>
    <x v="3"/>
    <x v="0"/>
    <x v="0"/>
    <x v="0"/>
    <n v="20"/>
    <x v="0"/>
    <n v="2"/>
    <n v="1"/>
    <x v="0"/>
    <n v="0.2576"/>
    <n v="0.48"/>
    <n v="0.1045"/>
    <n v="1"/>
    <n v="53"/>
    <n v="54"/>
  </r>
  <r>
    <x v="89"/>
    <x v="3"/>
    <x v="0"/>
    <x v="0"/>
    <x v="0"/>
    <n v="21"/>
    <x v="0"/>
    <n v="2"/>
    <n v="1"/>
    <x v="1"/>
    <n v="0.2727"/>
    <n v="0.64"/>
    <n v="0"/>
    <n v="0"/>
    <n v="48"/>
    <n v="48"/>
  </r>
  <r>
    <x v="90"/>
    <x v="3"/>
    <x v="0"/>
    <x v="0"/>
    <x v="0"/>
    <n v="22"/>
    <x v="0"/>
    <n v="2"/>
    <n v="1"/>
    <x v="1"/>
    <n v="0.2576"/>
    <n v="0.64"/>
    <n v="8.9599999999999999E-2"/>
    <n v="1"/>
    <n v="34"/>
    <n v="35"/>
  </r>
  <r>
    <x v="91"/>
    <x v="3"/>
    <x v="0"/>
    <x v="0"/>
    <x v="0"/>
    <n v="23"/>
    <x v="0"/>
    <n v="2"/>
    <n v="1"/>
    <x v="2"/>
    <n v="0.2273"/>
    <n v="0.69"/>
    <n v="8.9599999999999999E-2"/>
    <n v="2"/>
    <n v="9"/>
    <n v="11"/>
  </r>
  <r>
    <x v="92"/>
    <x v="4"/>
    <x v="0"/>
    <x v="0"/>
    <x v="0"/>
    <n v="0"/>
    <x v="0"/>
    <n v="3"/>
    <n v="1"/>
    <x v="2"/>
    <n v="0.2576"/>
    <n v="0.64"/>
    <n v="0"/>
    <n v="0"/>
    <n v="6"/>
    <n v="6"/>
  </r>
  <r>
    <x v="93"/>
    <x v="4"/>
    <x v="0"/>
    <x v="0"/>
    <x v="0"/>
    <n v="1"/>
    <x v="0"/>
    <n v="3"/>
    <n v="1"/>
    <x v="13"/>
    <n v="0.19700000000000001"/>
    <n v="0.74"/>
    <n v="8.9599999999999999E-2"/>
    <n v="0"/>
    <n v="6"/>
    <n v="6"/>
  </r>
  <r>
    <x v="94"/>
    <x v="4"/>
    <x v="0"/>
    <x v="0"/>
    <x v="0"/>
    <n v="2"/>
    <x v="0"/>
    <n v="3"/>
    <n v="1"/>
    <x v="13"/>
    <n v="0.19700000000000001"/>
    <n v="0.74"/>
    <n v="8.9599999999999999E-2"/>
    <n v="0"/>
    <n v="2"/>
    <n v="2"/>
  </r>
  <r>
    <x v="95"/>
    <x v="4"/>
    <x v="0"/>
    <x v="0"/>
    <x v="0"/>
    <n v="4"/>
    <x v="0"/>
    <n v="3"/>
    <n v="1"/>
    <x v="0"/>
    <n v="0.2273"/>
    <n v="0.48"/>
    <n v="0.22389999999999999"/>
    <n v="0"/>
    <n v="2"/>
    <n v="2"/>
  </r>
  <r>
    <x v="96"/>
    <x v="4"/>
    <x v="0"/>
    <x v="0"/>
    <x v="0"/>
    <n v="5"/>
    <x v="0"/>
    <n v="3"/>
    <n v="1"/>
    <x v="1"/>
    <n v="0.2273"/>
    <n v="0.47"/>
    <n v="0.16420000000000001"/>
    <n v="0"/>
    <n v="3"/>
    <n v="3"/>
  </r>
  <r>
    <x v="97"/>
    <x v="4"/>
    <x v="0"/>
    <x v="0"/>
    <x v="0"/>
    <n v="6"/>
    <x v="0"/>
    <n v="3"/>
    <n v="1"/>
    <x v="2"/>
    <n v="0.19700000000000001"/>
    <n v="0.47"/>
    <n v="0.22389999999999999"/>
    <n v="0"/>
    <n v="33"/>
    <n v="33"/>
  </r>
  <r>
    <x v="98"/>
    <x v="4"/>
    <x v="0"/>
    <x v="0"/>
    <x v="0"/>
    <n v="7"/>
    <x v="0"/>
    <n v="3"/>
    <n v="1"/>
    <x v="15"/>
    <n v="0.18179999999999999"/>
    <n v="0.43"/>
    <n v="0.19400000000000001"/>
    <n v="1"/>
    <n v="87"/>
    <n v="88"/>
  </r>
  <r>
    <x v="99"/>
    <x v="4"/>
    <x v="0"/>
    <x v="0"/>
    <x v="0"/>
    <n v="8"/>
    <x v="0"/>
    <n v="3"/>
    <n v="1"/>
    <x v="2"/>
    <n v="0.18179999999999999"/>
    <n v="0.4"/>
    <n v="0.29849999999999999"/>
    <n v="3"/>
    <n v="192"/>
    <n v="195"/>
  </r>
  <r>
    <x v="100"/>
    <x v="4"/>
    <x v="0"/>
    <x v="0"/>
    <x v="0"/>
    <n v="9"/>
    <x v="0"/>
    <n v="3"/>
    <n v="1"/>
    <x v="1"/>
    <n v="0.19700000000000001"/>
    <n v="0.37"/>
    <n v="0.32840000000000003"/>
    <n v="6"/>
    <n v="109"/>
    <n v="115"/>
  </r>
  <r>
    <x v="101"/>
    <x v="4"/>
    <x v="0"/>
    <x v="0"/>
    <x v="0"/>
    <n v="10"/>
    <x v="0"/>
    <n v="3"/>
    <n v="1"/>
    <x v="1"/>
    <n v="0.19700000000000001"/>
    <n v="0.37"/>
    <n v="0.32840000000000003"/>
    <n v="4"/>
    <n v="53"/>
    <n v="57"/>
  </r>
  <r>
    <x v="102"/>
    <x v="4"/>
    <x v="0"/>
    <x v="0"/>
    <x v="0"/>
    <n v="11"/>
    <x v="0"/>
    <n v="3"/>
    <n v="1"/>
    <x v="12"/>
    <n v="0.2273"/>
    <n v="0.33"/>
    <n v="0.32840000000000003"/>
    <n v="12"/>
    <n v="34"/>
    <n v="46"/>
  </r>
  <r>
    <x v="103"/>
    <x v="4"/>
    <x v="0"/>
    <x v="0"/>
    <x v="0"/>
    <n v="12"/>
    <x v="0"/>
    <n v="3"/>
    <n v="1"/>
    <x v="12"/>
    <n v="0.2273"/>
    <n v="0.33"/>
    <n v="0.32840000000000003"/>
    <n v="5"/>
    <n v="74"/>
    <n v="79"/>
  </r>
  <r>
    <x v="104"/>
    <x v="4"/>
    <x v="0"/>
    <x v="0"/>
    <x v="0"/>
    <n v="13"/>
    <x v="0"/>
    <n v="3"/>
    <n v="1"/>
    <x v="17"/>
    <n v="0.2576"/>
    <n v="0.3"/>
    <n v="0.29849999999999999"/>
    <n v="6"/>
    <n v="65"/>
    <n v="71"/>
  </r>
  <r>
    <x v="105"/>
    <x v="4"/>
    <x v="0"/>
    <x v="0"/>
    <x v="0"/>
    <n v="14"/>
    <x v="0"/>
    <n v="3"/>
    <n v="1"/>
    <x v="11"/>
    <n v="0.28789999999999999"/>
    <n v="0.28000000000000003"/>
    <n v="0.19400000000000001"/>
    <n v="10"/>
    <n v="52"/>
    <n v="62"/>
  </r>
  <r>
    <x v="106"/>
    <x v="4"/>
    <x v="0"/>
    <x v="0"/>
    <x v="0"/>
    <n v="15"/>
    <x v="0"/>
    <n v="3"/>
    <n v="1"/>
    <x v="11"/>
    <n v="0.28789999999999999"/>
    <n v="0.28000000000000003"/>
    <n v="0.19400000000000001"/>
    <n v="7"/>
    <n v="55"/>
    <n v="62"/>
  </r>
  <r>
    <x v="107"/>
    <x v="4"/>
    <x v="0"/>
    <x v="0"/>
    <x v="0"/>
    <n v="16"/>
    <x v="0"/>
    <n v="3"/>
    <n v="1"/>
    <x v="11"/>
    <n v="0.31819999999999998"/>
    <n v="0.28000000000000003"/>
    <n v="8.9599999999999999E-2"/>
    <n v="4"/>
    <n v="85"/>
    <n v="89"/>
  </r>
  <r>
    <x v="108"/>
    <x v="4"/>
    <x v="0"/>
    <x v="0"/>
    <x v="0"/>
    <n v="17"/>
    <x v="0"/>
    <n v="3"/>
    <n v="1"/>
    <x v="0"/>
    <n v="0.2273"/>
    <n v="0.38"/>
    <n v="0.19400000000000001"/>
    <n v="4"/>
    <n v="186"/>
    <n v="190"/>
  </r>
  <r>
    <x v="109"/>
    <x v="4"/>
    <x v="0"/>
    <x v="0"/>
    <x v="0"/>
    <n v="18"/>
    <x v="0"/>
    <n v="3"/>
    <n v="1"/>
    <x v="0"/>
    <n v="0.2424"/>
    <n v="0.38"/>
    <n v="0.1343"/>
    <n v="3"/>
    <n v="166"/>
    <n v="169"/>
  </r>
  <r>
    <x v="110"/>
    <x v="4"/>
    <x v="0"/>
    <x v="0"/>
    <x v="0"/>
    <n v="19"/>
    <x v="0"/>
    <n v="3"/>
    <n v="1"/>
    <x v="0"/>
    <n v="0.2576"/>
    <n v="0.38"/>
    <n v="0.1045"/>
    <n v="5"/>
    <n v="127"/>
    <n v="132"/>
  </r>
  <r>
    <x v="111"/>
    <x v="4"/>
    <x v="0"/>
    <x v="0"/>
    <x v="0"/>
    <n v="20"/>
    <x v="0"/>
    <n v="3"/>
    <n v="1"/>
    <x v="1"/>
    <n v="0.2273"/>
    <n v="0.47"/>
    <n v="0.16420000000000001"/>
    <n v="7"/>
    <n v="82"/>
    <n v="89"/>
  </r>
  <r>
    <x v="112"/>
    <x v="4"/>
    <x v="0"/>
    <x v="0"/>
    <x v="0"/>
    <n v="21"/>
    <x v="0"/>
    <n v="3"/>
    <n v="1"/>
    <x v="2"/>
    <n v="0.19700000000000001"/>
    <n v="0.51"/>
    <n v="0.19400000000000001"/>
    <n v="3"/>
    <n v="40"/>
    <n v="43"/>
  </r>
  <r>
    <x v="113"/>
    <x v="4"/>
    <x v="0"/>
    <x v="0"/>
    <x v="0"/>
    <n v="22"/>
    <x v="0"/>
    <n v="3"/>
    <n v="1"/>
    <x v="15"/>
    <n v="0.19700000000000001"/>
    <n v="0.55000000000000004"/>
    <n v="0.1343"/>
    <n v="1"/>
    <n v="41"/>
    <n v="42"/>
  </r>
  <r>
    <x v="114"/>
    <x v="4"/>
    <x v="0"/>
    <x v="0"/>
    <x v="0"/>
    <n v="23"/>
    <x v="0"/>
    <n v="3"/>
    <n v="1"/>
    <x v="2"/>
    <n v="0.2576"/>
    <n v="0.47"/>
    <n v="0"/>
    <n v="1"/>
    <n v="18"/>
    <n v="19"/>
  </r>
  <r>
    <x v="115"/>
    <x v="5"/>
    <x v="0"/>
    <x v="0"/>
    <x v="0"/>
    <n v="0"/>
    <x v="0"/>
    <n v="4"/>
    <n v="1"/>
    <x v="15"/>
    <n v="0.2424"/>
    <n v="0.55000000000000004"/>
    <n v="0"/>
    <n v="0"/>
    <n v="11"/>
    <n v="11"/>
  </r>
  <r>
    <x v="116"/>
    <x v="5"/>
    <x v="0"/>
    <x v="0"/>
    <x v="0"/>
    <n v="1"/>
    <x v="0"/>
    <n v="4"/>
    <n v="1"/>
    <x v="13"/>
    <n v="0.2273"/>
    <n v="0.64"/>
    <n v="0"/>
    <n v="0"/>
    <n v="4"/>
    <n v="4"/>
  </r>
  <r>
    <x v="117"/>
    <x v="5"/>
    <x v="0"/>
    <x v="0"/>
    <x v="0"/>
    <n v="2"/>
    <x v="0"/>
    <n v="4"/>
    <n v="1"/>
    <x v="13"/>
    <n v="0.2273"/>
    <n v="0.64"/>
    <n v="0"/>
    <n v="0"/>
    <n v="2"/>
    <n v="2"/>
  </r>
  <r>
    <x v="118"/>
    <x v="5"/>
    <x v="0"/>
    <x v="0"/>
    <x v="0"/>
    <n v="4"/>
    <x v="0"/>
    <n v="4"/>
    <n v="2"/>
    <x v="13"/>
    <n v="0.19700000000000001"/>
    <n v="0.64"/>
    <n v="8.9599999999999999E-2"/>
    <n v="0"/>
    <n v="1"/>
    <n v="1"/>
  </r>
  <r>
    <x v="119"/>
    <x v="5"/>
    <x v="0"/>
    <x v="0"/>
    <x v="0"/>
    <n v="5"/>
    <x v="0"/>
    <n v="4"/>
    <n v="2"/>
    <x v="14"/>
    <n v="0.18179999999999999"/>
    <n v="0.69"/>
    <n v="8.9599999999999999E-2"/>
    <n v="0"/>
    <n v="4"/>
    <n v="4"/>
  </r>
  <r>
    <x v="120"/>
    <x v="5"/>
    <x v="0"/>
    <x v="0"/>
    <x v="0"/>
    <n v="6"/>
    <x v="0"/>
    <n v="4"/>
    <n v="2"/>
    <x v="14"/>
    <n v="0.16669999999999999"/>
    <n v="0.63"/>
    <n v="0.1045"/>
    <n v="0"/>
    <n v="36"/>
    <n v="36"/>
  </r>
  <r>
    <x v="121"/>
    <x v="5"/>
    <x v="0"/>
    <x v="0"/>
    <x v="0"/>
    <n v="7"/>
    <x v="0"/>
    <n v="4"/>
    <n v="2"/>
    <x v="13"/>
    <n v="0.2273"/>
    <n v="0.59"/>
    <n v="0"/>
    <n v="0"/>
    <n v="95"/>
    <n v="95"/>
  </r>
  <r>
    <x v="122"/>
    <x v="5"/>
    <x v="0"/>
    <x v="0"/>
    <x v="0"/>
    <n v="8"/>
    <x v="0"/>
    <n v="4"/>
    <n v="1"/>
    <x v="13"/>
    <n v="0.2273"/>
    <n v="0.59"/>
    <n v="0"/>
    <n v="3"/>
    <n v="216"/>
    <n v="219"/>
  </r>
  <r>
    <x v="123"/>
    <x v="5"/>
    <x v="0"/>
    <x v="0"/>
    <x v="0"/>
    <n v="9"/>
    <x v="0"/>
    <n v="4"/>
    <n v="2"/>
    <x v="15"/>
    <n v="0.2424"/>
    <n v="0.51"/>
    <n v="0"/>
    <n v="6"/>
    <n v="116"/>
    <n v="122"/>
  </r>
  <r>
    <x v="124"/>
    <x v="5"/>
    <x v="0"/>
    <x v="0"/>
    <x v="0"/>
    <n v="10"/>
    <x v="0"/>
    <n v="4"/>
    <n v="1"/>
    <x v="2"/>
    <n v="0.2576"/>
    <n v="0.47"/>
    <n v="0"/>
    <n v="3"/>
    <n v="42"/>
    <n v="45"/>
  </r>
  <r>
    <x v="125"/>
    <x v="5"/>
    <x v="0"/>
    <x v="0"/>
    <x v="0"/>
    <n v="11"/>
    <x v="0"/>
    <n v="4"/>
    <n v="1"/>
    <x v="1"/>
    <n v="0.2576"/>
    <n v="0.44"/>
    <n v="8.9599999999999999E-2"/>
    <n v="2"/>
    <n v="57"/>
    <n v="59"/>
  </r>
  <r>
    <x v="126"/>
    <x v="5"/>
    <x v="0"/>
    <x v="0"/>
    <x v="0"/>
    <n v="12"/>
    <x v="0"/>
    <n v="4"/>
    <n v="1"/>
    <x v="12"/>
    <n v="0.28789999999999999"/>
    <n v="0.35"/>
    <n v="0"/>
    <n v="6"/>
    <n v="78"/>
    <n v="84"/>
  </r>
  <r>
    <x v="127"/>
    <x v="5"/>
    <x v="0"/>
    <x v="0"/>
    <x v="0"/>
    <n v="13"/>
    <x v="0"/>
    <n v="4"/>
    <n v="1"/>
    <x v="12"/>
    <n v="0.2727"/>
    <n v="0.35"/>
    <n v="0.1045"/>
    <n v="12"/>
    <n v="55"/>
    <n v="67"/>
  </r>
  <r>
    <x v="128"/>
    <x v="5"/>
    <x v="0"/>
    <x v="0"/>
    <x v="0"/>
    <n v="14"/>
    <x v="0"/>
    <n v="4"/>
    <n v="1"/>
    <x v="17"/>
    <n v="0.2727"/>
    <n v="0.36"/>
    <n v="0.16420000000000001"/>
    <n v="11"/>
    <n v="59"/>
    <n v="70"/>
  </r>
  <r>
    <x v="129"/>
    <x v="5"/>
    <x v="0"/>
    <x v="0"/>
    <x v="0"/>
    <n v="15"/>
    <x v="0"/>
    <n v="4"/>
    <n v="1"/>
    <x v="17"/>
    <n v="0.2727"/>
    <n v="0.36"/>
    <n v="0"/>
    <n v="8"/>
    <n v="54"/>
    <n v="62"/>
  </r>
  <r>
    <x v="130"/>
    <x v="5"/>
    <x v="0"/>
    <x v="0"/>
    <x v="0"/>
    <n v="16"/>
    <x v="0"/>
    <n v="4"/>
    <n v="1"/>
    <x v="12"/>
    <n v="0.2576"/>
    <n v="0.38"/>
    <n v="0.16420000000000001"/>
    <n v="12"/>
    <n v="74"/>
    <n v="86"/>
  </r>
  <r>
    <x v="131"/>
    <x v="5"/>
    <x v="0"/>
    <x v="0"/>
    <x v="0"/>
    <n v="17"/>
    <x v="0"/>
    <n v="4"/>
    <n v="1"/>
    <x v="1"/>
    <n v="0.2273"/>
    <n v="0.51"/>
    <n v="0.16420000000000001"/>
    <n v="9"/>
    <n v="163"/>
    <n v="172"/>
  </r>
  <r>
    <x v="132"/>
    <x v="5"/>
    <x v="0"/>
    <x v="0"/>
    <x v="0"/>
    <n v="18"/>
    <x v="0"/>
    <n v="4"/>
    <n v="1"/>
    <x v="1"/>
    <n v="0.2273"/>
    <n v="0.51"/>
    <n v="0.1343"/>
    <n v="5"/>
    <n v="158"/>
    <n v="163"/>
  </r>
  <r>
    <x v="133"/>
    <x v="5"/>
    <x v="0"/>
    <x v="0"/>
    <x v="0"/>
    <n v="19"/>
    <x v="0"/>
    <n v="4"/>
    <n v="1"/>
    <x v="1"/>
    <n v="0.2576"/>
    <n v="0.55000000000000004"/>
    <n v="8.9599999999999999E-2"/>
    <n v="3"/>
    <n v="109"/>
    <n v="112"/>
  </r>
  <r>
    <x v="134"/>
    <x v="5"/>
    <x v="0"/>
    <x v="0"/>
    <x v="0"/>
    <n v="20"/>
    <x v="0"/>
    <n v="4"/>
    <n v="1"/>
    <x v="2"/>
    <n v="0.21210000000000001"/>
    <n v="0.51"/>
    <n v="0.16420000000000001"/>
    <n v="3"/>
    <n v="66"/>
    <n v="69"/>
  </r>
  <r>
    <x v="135"/>
    <x v="5"/>
    <x v="0"/>
    <x v="0"/>
    <x v="0"/>
    <n v="21"/>
    <x v="0"/>
    <n v="4"/>
    <n v="2"/>
    <x v="1"/>
    <n v="0.21210000000000001"/>
    <n v="0.55000000000000004"/>
    <n v="0.22389999999999999"/>
    <n v="0"/>
    <n v="48"/>
    <n v="48"/>
  </r>
  <r>
    <x v="136"/>
    <x v="5"/>
    <x v="0"/>
    <x v="0"/>
    <x v="0"/>
    <n v="22"/>
    <x v="0"/>
    <n v="4"/>
    <n v="2"/>
    <x v="1"/>
    <n v="0.21210000000000001"/>
    <n v="0.51"/>
    <n v="0.28360000000000002"/>
    <n v="1"/>
    <n v="51"/>
    <n v="52"/>
  </r>
  <r>
    <x v="137"/>
    <x v="5"/>
    <x v="0"/>
    <x v="0"/>
    <x v="0"/>
    <n v="23"/>
    <x v="0"/>
    <n v="4"/>
    <n v="2"/>
    <x v="2"/>
    <n v="0.19700000000000001"/>
    <n v="0.59"/>
    <n v="0.19400000000000001"/>
    <n v="4"/>
    <n v="19"/>
    <n v="23"/>
  </r>
  <r>
    <x v="138"/>
    <x v="6"/>
    <x v="0"/>
    <x v="0"/>
    <x v="0"/>
    <n v="0"/>
    <x v="0"/>
    <n v="5"/>
    <n v="2"/>
    <x v="2"/>
    <n v="0.19700000000000001"/>
    <n v="0.64"/>
    <n v="0.19400000000000001"/>
    <n v="4"/>
    <n v="13"/>
    <n v="17"/>
  </r>
  <r>
    <x v="139"/>
    <x v="6"/>
    <x v="0"/>
    <x v="0"/>
    <x v="0"/>
    <n v="1"/>
    <x v="0"/>
    <n v="5"/>
    <n v="2"/>
    <x v="2"/>
    <n v="0.19700000000000001"/>
    <n v="0.69"/>
    <n v="0.22389999999999999"/>
    <n v="2"/>
    <n v="5"/>
    <n v="7"/>
  </r>
  <r>
    <x v="140"/>
    <x v="6"/>
    <x v="0"/>
    <x v="0"/>
    <x v="0"/>
    <n v="2"/>
    <x v="0"/>
    <n v="5"/>
    <n v="2"/>
    <x v="2"/>
    <n v="0.19700000000000001"/>
    <n v="0.69"/>
    <n v="0.22389999999999999"/>
    <n v="0"/>
    <n v="1"/>
    <n v="1"/>
  </r>
  <r>
    <x v="141"/>
    <x v="6"/>
    <x v="0"/>
    <x v="0"/>
    <x v="0"/>
    <n v="4"/>
    <x v="0"/>
    <n v="5"/>
    <n v="2"/>
    <x v="2"/>
    <n v="0.21210000000000001"/>
    <n v="0.69"/>
    <n v="0.1343"/>
    <n v="0"/>
    <n v="1"/>
    <n v="1"/>
  </r>
  <r>
    <x v="142"/>
    <x v="6"/>
    <x v="0"/>
    <x v="0"/>
    <x v="0"/>
    <n v="5"/>
    <x v="0"/>
    <n v="5"/>
    <n v="3"/>
    <x v="1"/>
    <n v="0.2727"/>
    <n v="0.55000000000000004"/>
    <n v="0"/>
    <n v="0"/>
    <n v="5"/>
    <n v="5"/>
  </r>
  <r>
    <x v="143"/>
    <x v="6"/>
    <x v="0"/>
    <x v="0"/>
    <x v="0"/>
    <n v="6"/>
    <x v="0"/>
    <n v="5"/>
    <n v="2"/>
    <x v="2"/>
    <n v="0.2576"/>
    <n v="0.69"/>
    <n v="0"/>
    <n v="8"/>
    <n v="26"/>
    <n v="34"/>
  </r>
  <r>
    <x v="144"/>
    <x v="6"/>
    <x v="0"/>
    <x v="0"/>
    <x v="0"/>
    <n v="7"/>
    <x v="0"/>
    <n v="5"/>
    <n v="1"/>
    <x v="2"/>
    <n v="0.21210000000000001"/>
    <n v="0.69"/>
    <n v="0.1343"/>
    <n v="8"/>
    <n v="76"/>
    <n v="84"/>
  </r>
  <r>
    <x v="145"/>
    <x v="6"/>
    <x v="0"/>
    <x v="0"/>
    <x v="0"/>
    <n v="8"/>
    <x v="0"/>
    <n v="5"/>
    <n v="1"/>
    <x v="2"/>
    <n v="0.19700000000000001"/>
    <n v="0.51"/>
    <n v="0.25369999999999998"/>
    <n v="20"/>
    <n v="190"/>
    <n v="210"/>
  </r>
  <r>
    <x v="146"/>
    <x v="6"/>
    <x v="0"/>
    <x v="0"/>
    <x v="0"/>
    <n v="9"/>
    <x v="0"/>
    <n v="5"/>
    <n v="1"/>
    <x v="2"/>
    <n v="0.18179999999999999"/>
    <n v="0.47"/>
    <n v="0.29849999999999999"/>
    <n v="9"/>
    <n v="125"/>
    <n v="134"/>
  </r>
  <r>
    <x v="147"/>
    <x v="6"/>
    <x v="0"/>
    <x v="0"/>
    <x v="0"/>
    <n v="10"/>
    <x v="0"/>
    <n v="5"/>
    <n v="1"/>
    <x v="1"/>
    <n v="0.19700000000000001"/>
    <n v="0.37"/>
    <n v="0.32840000000000003"/>
    <n v="16"/>
    <n v="47"/>
    <n v="63"/>
  </r>
  <r>
    <x v="148"/>
    <x v="6"/>
    <x v="0"/>
    <x v="0"/>
    <x v="0"/>
    <n v="11"/>
    <x v="0"/>
    <n v="5"/>
    <n v="2"/>
    <x v="2"/>
    <n v="0.19700000000000001"/>
    <n v="0.4"/>
    <n v="0.22389999999999999"/>
    <n v="19"/>
    <n v="48"/>
    <n v="67"/>
  </r>
  <r>
    <x v="149"/>
    <x v="6"/>
    <x v="0"/>
    <x v="0"/>
    <x v="0"/>
    <n v="12"/>
    <x v="0"/>
    <n v="5"/>
    <n v="2"/>
    <x v="2"/>
    <n v="0.19700000000000001"/>
    <n v="0.37"/>
    <n v="0.25369999999999998"/>
    <n v="9"/>
    <n v="50"/>
    <n v="59"/>
  </r>
  <r>
    <x v="150"/>
    <x v="6"/>
    <x v="0"/>
    <x v="0"/>
    <x v="0"/>
    <n v="13"/>
    <x v="0"/>
    <n v="5"/>
    <n v="2"/>
    <x v="2"/>
    <n v="0.18179999999999999"/>
    <n v="0.37"/>
    <n v="0.28360000000000002"/>
    <n v="9"/>
    <n v="64"/>
    <n v="73"/>
  </r>
  <r>
    <x v="151"/>
    <x v="6"/>
    <x v="0"/>
    <x v="0"/>
    <x v="0"/>
    <n v="14"/>
    <x v="0"/>
    <n v="5"/>
    <n v="2"/>
    <x v="2"/>
    <n v="0.19700000000000001"/>
    <n v="0.4"/>
    <n v="0.25369999999999998"/>
    <n v="7"/>
    <n v="43"/>
    <n v="50"/>
  </r>
  <r>
    <x v="152"/>
    <x v="6"/>
    <x v="0"/>
    <x v="0"/>
    <x v="0"/>
    <n v="15"/>
    <x v="0"/>
    <n v="5"/>
    <n v="2"/>
    <x v="2"/>
    <n v="0.21210000000000001"/>
    <n v="0.37"/>
    <n v="0.16420000000000001"/>
    <n v="9"/>
    <n v="63"/>
    <n v="72"/>
  </r>
  <r>
    <x v="153"/>
    <x v="6"/>
    <x v="0"/>
    <x v="0"/>
    <x v="0"/>
    <n v="16"/>
    <x v="0"/>
    <n v="5"/>
    <n v="2"/>
    <x v="2"/>
    <n v="0.21210000000000001"/>
    <n v="0.37"/>
    <n v="0.16420000000000001"/>
    <n v="5"/>
    <n v="82"/>
    <n v="87"/>
  </r>
  <r>
    <x v="154"/>
    <x v="6"/>
    <x v="0"/>
    <x v="0"/>
    <x v="0"/>
    <n v="17"/>
    <x v="0"/>
    <n v="5"/>
    <n v="2"/>
    <x v="2"/>
    <n v="0.2576"/>
    <n v="0.37"/>
    <n v="0"/>
    <n v="9"/>
    <n v="178"/>
    <n v="187"/>
  </r>
  <r>
    <x v="155"/>
    <x v="6"/>
    <x v="0"/>
    <x v="0"/>
    <x v="0"/>
    <n v="18"/>
    <x v="0"/>
    <n v="5"/>
    <n v="1"/>
    <x v="2"/>
    <n v="0.2273"/>
    <n v="0.4"/>
    <n v="8.9599999999999999E-2"/>
    <n v="7"/>
    <n v="116"/>
    <n v="123"/>
  </r>
  <r>
    <x v="156"/>
    <x v="6"/>
    <x v="0"/>
    <x v="0"/>
    <x v="0"/>
    <n v="19"/>
    <x v="0"/>
    <n v="5"/>
    <n v="1"/>
    <x v="13"/>
    <n v="0.19700000000000001"/>
    <n v="0.55000000000000004"/>
    <n v="8.9599999999999999E-2"/>
    <n v="3"/>
    <n v="92"/>
    <n v="95"/>
  </r>
  <r>
    <x v="157"/>
    <x v="6"/>
    <x v="0"/>
    <x v="0"/>
    <x v="0"/>
    <n v="20"/>
    <x v="0"/>
    <n v="5"/>
    <n v="1"/>
    <x v="15"/>
    <n v="0.21210000000000001"/>
    <n v="0.47"/>
    <n v="0.1045"/>
    <n v="1"/>
    <n v="50"/>
    <n v="51"/>
  </r>
  <r>
    <x v="158"/>
    <x v="6"/>
    <x v="0"/>
    <x v="0"/>
    <x v="0"/>
    <n v="21"/>
    <x v="0"/>
    <n v="5"/>
    <n v="1"/>
    <x v="15"/>
    <n v="0.19700000000000001"/>
    <n v="0.47"/>
    <n v="0.1343"/>
    <n v="0"/>
    <n v="39"/>
    <n v="39"/>
  </r>
  <r>
    <x v="159"/>
    <x v="6"/>
    <x v="0"/>
    <x v="0"/>
    <x v="0"/>
    <n v="22"/>
    <x v="0"/>
    <n v="5"/>
    <n v="2"/>
    <x v="15"/>
    <n v="0.19700000000000001"/>
    <n v="0.43"/>
    <n v="0.16420000000000001"/>
    <n v="2"/>
    <n v="34"/>
    <n v="36"/>
  </r>
  <r>
    <x v="160"/>
    <x v="6"/>
    <x v="0"/>
    <x v="0"/>
    <x v="0"/>
    <n v="23"/>
    <x v="0"/>
    <n v="5"/>
    <n v="2"/>
    <x v="15"/>
    <n v="0.19700000000000001"/>
    <n v="0.51"/>
    <n v="0.16420000000000001"/>
    <n v="1"/>
    <n v="14"/>
    <n v="15"/>
  </r>
  <r>
    <x v="161"/>
    <x v="7"/>
    <x v="0"/>
    <x v="0"/>
    <x v="0"/>
    <n v="0"/>
    <x v="0"/>
    <n v="6"/>
    <n v="2"/>
    <x v="15"/>
    <n v="0.19700000000000001"/>
    <n v="0.51"/>
    <n v="0.16420000000000001"/>
    <n v="1"/>
    <n v="24"/>
    <n v="25"/>
  </r>
  <r>
    <x v="162"/>
    <x v="7"/>
    <x v="0"/>
    <x v="0"/>
    <x v="0"/>
    <n v="1"/>
    <x v="0"/>
    <n v="6"/>
    <n v="2"/>
    <x v="15"/>
    <n v="0.21210000000000001"/>
    <n v="0.55000000000000004"/>
    <n v="8.9599999999999999E-2"/>
    <n v="1"/>
    <n v="15"/>
    <n v="16"/>
  </r>
  <r>
    <x v="163"/>
    <x v="7"/>
    <x v="0"/>
    <x v="0"/>
    <x v="0"/>
    <n v="2"/>
    <x v="0"/>
    <n v="6"/>
    <n v="2"/>
    <x v="15"/>
    <n v="0.2424"/>
    <n v="0.55000000000000004"/>
    <n v="0"/>
    <n v="3"/>
    <n v="13"/>
    <n v="16"/>
  </r>
  <r>
    <x v="164"/>
    <x v="7"/>
    <x v="0"/>
    <x v="0"/>
    <x v="0"/>
    <n v="3"/>
    <x v="0"/>
    <n v="6"/>
    <n v="3"/>
    <x v="15"/>
    <n v="0.19700000000000001"/>
    <n v="0.55000000000000004"/>
    <n v="0.16420000000000001"/>
    <n v="0"/>
    <n v="7"/>
    <n v="7"/>
  </r>
  <r>
    <x v="165"/>
    <x v="7"/>
    <x v="0"/>
    <x v="0"/>
    <x v="0"/>
    <n v="4"/>
    <x v="0"/>
    <n v="6"/>
    <n v="3"/>
    <x v="15"/>
    <n v="0.19700000000000001"/>
    <n v="0.55000000000000004"/>
    <n v="0.16420000000000001"/>
    <n v="0"/>
    <n v="1"/>
    <n v="1"/>
  </r>
  <r>
    <x v="166"/>
    <x v="7"/>
    <x v="0"/>
    <x v="0"/>
    <x v="0"/>
    <n v="5"/>
    <x v="0"/>
    <n v="6"/>
    <n v="2"/>
    <x v="13"/>
    <n v="0.16669999999999999"/>
    <n v="0.74"/>
    <n v="0.16420000000000001"/>
    <n v="0"/>
    <n v="5"/>
    <n v="5"/>
  </r>
  <r>
    <x v="167"/>
    <x v="7"/>
    <x v="0"/>
    <x v="0"/>
    <x v="0"/>
    <n v="6"/>
    <x v="0"/>
    <n v="6"/>
    <n v="2"/>
    <x v="13"/>
    <n v="0.16669999999999999"/>
    <n v="0.74"/>
    <n v="0.16420000000000001"/>
    <n v="0"/>
    <n v="2"/>
    <n v="2"/>
  </r>
  <r>
    <x v="168"/>
    <x v="7"/>
    <x v="0"/>
    <x v="0"/>
    <x v="0"/>
    <n v="7"/>
    <x v="0"/>
    <n v="6"/>
    <n v="2"/>
    <x v="13"/>
    <n v="0.18179999999999999"/>
    <n v="0.74"/>
    <n v="0.1045"/>
    <n v="1"/>
    <n v="8"/>
    <n v="9"/>
  </r>
  <r>
    <x v="169"/>
    <x v="7"/>
    <x v="0"/>
    <x v="0"/>
    <x v="0"/>
    <n v="8"/>
    <x v="0"/>
    <n v="6"/>
    <n v="3"/>
    <x v="13"/>
    <n v="0.18179999999999999"/>
    <n v="0.93"/>
    <n v="0.1045"/>
    <n v="0"/>
    <n v="15"/>
    <n v="15"/>
  </r>
  <r>
    <x v="170"/>
    <x v="7"/>
    <x v="0"/>
    <x v="0"/>
    <x v="0"/>
    <n v="9"/>
    <x v="0"/>
    <n v="6"/>
    <n v="3"/>
    <x v="13"/>
    <n v="0.18179999999999999"/>
    <n v="0.93"/>
    <n v="0.1045"/>
    <n v="0"/>
    <n v="20"/>
    <n v="20"/>
  </r>
  <r>
    <x v="171"/>
    <x v="7"/>
    <x v="0"/>
    <x v="0"/>
    <x v="0"/>
    <n v="10"/>
    <x v="0"/>
    <n v="6"/>
    <n v="2"/>
    <x v="15"/>
    <n v="0.19700000000000001"/>
    <n v="0.8"/>
    <n v="0.16420000000000001"/>
    <n v="5"/>
    <n v="56"/>
    <n v="61"/>
  </r>
  <r>
    <x v="172"/>
    <x v="7"/>
    <x v="0"/>
    <x v="0"/>
    <x v="0"/>
    <n v="11"/>
    <x v="0"/>
    <n v="6"/>
    <n v="2"/>
    <x v="2"/>
    <n v="0.18179999999999999"/>
    <n v="0.69"/>
    <n v="0.3881"/>
    <n v="2"/>
    <n v="60"/>
    <n v="62"/>
  </r>
  <r>
    <x v="173"/>
    <x v="7"/>
    <x v="0"/>
    <x v="0"/>
    <x v="0"/>
    <n v="12"/>
    <x v="0"/>
    <n v="6"/>
    <n v="2"/>
    <x v="2"/>
    <n v="0.18179999999999999"/>
    <n v="0.59"/>
    <n v="0.35820000000000002"/>
    <n v="8"/>
    <n v="90"/>
    <n v="98"/>
  </r>
  <r>
    <x v="174"/>
    <x v="7"/>
    <x v="0"/>
    <x v="0"/>
    <x v="0"/>
    <n v="13"/>
    <x v="0"/>
    <n v="6"/>
    <n v="1"/>
    <x v="2"/>
    <n v="0.18179999999999999"/>
    <n v="0.44"/>
    <n v="0.32840000000000003"/>
    <n v="7"/>
    <n v="95"/>
    <n v="102"/>
  </r>
  <r>
    <x v="175"/>
    <x v="7"/>
    <x v="0"/>
    <x v="0"/>
    <x v="0"/>
    <n v="14"/>
    <x v="0"/>
    <n v="6"/>
    <n v="1"/>
    <x v="2"/>
    <n v="0.16669999999999999"/>
    <n v="0.32"/>
    <n v="0.49249999999999999"/>
    <n v="12"/>
    <n v="83"/>
    <n v="95"/>
  </r>
  <r>
    <x v="176"/>
    <x v="7"/>
    <x v="0"/>
    <x v="0"/>
    <x v="0"/>
    <n v="15"/>
    <x v="0"/>
    <n v="6"/>
    <n v="1"/>
    <x v="2"/>
    <n v="0.16669999999999999"/>
    <n v="0.32"/>
    <n v="0.44779999999999998"/>
    <n v="5"/>
    <n v="69"/>
    <n v="74"/>
  </r>
  <r>
    <x v="177"/>
    <x v="7"/>
    <x v="0"/>
    <x v="0"/>
    <x v="0"/>
    <n v="16"/>
    <x v="0"/>
    <n v="6"/>
    <n v="1"/>
    <x v="15"/>
    <n v="0.13639999999999999"/>
    <n v="0.28999999999999998"/>
    <n v="0.44779999999999998"/>
    <n v="8"/>
    <n v="68"/>
    <n v="76"/>
  </r>
  <r>
    <x v="178"/>
    <x v="7"/>
    <x v="0"/>
    <x v="0"/>
    <x v="0"/>
    <n v="17"/>
    <x v="0"/>
    <n v="6"/>
    <n v="1"/>
    <x v="13"/>
    <n v="0.1212"/>
    <n v="0.37"/>
    <n v="0.55220000000000002"/>
    <n v="5"/>
    <n v="64"/>
    <n v="69"/>
  </r>
  <r>
    <x v="179"/>
    <x v="7"/>
    <x v="0"/>
    <x v="0"/>
    <x v="0"/>
    <n v="18"/>
    <x v="0"/>
    <n v="6"/>
    <n v="1"/>
    <x v="14"/>
    <n v="0.1212"/>
    <n v="0.39"/>
    <n v="0.29849999999999999"/>
    <n v="3"/>
    <n v="52"/>
    <n v="55"/>
  </r>
  <r>
    <x v="180"/>
    <x v="7"/>
    <x v="0"/>
    <x v="0"/>
    <x v="0"/>
    <n v="19"/>
    <x v="0"/>
    <n v="6"/>
    <n v="1"/>
    <x v="14"/>
    <n v="0.1212"/>
    <n v="0.36"/>
    <n v="0.25369999999999998"/>
    <n v="4"/>
    <n v="26"/>
    <n v="30"/>
  </r>
  <r>
    <x v="181"/>
    <x v="7"/>
    <x v="0"/>
    <x v="0"/>
    <x v="0"/>
    <n v="20"/>
    <x v="0"/>
    <n v="6"/>
    <n v="1"/>
    <x v="16"/>
    <n v="0.1212"/>
    <n v="0.36"/>
    <n v="0.25369999999999998"/>
    <n v="0"/>
    <n v="28"/>
    <n v="28"/>
  </r>
  <r>
    <x v="182"/>
    <x v="7"/>
    <x v="0"/>
    <x v="0"/>
    <x v="0"/>
    <n v="21"/>
    <x v="0"/>
    <n v="6"/>
    <n v="1"/>
    <x v="16"/>
    <n v="0.1061"/>
    <n v="0.39"/>
    <n v="0.35820000000000002"/>
    <n v="2"/>
    <n v="35"/>
    <n v="37"/>
  </r>
  <r>
    <x v="183"/>
    <x v="7"/>
    <x v="0"/>
    <x v="0"/>
    <x v="0"/>
    <n v="22"/>
    <x v="0"/>
    <n v="6"/>
    <n v="1"/>
    <x v="16"/>
    <n v="0.1061"/>
    <n v="0.36"/>
    <n v="0.3881"/>
    <n v="1"/>
    <n v="33"/>
    <n v="34"/>
  </r>
  <r>
    <x v="184"/>
    <x v="7"/>
    <x v="0"/>
    <x v="0"/>
    <x v="0"/>
    <n v="23"/>
    <x v="0"/>
    <n v="6"/>
    <n v="1"/>
    <x v="18"/>
    <n v="6.0600000000000001E-2"/>
    <n v="0.39"/>
    <n v="0.44779999999999998"/>
    <n v="0"/>
    <n v="22"/>
    <n v="22"/>
  </r>
  <r>
    <x v="185"/>
    <x v="8"/>
    <x v="0"/>
    <x v="0"/>
    <x v="0"/>
    <n v="0"/>
    <x v="0"/>
    <n v="0"/>
    <n v="1"/>
    <x v="18"/>
    <n v="7.5800000000000006E-2"/>
    <n v="0.42"/>
    <n v="0.3881"/>
    <n v="1"/>
    <n v="24"/>
    <n v="25"/>
  </r>
  <r>
    <x v="186"/>
    <x v="8"/>
    <x v="0"/>
    <x v="0"/>
    <x v="0"/>
    <n v="1"/>
    <x v="0"/>
    <n v="0"/>
    <n v="1"/>
    <x v="18"/>
    <n v="6.0600000000000001E-2"/>
    <n v="0.42"/>
    <n v="0.4627"/>
    <n v="0"/>
    <n v="12"/>
    <n v="12"/>
  </r>
  <r>
    <x v="187"/>
    <x v="8"/>
    <x v="0"/>
    <x v="0"/>
    <x v="0"/>
    <n v="2"/>
    <x v="0"/>
    <n v="0"/>
    <n v="1"/>
    <x v="18"/>
    <n v="6.0600000000000001E-2"/>
    <n v="0.46"/>
    <n v="0.4627"/>
    <n v="0"/>
    <n v="11"/>
    <n v="11"/>
  </r>
  <r>
    <x v="188"/>
    <x v="8"/>
    <x v="0"/>
    <x v="0"/>
    <x v="0"/>
    <n v="3"/>
    <x v="0"/>
    <n v="0"/>
    <n v="1"/>
    <x v="18"/>
    <n v="7.5800000000000006E-2"/>
    <n v="0.46"/>
    <n v="0.41789999999999999"/>
    <n v="0"/>
    <n v="4"/>
    <n v="4"/>
  </r>
  <r>
    <x v="189"/>
    <x v="8"/>
    <x v="0"/>
    <x v="0"/>
    <x v="0"/>
    <n v="4"/>
    <x v="0"/>
    <n v="0"/>
    <n v="1"/>
    <x v="19"/>
    <n v="9.0899999999999995E-2"/>
    <n v="0.53"/>
    <n v="0.19400000000000001"/>
    <n v="0"/>
    <n v="1"/>
    <n v="1"/>
  </r>
  <r>
    <x v="190"/>
    <x v="8"/>
    <x v="0"/>
    <x v="0"/>
    <x v="0"/>
    <n v="5"/>
    <x v="0"/>
    <n v="0"/>
    <n v="1"/>
    <x v="19"/>
    <n v="9.0899999999999995E-2"/>
    <n v="0.53"/>
    <n v="0.19400000000000001"/>
    <n v="0"/>
    <n v="1"/>
    <n v="1"/>
  </r>
  <r>
    <x v="191"/>
    <x v="8"/>
    <x v="0"/>
    <x v="0"/>
    <x v="0"/>
    <n v="6"/>
    <x v="0"/>
    <n v="0"/>
    <n v="1"/>
    <x v="18"/>
    <n v="9.0899999999999995E-2"/>
    <n v="0.49"/>
    <n v="0.28360000000000002"/>
    <n v="0"/>
    <n v="1"/>
    <n v="1"/>
  </r>
  <r>
    <x v="192"/>
    <x v="8"/>
    <x v="0"/>
    <x v="0"/>
    <x v="0"/>
    <n v="7"/>
    <x v="0"/>
    <n v="0"/>
    <n v="1"/>
    <x v="19"/>
    <n v="9.0899999999999995E-2"/>
    <n v="0.53"/>
    <n v="0.19400000000000001"/>
    <n v="1"/>
    <n v="5"/>
    <n v="6"/>
  </r>
  <r>
    <x v="193"/>
    <x v="8"/>
    <x v="0"/>
    <x v="0"/>
    <x v="0"/>
    <n v="8"/>
    <x v="0"/>
    <n v="0"/>
    <n v="1"/>
    <x v="18"/>
    <n v="9.0899999999999995E-2"/>
    <n v="0.49"/>
    <n v="0.28360000000000002"/>
    <n v="0"/>
    <n v="10"/>
    <n v="10"/>
  </r>
  <r>
    <x v="194"/>
    <x v="8"/>
    <x v="0"/>
    <x v="0"/>
    <x v="0"/>
    <n v="9"/>
    <x v="0"/>
    <n v="0"/>
    <n v="1"/>
    <x v="16"/>
    <n v="7.5800000000000006E-2"/>
    <n v="0.46"/>
    <n v="0.52239999999999998"/>
    <n v="0"/>
    <n v="19"/>
    <n v="19"/>
  </r>
  <r>
    <x v="195"/>
    <x v="8"/>
    <x v="0"/>
    <x v="0"/>
    <x v="0"/>
    <n v="10"/>
    <x v="0"/>
    <n v="0"/>
    <n v="1"/>
    <x v="14"/>
    <n v="0.1061"/>
    <n v="0.43"/>
    <n v="0.3881"/>
    <n v="0"/>
    <n v="49"/>
    <n v="49"/>
  </r>
  <r>
    <x v="196"/>
    <x v="8"/>
    <x v="0"/>
    <x v="0"/>
    <x v="0"/>
    <n v="11"/>
    <x v="0"/>
    <n v="0"/>
    <n v="1"/>
    <x v="13"/>
    <n v="0.1212"/>
    <n v="0.4"/>
    <n v="0.52239999999999998"/>
    <n v="2"/>
    <n v="47"/>
    <n v="49"/>
  </r>
  <r>
    <x v="197"/>
    <x v="8"/>
    <x v="0"/>
    <x v="0"/>
    <x v="0"/>
    <n v="12"/>
    <x v="0"/>
    <n v="0"/>
    <n v="1"/>
    <x v="15"/>
    <n v="0.13639999999999999"/>
    <n v="0.37"/>
    <n v="0.44779999999999998"/>
    <n v="4"/>
    <n v="79"/>
    <n v="83"/>
  </r>
  <r>
    <x v="198"/>
    <x v="8"/>
    <x v="0"/>
    <x v="0"/>
    <x v="0"/>
    <n v="13"/>
    <x v="0"/>
    <n v="0"/>
    <n v="1"/>
    <x v="2"/>
    <n v="0.16669999999999999"/>
    <n v="0.34"/>
    <n v="0.44779999999999998"/>
    <n v="6"/>
    <n v="69"/>
    <n v="75"/>
  </r>
  <r>
    <x v="199"/>
    <x v="8"/>
    <x v="0"/>
    <x v="0"/>
    <x v="0"/>
    <n v="14"/>
    <x v="0"/>
    <n v="0"/>
    <n v="1"/>
    <x v="1"/>
    <n v="0.18179999999999999"/>
    <n v="0.32"/>
    <n v="0.4627"/>
    <n v="8"/>
    <n v="64"/>
    <n v="72"/>
  </r>
  <r>
    <x v="200"/>
    <x v="8"/>
    <x v="0"/>
    <x v="0"/>
    <x v="0"/>
    <n v="15"/>
    <x v="0"/>
    <n v="0"/>
    <n v="1"/>
    <x v="1"/>
    <n v="0.19700000000000001"/>
    <n v="0.35"/>
    <n v="0.35820000000000002"/>
    <n v="5"/>
    <n v="77"/>
    <n v="82"/>
  </r>
  <r>
    <x v="201"/>
    <x v="8"/>
    <x v="0"/>
    <x v="0"/>
    <x v="0"/>
    <n v="16"/>
    <x v="0"/>
    <n v="0"/>
    <n v="1"/>
    <x v="2"/>
    <n v="0.16669999999999999"/>
    <n v="0.34"/>
    <n v="0.44779999999999998"/>
    <n v="13"/>
    <n v="79"/>
    <n v="92"/>
  </r>
  <r>
    <x v="202"/>
    <x v="8"/>
    <x v="0"/>
    <x v="0"/>
    <x v="0"/>
    <n v="17"/>
    <x v="0"/>
    <n v="0"/>
    <n v="1"/>
    <x v="15"/>
    <n v="0.1515"/>
    <n v="0.37"/>
    <n v="0.3881"/>
    <n v="3"/>
    <n v="59"/>
    <n v="62"/>
  </r>
  <r>
    <x v="203"/>
    <x v="8"/>
    <x v="0"/>
    <x v="0"/>
    <x v="0"/>
    <n v="18"/>
    <x v="0"/>
    <n v="0"/>
    <n v="1"/>
    <x v="13"/>
    <n v="0.13639999999999999"/>
    <n v="0.4"/>
    <n v="0.32840000000000003"/>
    <n v="4"/>
    <n v="44"/>
    <n v="48"/>
  </r>
  <r>
    <x v="204"/>
    <x v="8"/>
    <x v="0"/>
    <x v="0"/>
    <x v="0"/>
    <n v="19"/>
    <x v="0"/>
    <n v="0"/>
    <n v="1"/>
    <x v="13"/>
    <n v="0.13639999999999999"/>
    <n v="0.43"/>
    <n v="0.32840000000000003"/>
    <n v="1"/>
    <n v="40"/>
    <n v="41"/>
  </r>
  <r>
    <x v="205"/>
    <x v="8"/>
    <x v="0"/>
    <x v="0"/>
    <x v="0"/>
    <n v="20"/>
    <x v="0"/>
    <n v="0"/>
    <n v="1"/>
    <x v="14"/>
    <n v="0.1212"/>
    <n v="0.46"/>
    <n v="0.25369999999999998"/>
    <n v="0"/>
    <n v="38"/>
    <n v="38"/>
  </r>
  <r>
    <x v="206"/>
    <x v="8"/>
    <x v="0"/>
    <x v="0"/>
    <x v="0"/>
    <n v="21"/>
    <x v="0"/>
    <n v="0"/>
    <n v="1"/>
    <x v="14"/>
    <n v="0.1061"/>
    <n v="0.46"/>
    <n v="0.41789999999999999"/>
    <n v="1"/>
    <n v="19"/>
    <n v="20"/>
  </r>
  <r>
    <x v="207"/>
    <x v="8"/>
    <x v="0"/>
    <x v="0"/>
    <x v="0"/>
    <n v="22"/>
    <x v="0"/>
    <n v="0"/>
    <n v="1"/>
    <x v="14"/>
    <n v="0.1212"/>
    <n v="0.46"/>
    <n v="0.29849999999999999"/>
    <n v="5"/>
    <n v="10"/>
    <n v="15"/>
  </r>
  <r>
    <x v="208"/>
    <x v="8"/>
    <x v="0"/>
    <x v="0"/>
    <x v="0"/>
    <n v="23"/>
    <x v="0"/>
    <n v="0"/>
    <n v="1"/>
    <x v="16"/>
    <n v="0.13639999999999999"/>
    <n v="0.5"/>
    <n v="0.19400000000000001"/>
    <n v="0"/>
    <n v="6"/>
    <n v="6"/>
  </r>
  <r>
    <x v="209"/>
    <x v="9"/>
    <x v="0"/>
    <x v="0"/>
    <x v="0"/>
    <n v="0"/>
    <x v="0"/>
    <n v="1"/>
    <n v="1"/>
    <x v="16"/>
    <n v="0.1212"/>
    <n v="0.5"/>
    <n v="0.28360000000000002"/>
    <n v="2"/>
    <n v="3"/>
    <n v="5"/>
  </r>
  <r>
    <x v="210"/>
    <x v="9"/>
    <x v="0"/>
    <x v="0"/>
    <x v="0"/>
    <n v="1"/>
    <x v="0"/>
    <n v="1"/>
    <n v="1"/>
    <x v="16"/>
    <n v="0.1212"/>
    <n v="0.5"/>
    <n v="0.28360000000000002"/>
    <n v="1"/>
    <n v="0"/>
    <n v="1"/>
  </r>
  <r>
    <x v="211"/>
    <x v="9"/>
    <x v="0"/>
    <x v="0"/>
    <x v="0"/>
    <n v="2"/>
    <x v="0"/>
    <n v="1"/>
    <n v="1"/>
    <x v="16"/>
    <n v="0.1212"/>
    <n v="0.5"/>
    <n v="0.22389999999999999"/>
    <n v="0"/>
    <n v="3"/>
    <n v="3"/>
  </r>
  <r>
    <x v="212"/>
    <x v="9"/>
    <x v="0"/>
    <x v="0"/>
    <x v="0"/>
    <n v="3"/>
    <x v="0"/>
    <n v="1"/>
    <n v="1"/>
    <x v="16"/>
    <n v="0.1212"/>
    <n v="0.5"/>
    <n v="0.22389999999999999"/>
    <n v="0"/>
    <n v="1"/>
    <n v="1"/>
  </r>
  <r>
    <x v="213"/>
    <x v="9"/>
    <x v="0"/>
    <x v="0"/>
    <x v="0"/>
    <n v="4"/>
    <x v="0"/>
    <n v="1"/>
    <n v="1"/>
    <x v="18"/>
    <n v="0.1212"/>
    <n v="0.54"/>
    <n v="0.1343"/>
    <n v="1"/>
    <n v="2"/>
    <n v="3"/>
  </r>
  <r>
    <x v="214"/>
    <x v="9"/>
    <x v="0"/>
    <x v="0"/>
    <x v="0"/>
    <n v="5"/>
    <x v="0"/>
    <n v="1"/>
    <n v="1"/>
    <x v="18"/>
    <n v="0.1061"/>
    <n v="0.54"/>
    <n v="0.25369999999999998"/>
    <n v="0"/>
    <n v="3"/>
    <n v="3"/>
  </r>
  <r>
    <x v="215"/>
    <x v="9"/>
    <x v="0"/>
    <x v="0"/>
    <x v="0"/>
    <n v="6"/>
    <x v="0"/>
    <n v="1"/>
    <n v="1"/>
    <x v="16"/>
    <n v="0.1212"/>
    <n v="0.5"/>
    <n v="0.28360000000000002"/>
    <n v="0"/>
    <n v="31"/>
    <n v="31"/>
  </r>
  <r>
    <x v="216"/>
    <x v="9"/>
    <x v="0"/>
    <x v="0"/>
    <x v="0"/>
    <n v="7"/>
    <x v="0"/>
    <n v="1"/>
    <n v="1"/>
    <x v="16"/>
    <n v="0.1212"/>
    <n v="0.5"/>
    <n v="0.22389999999999999"/>
    <n v="2"/>
    <n v="75"/>
    <n v="77"/>
  </r>
  <r>
    <x v="217"/>
    <x v="9"/>
    <x v="0"/>
    <x v="0"/>
    <x v="0"/>
    <n v="8"/>
    <x v="0"/>
    <n v="1"/>
    <n v="2"/>
    <x v="16"/>
    <n v="0.1212"/>
    <n v="0.5"/>
    <n v="0.28360000000000002"/>
    <n v="4"/>
    <n v="184"/>
    <n v="188"/>
  </r>
  <r>
    <x v="218"/>
    <x v="9"/>
    <x v="0"/>
    <x v="0"/>
    <x v="0"/>
    <n v="9"/>
    <x v="0"/>
    <n v="1"/>
    <n v="2"/>
    <x v="14"/>
    <n v="0.1212"/>
    <n v="0.5"/>
    <n v="0.25369999999999998"/>
    <n v="2"/>
    <n v="92"/>
    <n v="94"/>
  </r>
  <r>
    <x v="219"/>
    <x v="9"/>
    <x v="0"/>
    <x v="0"/>
    <x v="0"/>
    <n v="10"/>
    <x v="0"/>
    <n v="1"/>
    <n v="2"/>
    <x v="14"/>
    <n v="0.1212"/>
    <n v="0.5"/>
    <n v="0.29849999999999999"/>
    <n v="0"/>
    <n v="31"/>
    <n v="31"/>
  </r>
  <r>
    <x v="220"/>
    <x v="9"/>
    <x v="0"/>
    <x v="0"/>
    <x v="0"/>
    <n v="11"/>
    <x v="0"/>
    <n v="1"/>
    <n v="2"/>
    <x v="13"/>
    <n v="0.13639999999999999"/>
    <n v="0.47"/>
    <n v="0.28360000000000002"/>
    <n v="2"/>
    <n v="28"/>
    <n v="30"/>
  </r>
  <r>
    <x v="221"/>
    <x v="9"/>
    <x v="0"/>
    <x v="0"/>
    <x v="0"/>
    <n v="12"/>
    <x v="0"/>
    <n v="1"/>
    <n v="2"/>
    <x v="2"/>
    <n v="0.18179999999999999"/>
    <n v="0.4"/>
    <n v="0.28360000000000002"/>
    <n v="5"/>
    <n v="47"/>
    <n v="52"/>
  </r>
  <r>
    <x v="222"/>
    <x v="9"/>
    <x v="0"/>
    <x v="0"/>
    <x v="0"/>
    <n v="13"/>
    <x v="0"/>
    <n v="1"/>
    <n v="2"/>
    <x v="2"/>
    <n v="0.18179999999999999"/>
    <n v="0.4"/>
    <n v="0.28360000000000002"/>
    <n v="4"/>
    <n v="50"/>
    <n v="54"/>
  </r>
  <r>
    <x v="223"/>
    <x v="9"/>
    <x v="0"/>
    <x v="0"/>
    <x v="0"/>
    <n v="14"/>
    <x v="0"/>
    <n v="1"/>
    <n v="2"/>
    <x v="2"/>
    <n v="0.19700000000000001"/>
    <n v="0.4"/>
    <n v="0.22389999999999999"/>
    <n v="0"/>
    <n v="47"/>
    <n v="47"/>
  </r>
  <r>
    <x v="224"/>
    <x v="9"/>
    <x v="0"/>
    <x v="0"/>
    <x v="0"/>
    <n v="15"/>
    <x v="0"/>
    <n v="1"/>
    <n v="2"/>
    <x v="2"/>
    <n v="0.19700000000000001"/>
    <n v="0.4"/>
    <n v="0.22389999999999999"/>
    <n v="2"/>
    <n v="43"/>
    <n v="45"/>
  </r>
  <r>
    <x v="225"/>
    <x v="9"/>
    <x v="0"/>
    <x v="0"/>
    <x v="0"/>
    <n v="16"/>
    <x v="0"/>
    <n v="1"/>
    <n v="1"/>
    <x v="2"/>
    <n v="0.21210000000000001"/>
    <n v="0.4"/>
    <n v="0.1343"/>
    <n v="4"/>
    <n v="70"/>
    <n v="74"/>
  </r>
  <r>
    <x v="226"/>
    <x v="9"/>
    <x v="0"/>
    <x v="0"/>
    <x v="0"/>
    <n v="17"/>
    <x v="0"/>
    <n v="1"/>
    <n v="1"/>
    <x v="2"/>
    <n v="0.2273"/>
    <n v="0.4"/>
    <n v="0.1045"/>
    <n v="4"/>
    <n v="174"/>
    <n v="178"/>
  </r>
  <r>
    <x v="227"/>
    <x v="9"/>
    <x v="0"/>
    <x v="0"/>
    <x v="0"/>
    <n v="18"/>
    <x v="0"/>
    <n v="1"/>
    <n v="1"/>
    <x v="2"/>
    <n v="0.19700000000000001"/>
    <n v="0.4"/>
    <n v="0.22389999999999999"/>
    <n v="1"/>
    <n v="154"/>
    <n v="155"/>
  </r>
  <r>
    <x v="228"/>
    <x v="9"/>
    <x v="0"/>
    <x v="0"/>
    <x v="0"/>
    <n v="19"/>
    <x v="0"/>
    <n v="1"/>
    <n v="1"/>
    <x v="13"/>
    <n v="0.16669999999999999"/>
    <n v="0.47"/>
    <n v="0.16420000000000001"/>
    <n v="3"/>
    <n v="92"/>
    <n v="95"/>
  </r>
  <r>
    <x v="229"/>
    <x v="9"/>
    <x v="0"/>
    <x v="0"/>
    <x v="0"/>
    <n v="20"/>
    <x v="0"/>
    <n v="1"/>
    <n v="1"/>
    <x v="13"/>
    <n v="0.16669999999999999"/>
    <n v="0.5"/>
    <n v="0.16420000000000001"/>
    <n v="1"/>
    <n v="73"/>
    <n v="74"/>
  </r>
  <r>
    <x v="230"/>
    <x v="9"/>
    <x v="0"/>
    <x v="0"/>
    <x v="0"/>
    <n v="21"/>
    <x v="0"/>
    <n v="1"/>
    <n v="1"/>
    <x v="14"/>
    <n v="0.13639999999999999"/>
    <n v="0.59"/>
    <n v="0.19400000000000001"/>
    <n v="1"/>
    <n v="37"/>
    <n v="38"/>
  </r>
  <r>
    <x v="231"/>
    <x v="9"/>
    <x v="0"/>
    <x v="0"/>
    <x v="0"/>
    <n v="22"/>
    <x v="0"/>
    <n v="1"/>
    <n v="1"/>
    <x v="14"/>
    <n v="0.1515"/>
    <n v="0.59"/>
    <n v="0.16420000000000001"/>
    <n v="2"/>
    <n v="22"/>
    <n v="24"/>
  </r>
  <r>
    <x v="232"/>
    <x v="9"/>
    <x v="0"/>
    <x v="0"/>
    <x v="0"/>
    <n v="23"/>
    <x v="0"/>
    <n v="1"/>
    <n v="1"/>
    <x v="14"/>
    <n v="0.1515"/>
    <n v="0.59"/>
    <n v="0.16420000000000001"/>
    <n v="0"/>
    <n v="18"/>
    <n v="18"/>
  </r>
  <r>
    <x v="233"/>
    <x v="10"/>
    <x v="0"/>
    <x v="0"/>
    <x v="0"/>
    <n v="0"/>
    <x v="0"/>
    <n v="2"/>
    <n v="1"/>
    <x v="14"/>
    <n v="0.16669999999999999"/>
    <n v="0.59"/>
    <n v="0.1045"/>
    <n v="2"/>
    <n v="10"/>
    <n v="12"/>
  </r>
  <r>
    <x v="234"/>
    <x v="10"/>
    <x v="0"/>
    <x v="0"/>
    <x v="0"/>
    <n v="1"/>
    <x v="0"/>
    <n v="2"/>
    <n v="1"/>
    <x v="14"/>
    <n v="0.1515"/>
    <n v="0.59"/>
    <n v="0.16420000000000001"/>
    <n v="0"/>
    <n v="3"/>
    <n v="3"/>
  </r>
  <r>
    <x v="235"/>
    <x v="10"/>
    <x v="0"/>
    <x v="0"/>
    <x v="0"/>
    <n v="2"/>
    <x v="0"/>
    <n v="2"/>
    <n v="2"/>
    <x v="13"/>
    <n v="0.1515"/>
    <n v="0.55000000000000004"/>
    <n v="0.19400000000000001"/>
    <n v="0"/>
    <n v="3"/>
    <n v="3"/>
  </r>
  <r>
    <x v="236"/>
    <x v="10"/>
    <x v="0"/>
    <x v="0"/>
    <x v="0"/>
    <n v="5"/>
    <x v="0"/>
    <n v="2"/>
    <n v="2"/>
    <x v="13"/>
    <n v="0.18179999999999999"/>
    <n v="0.55000000000000004"/>
    <n v="0.1343"/>
    <n v="0"/>
    <n v="6"/>
    <n v="6"/>
  </r>
  <r>
    <x v="237"/>
    <x v="10"/>
    <x v="0"/>
    <x v="0"/>
    <x v="0"/>
    <n v="6"/>
    <x v="0"/>
    <n v="2"/>
    <n v="2"/>
    <x v="13"/>
    <n v="0.18179999999999999"/>
    <n v="0.55000000000000004"/>
    <n v="0.1343"/>
    <n v="0"/>
    <n v="27"/>
    <n v="27"/>
  </r>
  <r>
    <x v="238"/>
    <x v="10"/>
    <x v="0"/>
    <x v="0"/>
    <x v="0"/>
    <n v="7"/>
    <x v="0"/>
    <n v="2"/>
    <n v="2"/>
    <x v="13"/>
    <n v="0.2273"/>
    <n v="0.55000000000000004"/>
    <n v="0"/>
    <n v="2"/>
    <n v="97"/>
    <n v="99"/>
  </r>
  <r>
    <x v="239"/>
    <x v="10"/>
    <x v="0"/>
    <x v="0"/>
    <x v="0"/>
    <n v="8"/>
    <x v="0"/>
    <n v="2"/>
    <n v="2"/>
    <x v="15"/>
    <n v="0.21210000000000001"/>
    <n v="0.51"/>
    <n v="8.9599999999999999E-2"/>
    <n v="3"/>
    <n v="214"/>
    <n v="217"/>
  </r>
  <r>
    <x v="240"/>
    <x v="10"/>
    <x v="0"/>
    <x v="0"/>
    <x v="0"/>
    <n v="9"/>
    <x v="0"/>
    <n v="2"/>
    <n v="2"/>
    <x v="15"/>
    <n v="0.19700000000000001"/>
    <n v="0.51"/>
    <n v="0.16420000000000001"/>
    <n v="3"/>
    <n v="127"/>
    <n v="130"/>
  </r>
  <r>
    <x v="241"/>
    <x v="10"/>
    <x v="0"/>
    <x v="0"/>
    <x v="0"/>
    <n v="10"/>
    <x v="0"/>
    <n v="2"/>
    <n v="2"/>
    <x v="2"/>
    <n v="0.21210000000000001"/>
    <n v="0.51"/>
    <n v="0.16420000000000001"/>
    <n v="3"/>
    <n v="51"/>
    <n v="54"/>
  </r>
  <r>
    <x v="242"/>
    <x v="10"/>
    <x v="0"/>
    <x v="0"/>
    <x v="0"/>
    <n v="11"/>
    <x v="0"/>
    <n v="2"/>
    <n v="2"/>
    <x v="2"/>
    <n v="0.21210000000000001"/>
    <n v="0.47"/>
    <n v="0.1343"/>
    <n v="4"/>
    <n v="31"/>
    <n v="35"/>
  </r>
  <r>
    <x v="243"/>
    <x v="10"/>
    <x v="0"/>
    <x v="0"/>
    <x v="0"/>
    <n v="12"/>
    <x v="0"/>
    <n v="2"/>
    <n v="2"/>
    <x v="2"/>
    <n v="0.2273"/>
    <n v="0.51"/>
    <n v="0.1045"/>
    <n v="2"/>
    <n v="55"/>
    <n v="57"/>
  </r>
  <r>
    <x v="244"/>
    <x v="10"/>
    <x v="0"/>
    <x v="0"/>
    <x v="0"/>
    <n v="13"/>
    <x v="0"/>
    <n v="2"/>
    <n v="2"/>
    <x v="2"/>
    <n v="0.2273"/>
    <n v="0.59"/>
    <n v="8.9599999999999999E-2"/>
    <n v="6"/>
    <n v="46"/>
    <n v="52"/>
  </r>
  <r>
    <x v="245"/>
    <x v="10"/>
    <x v="0"/>
    <x v="0"/>
    <x v="0"/>
    <n v="14"/>
    <x v="0"/>
    <n v="2"/>
    <n v="2"/>
    <x v="2"/>
    <n v="0.2273"/>
    <n v="0.59"/>
    <n v="8.9599999999999999E-2"/>
    <n v="3"/>
    <n v="60"/>
    <n v="63"/>
  </r>
  <r>
    <x v="246"/>
    <x v="10"/>
    <x v="0"/>
    <x v="0"/>
    <x v="0"/>
    <n v="15"/>
    <x v="0"/>
    <n v="2"/>
    <n v="2"/>
    <x v="13"/>
    <n v="0.19700000000000001"/>
    <n v="0.8"/>
    <n v="8.9599999999999999E-2"/>
    <n v="2"/>
    <n v="45"/>
    <n v="47"/>
  </r>
  <r>
    <x v="247"/>
    <x v="10"/>
    <x v="0"/>
    <x v="0"/>
    <x v="0"/>
    <n v="16"/>
    <x v="0"/>
    <n v="2"/>
    <n v="2"/>
    <x v="13"/>
    <n v="0.1515"/>
    <n v="0.86"/>
    <n v="0.22389999999999999"/>
    <n v="4"/>
    <n v="72"/>
    <n v="76"/>
  </r>
  <r>
    <x v="248"/>
    <x v="10"/>
    <x v="0"/>
    <x v="0"/>
    <x v="0"/>
    <n v="17"/>
    <x v="0"/>
    <n v="2"/>
    <n v="2"/>
    <x v="13"/>
    <n v="0.1515"/>
    <n v="0.86"/>
    <n v="0.22389999999999999"/>
    <n v="6"/>
    <n v="130"/>
    <n v="136"/>
  </r>
  <r>
    <x v="249"/>
    <x v="10"/>
    <x v="0"/>
    <x v="0"/>
    <x v="0"/>
    <n v="18"/>
    <x v="0"/>
    <n v="2"/>
    <n v="3"/>
    <x v="13"/>
    <n v="0.18179999999999999"/>
    <n v="0.93"/>
    <n v="0.1045"/>
    <n v="1"/>
    <n v="94"/>
    <n v="95"/>
  </r>
  <r>
    <x v="250"/>
    <x v="10"/>
    <x v="0"/>
    <x v="0"/>
    <x v="0"/>
    <n v="19"/>
    <x v="0"/>
    <n v="2"/>
    <n v="3"/>
    <x v="13"/>
    <n v="0.2273"/>
    <n v="0.93"/>
    <n v="0"/>
    <n v="0"/>
    <n v="51"/>
    <n v="51"/>
  </r>
  <r>
    <x v="251"/>
    <x v="10"/>
    <x v="0"/>
    <x v="0"/>
    <x v="0"/>
    <n v="20"/>
    <x v="0"/>
    <n v="2"/>
    <n v="3"/>
    <x v="13"/>
    <n v="0.1515"/>
    <n v="0.93"/>
    <n v="0.19400000000000001"/>
    <n v="0"/>
    <n v="32"/>
    <n v="32"/>
  </r>
  <r>
    <x v="252"/>
    <x v="10"/>
    <x v="0"/>
    <x v="0"/>
    <x v="0"/>
    <n v="21"/>
    <x v="0"/>
    <n v="2"/>
    <n v="3"/>
    <x v="13"/>
    <n v="0.19700000000000001"/>
    <n v="0.86"/>
    <n v="8.9599999999999999E-2"/>
    <n v="0"/>
    <n v="20"/>
    <n v="20"/>
  </r>
  <r>
    <x v="253"/>
    <x v="10"/>
    <x v="0"/>
    <x v="0"/>
    <x v="0"/>
    <n v="22"/>
    <x v="0"/>
    <n v="2"/>
    <n v="3"/>
    <x v="13"/>
    <n v="0.18179999999999999"/>
    <n v="0.93"/>
    <n v="0.1045"/>
    <n v="1"/>
    <n v="28"/>
    <n v="29"/>
  </r>
  <r>
    <x v="254"/>
    <x v="10"/>
    <x v="0"/>
    <x v="0"/>
    <x v="0"/>
    <n v="23"/>
    <x v="0"/>
    <n v="2"/>
    <n v="3"/>
    <x v="13"/>
    <n v="0.19700000000000001"/>
    <n v="0.93"/>
    <n v="8.9599999999999999E-2"/>
    <n v="1"/>
    <n v="18"/>
    <n v="19"/>
  </r>
  <r>
    <x v="255"/>
    <x v="11"/>
    <x v="0"/>
    <x v="0"/>
    <x v="0"/>
    <n v="0"/>
    <x v="0"/>
    <n v="3"/>
    <n v="2"/>
    <x v="13"/>
    <n v="0.19700000000000001"/>
    <n v="0.86"/>
    <n v="8.9599999999999999E-2"/>
    <n v="0"/>
    <n v="7"/>
    <n v="7"/>
  </r>
  <r>
    <x v="256"/>
    <x v="11"/>
    <x v="0"/>
    <x v="0"/>
    <x v="0"/>
    <n v="1"/>
    <x v="0"/>
    <n v="3"/>
    <n v="2"/>
    <x v="13"/>
    <n v="0.18179999999999999"/>
    <n v="0.86"/>
    <n v="0.1045"/>
    <n v="0"/>
    <n v="6"/>
    <n v="6"/>
  </r>
  <r>
    <x v="257"/>
    <x v="11"/>
    <x v="0"/>
    <x v="0"/>
    <x v="0"/>
    <n v="2"/>
    <x v="0"/>
    <n v="3"/>
    <n v="1"/>
    <x v="14"/>
    <n v="0.1515"/>
    <n v="0.86"/>
    <n v="0.1343"/>
    <n v="0"/>
    <n v="1"/>
    <n v="1"/>
  </r>
  <r>
    <x v="258"/>
    <x v="11"/>
    <x v="0"/>
    <x v="0"/>
    <x v="0"/>
    <n v="5"/>
    <x v="0"/>
    <n v="3"/>
    <n v="1"/>
    <x v="14"/>
    <n v="0.1515"/>
    <n v="0.86"/>
    <n v="0.16420000000000001"/>
    <n v="0"/>
    <n v="5"/>
    <n v="5"/>
  </r>
  <r>
    <x v="259"/>
    <x v="11"/>
    <x v="0"/>
    <x v="0"/>
    <x v="0"/>
    <n v="6"/>
    <x v="0"/>
    <n v="3"/>
    <n v="1"/>
    <x v="16"/>
    <n v="0.1515"/>
    <n v="0.93"/>
    <n v="0.1343"/>
    <n v="0"/>
    <n v="16"/>
    <n v="16"/>
  </r>
  <r>
    <x v="260"/>
    <x v="11"/>
    <x v="0"/>
    <x v="0"/>
    <x v="0"/>
    <n v="7"/>
    <x v="0"/>
    <n v="3"/>
    <n v="1"/>
    <x v="14"/>
    <n v="0.1515"/>
    <n v="0.69"/>
    <n v="0.1343"/>
    <n v="0"/>
    <n v="54"/>
    <n v="54"/>
  </r>
  <r>
    <x v="261"/>
    <x v="11"/>
    <x v="0"/>
    <x v="0"/>
    <x v="0"/>
    <n v="8"/>
    <x v="0"/>
    <n v="3"/>
    <n v="1"/>
    <x v="13"/>
    <n v="0.16669999999999999"/>
    <n v="0.59"/>
    <n v="0.16420000000000001"/>
    <n v="3"/>
    <n v="125"/>
    <n v="128"/>
  </r>
  <r>
    <x v="262"/>
    <x v="11"/>
    <x v="0"/>
    <x v="0"/>
    <x v="0"/>
    <n v="9"/>
    <x v="0"/>
    <n v="3"/>
    <n v="1"/>
    <x v="13"/>
    <n v="0.13639999999999999"/>
    <n v="0.59"/>
    <n v="0.32840000000000003"/>
    <n v="3"/>
    <n v="78"/>
    <n v="81"/>
  </r>
  <r>
    <x v="263"/>
    <x v="11"/>
    <x v="0"/>
    <x v="0"/>
    <x v="0"/>
    <n v="10"/>
    <x v="0"/>
    <n v="3"/>
    <n v="1"/>
    <x v="15"/>
    <n v="0.18179999999999999"/>
    <n v="0.55000000000000004"/>
    <n v="0.22389999999999999"/>
    <n v="0"/>
    <n v="39"/>
    <n v="39"/>
  </r>
  <r>
    <x v="264"/>
    <x v="11"/>
    <x v="0"/>
    <x v="0"/>
    <x v="0"/>
    <n v="11"/>
    <x v="0"/>
    <n v="3"/>
    <n v="1"/>
    <x v="2"/>
    <n v="0.18179999999999999"/>
    <n v="0.51"/>
    <n v="0.3881"/>
    <n v="3"/>
    <n v="32"/>
    <n v="35"/>
  </r>
  <r>
    <x v="265"/>
    <x v="11"/>
    <x v="0"/>
    <x v="0"/>
    <x v="0"/>
    <n v="12"/>
    <x v="0"/>
    <n v="3"/>
    <n v="1"/>
    <x v="2"/>
    <n v="0.1515"/>
    <n v="0.47"/>
    <n v="0.58209999999999995"/>
    <n v="3"/>
    <n v="52"/>
    <n v="55"/>
  </r>
  <r>
    <x v="266"/>
    <x v="11"/>
    <x v="0"/>
    <x v="0"/>
    <x v="0"/>
    <n v="13"/>
    <x v="0"/>
    <n v="3"/>
    <n v="1"/>
    <x v="1"/>
    <n v="0.19700000000000001"/>
    <n v="0.44"/>
    <n v="0.35820000000000002"/>
    <n v="0"/>
    <n v="49"/>
    <n v="49"/>
  </r>
  <r>
    <x v="267"/>
    <x v="11"/>
    <x v="0"/>
    <x v="0"/>
    <x v="0"/>
    <n v="14"/>
    <x v="0"/>
    <n v="3"/>
    <n v="1"/>
    <x v="2"/>
    <n v="0.18179999999999999"/>
    <n v="0.47"/>
    <n v="0.32840000000000003"/>
    <n v="0"/>
    <n v="44"/>
    <n v="44"/>
  </r>
  <r>
    <x v="268"/>
    <x v="11"/>
    <x v="0"/>
    <x v="0"/>
    <x v="0"/>
    <n v="15"/>
    <x v="0"/>
    <n v="3"/>
    <n v="1"/>
    <x v="2"/>
    <n v="0.16669999999999999"/>
    <n v="0.47"/>
    <n v="0.41789999999999999"/>
    <n v="1"/>
    <n v="48"/>
    <n v="49"/>
  </r>
  <r>
    <x v="269"/>
    <x v="11"/>
    <x v="0"/>
    <x v="0"/>
    <x v="0"/>
    <n v="16"/>
    <x v="0"/>
    <n v="3"/>
    <n v="1"/>
    <x v="1"/>
    <n v="0.19700000000000001"/>
    <n v="0.44"/>
    <n v="0.32840000000000003"/>
    <n v="5"/>
    <n v="63"/>
    <n v="68"/>
  </r>
  <r>
    <x v="270"/>
    <x v="11"/>
    <x v="0"/>
    <x v="0"/>
    <x v="0"/>
    <n v="17"/>
    <x v="0"/>
    <n v="3"/>
    <n v="1"/>
    <x v="2"/>
    <n v="0.18179999999999999"/>
    <n v="0.47"/>
    <n v="0.35820000000000002"/>
    <n v="0"/>
    <n v="139"/>
    <n v="139"/>
  </r>
  <r>
    <x v="271"/>
    <x v="11"/>
    <x v="0"/>
    <x v="0"/>
    <x v="0"/>
    <n v="18"/>
    <x v="0"/>
    <n v="3"/>
    <n v="1"/>
    <x v="2"/>
    <n v="0.1515"/>
    <n v="0.47"/>
    <n v="0.52239999999999998"/>
    <n v="2"/>
    <n v="135"/>
    <n v="137"/>
  </r>
  <r>
    <x v="272"/>
    <x v="11"/>
    <x v="0"/>
    <x v="0"/>
    <x v="0"/>
    <n v="19"/>
    <x v="0"/>
    <n v="3"/>
    <n v="1"/>
    <x v="15"/>
    <n v="0.1515"/>
    <n v="0.47"/>
    <n v="0.41789999999999999"/>
    <n v="1"/>
    <n v="82"/>
    <n v="83"/>
  </r>
  <r>
    <x v="273"/>
    <x v="11"/>
    <x v="0"/>
    <x v="0"/>
    <x v="0"/>
    <n v="20"/>
    <x v="0"/>
    <n v="3"/>
    <n v="1"/>
    <x v="13"/>
    <n v="0.13639999999999999"/>
    <n v="0.5"/>
    <n v="0.32840000000000003"/>
    <n v="2"/>
    <n v="54"/>
    <n v="56"/>
  </r>
  <r>
    <x v="274"/>
    <x v="11"/>
    <x v="0"/>
    <x v="0"/>
    <x v="0"/>
    <n v="21"/>
    <x v="0"/>
    <n v="3"/>
    <n v="1"/>
    <x v="13"/>
    <n v="0.13639999999999999"/>
    <n v="0.55000000000000004"/>
    <n v="0.32840000000000003"/>
    <n v="0"/>
    <n v="57"/>
    <n v="57"/>
  </r>
  <r>
    <x v="275"/>
    <x v="11"/>
    <x v="0"/>
    <x v="0"/>
    <x v="0"/>
    <n v="22"/>
    <x v="0"/>
    <n v="3"/>
    <n v="1"/>
    <x v="13"/>
    <n v="0.1212"/>
    <n v="0.55000000000000004"/>
    <n v="0.44779999999999998"/>
    <n v="1"/>
    <n v="32"/>
    <n v="33"/>
  </r>
  <r>
    <x v="276"/>
    <x v="11"/>
    <x v="0"/>
    <x v="0"/>
    <x v="0"/>
    <n v="23"/>
    <x v="0"/>
    <n v="3"/>
    <n v="1"/>
    <x v="14"/>
    <n v="0.1061"/>
    <n v="0.59"/>
    <n v="0.41789999999999999"/>
    <n v="1"/>
    <n v="19"/>
    <n v="20"/>
  </r>
  <r>
    <x v="277"/>
    <x v="12"/>
    <x v="0"/>
    <x v="0"/>
    <x v="0"/>
    <n v="0"/>
    <x v="0"/>
    <n v="4"/>
    <n v="1"/>
    <x v="14"/>
    <n v="0.1212"/>
    <n v="0.59"/>
    <n v="0.28360000000000002"/>
    <n v="1"/>
    <n v="6"/>
    <n v="7"/>
  </r>
  <r>
    <x v="278"/>
    <x v="12"/>
    <x v="0"/>
    <x v="0"/>
    <x v="0"/>
    <n v="1"/>
    <x v="0"/>
    <n v="4"/>
    <n v="1"/>
    <x v="14"/>
    <n v="0.1212"/>
    <n v="0.5"/>
    <n v="0.28360000000000002"/>
    <n v="0"/>
    <n v="2"/>
    <n v="2"/>
  </r>
  <r>
    <x v="279"/>
    <x v="12"/>
    <x v="0"/>
    <x v="0"/>
    <x v="0"/>
    <n v="2"/>
    <x v="0"/>
    <n v="4"/>
    <n v="1"/>
    <x v="14"/>
    <n v="0.1212"/>
    <n v="0.5"/>
    <n v="0.35820000000000002"/>
    <n v="0"/>
    <n v="2"/>
    <n v="2"/>
  </r>
  <r>
    <x v="280"/>
    <x v="12"/>
    <x v="0"/>
    <x v="0"/>
    <x v="0"/>
    <n v="3"/>
    <x v="0"/>
    <n v="4"/>
    <n v="1"/>
    <x v="14"/>
    <n v="0.1212"/>
    <n v="0.5"/>
    <n v="0.32840000000000003"/>
    <n v="0"/>
    <n v="3"/>
    <n v="3"/>
  </r>
  <r>
    <x v="281"/>
    <x v="12"/>
    <x v="0"/>
    <x v="0"/>
    <x v="0"/>
    <n v="4"/>
    <x v="0"/>
    <n v="4"/>
    <n v="1"/>
    <x v="14"/>
    <n v="0.1212"/>
    <n v="0.5"/>
    <n v="0.25369999999999998"/>
    <n v="0"/>
    <n v="4"/>
    <n v="4"/>
  </r>
  <r>
    <x v="282"/>
    <x v="12"/>
    <x v="0"/>
    <x v="0"/>
    <x v="0"/>
    <n v="5"/>
    <x v="0"/>
    <n v="4"/>
    <n v="1"/>
    <x v="14"/>
    <n v="0.1212"/>
    <n v="0.5"/>
    <n v="0.29849999999999999"/>
    <n v="0"/>
    <n v="3"/>
    <n v="3"/>
  </r>
  <r>
    <x v="283"/>
    <x v="12"/>
    <x v="0"/>
    <x v="0"/>
    <x v="0"/>
    <n v="6"/>
    <x v="0"/>
    <n v="4"/>
    <n v="1"/>
    <x v="16"/>
    <n v="0.1515"/>
    <n v="0.54"/>
    <n v="0.1343"/>
    <n v="0"/>
    <n v="28"/>
    <n v="28"/>
  </r>
  <r>
    <x v="284"/>
    <x v="12"/>
    <x v="0"/>
    <x v="0"/>
    <x v="0"/>
    <n v="7"/>
    <x v="0"/>
    <n v="4"/>
    <n v="1"/>
    <x v="16"/>
    <n v="0.1515"/>
    <n v="0.54"/>
    <n v="0.1343"/>
    <n v="0"/>
    <n v="72"/>
    <n v="72"/>
  </r>
  <r>
    <x v="285"/>
    <x v="12"/>
    <x v="0"/>
    <x v="0"/>
    <x v="0"/>
    <n v="8"/>
    <x v="0"/>
    <n v="4"/>
    <n v="1"/>
    <x v="14"/>
    <n v="0.13639999999999999"/>
    <n v="0.5"/>
    <n v="0.19400000000000001"/>
    <n v="5"/>
    <n v="197"/>
    <n v="202"/>
  </r>
  <r>
    <x v="286"/>
    <x v="12"/>
    <x v="0"/>
    <x v="0"/>
    <x v="0"/>
    <n v="9"/>
    <x v="0"/>
    <n v="4"/>
    <n v="1"/>
    <x v="14"/>
    <n v="0.1212"/>
    <n v="0.5"/>
    <n v="0.32840000000000003"/>
    <n v="2"/>
    <n v="137"/>
    <n v="139"/>
  </r>
  <r>
    <x v="287"/>
    <x v="12"/>
    <x v="0"/>
    <x v="0"/>
    <x v="0"/>
    <n v="10"/>
    <x v="0"/>
    <n v="4"/>
    <n v="2"/>
    <x v="13"/>
    <n v="0.13639999999999999"/>
    <n v="0.5"/>
    <n v="0.35820000000000002"/>
    <n v="2"/>
    <n v="36"/>
    <n v="38"/>
  </r>
  <r>
    <x v="288"/>
    <x v="12"/>
    <x v="0"/>
    <x v="0"/>
    <x v="0"/>
    <n v="11"/>
    <x v="0"/>
    <n v="4"/>
    <n v="2"/>
    <x v="2"/>
    <n v="0.16669999999999999"/>
    <n v="0.44"/>
    <n v="0.44779999999999998"/>
    <n v="4"/>
    <n v="33"/>
    <n v="37"/>
  </r>
  <r>
    <x v="289"/>
    <x v="12"/>
    <x v="0"/>
    <x v="0"/>
    <x v="0"/>
    <n v="12"/>
    <x v="0"/>
    <n v="4"/>
    <n v="1"/>
    <x v="2"/>
    <n v="0.16669999999999999"/>
    <n v="0.44"/>
    <n v="0.41789999999999999"/>
    <n v="3"/>
    <n v="49"/>
    <n v="52"/>
  </r>
  <r>
    <x v="290"/>
    <x v="12"/>
    <x v="0"/>
    <x v="0"/>
    <x v="0"/>
    <n v="13"/>
    <x v="0"/>
    <n v="4"/>
    <n v="1"/>
    <x v="1"/>
    <n v="0.19700000000000001"/>
    <n v="0.41"/>
    <n v="0.44779999999999998"/>
    <n v="2"/>
    <n v="81"/>
    <n v="83"/>
  </r>
  <r>
    <x v="291"/>
    <x v="12"/>
    <x v="0"/>
    <x v="0"/>
    <x v="0"/>
    <n v="14"/>
    <x v="0"/>
    <n v="4"/>
    <n v="1"/>
    <x v="1"/>
    <n v="0.19700000000000001"/>
    <n v="0.41"/>
    <n v="0.3881"/>
    <n v="3"/>
    <n v="39"/>
    <n v="42"/>
  </r>
  <r>
    <x v="292"/>
    <x v="12"/>
    <x v="0"/>
    <x v="0"/>
    <x v="0"/>
    <n v="15"/>
    <x v="0"/>
    <n v="4"/>
    <n v="1"/>
    <x v="0"/>
    <n v="0.21210000000000001"/>
    <n v="0.38"/>
    <n v="0.29849999999999999"/>
    <n v="5"/>
    <n v="55"/>
    <n v="60"/>
  </r>
  <r>
    <x v="293"/>
    <x v="12"/>
    <x v="0"/>
    <x v="0"/>
    <x v="0"/>
    <n v="16"/>
    <x v="0"/>
    <n v="4"/>
    <n v="1"/>
    <x v="0"/>
    <n v="0.21210000000000001"/>
    <n v="0.38"/>
    <n v="0.35820000000000002"/>
    <n v="2"/>
    <n v="76"/>
    <n v="78"/>
  </r>
  <r>
    <x v="294"/>
    <x v="12"/>
    <x v="0"/>
    <x v="0"/>
    <x v="0"/>
    <n v="17"/>
    <x v="0"/>
    <n v="4"/>
    <n v="1"/>
    <x v="2"/>
    <n v="0.18179999999999999"/>
    <n v="0.4"/>
    <n v="0.28360000000000002"/>
    <n v="4"/>
    <n v="158"/>
    <n v="162"/>
  </r>
  <r>
    <x v="295"/>
    <x v="12"/>
    <x v="0"/>
    <x v="0"/>
    <x v="0"/>
    <n v="18"/>
    <x v="0"/>
    <n v="4"/>
    <n v="1"/>
    <x v="2"/>
    <n v="0.18179999999999999"/>
    <n v="0.4"/>
    <n v="0.32840000000000003"/>
    <n v="3"/>
    <n v="141"/>
    <n v="144"/>
  </r>
  <r>
    <x v="296"/>
    <x v="12"/>
    <x v="0"/>
    <x v="0"/>
    <x v="0"/>
    <n v="19"/>
    <x v="0"/>
    <n v="4"/>
    <n v="1"/>
    <x v="13"/>
    <n v="0.1515"/>
    <n v="0.47"/>
    <n v="0.25369999999999998"/>
    <n v="1"/>
    <n v="98"/>
    <n v="99"/>
  </r>
  <r>
    <x v="297"/>
    <x v="12"/>
    <x v="0"/>
    <x v="0"/>
    <x v="0"/>
    <n v="20"/>
    <x v="0"/>
    <n v="4"/>
    <n v="1"/>
    <x v="13"/>
    <n v="0.1515"/>
    <n v="0.47"/>
    <n v="0.22389999999999999"/>
    <n v="0"/>
    <n v="64"/>
    <n v="64"/>
  </r>
  <r>
    <x v="298"/>
    <x v="12"/>
    <x v="0"/>
    <x v="0"/>
    <x v="0"/>
    <n v="21"/>
    <x v="0"/>
    <n v="4"/>
    <n v="1"/>
    <x v="14"/>
    <n v="0.1212"/>
    <n v="0.46"/>
    <n v="0.29849999999999999"/>
    <n v="0"/>
    <n v="40"/>
    <n v="40"/>
  </r>
  <r>
    <x v="299"/>
    <x v="12"/>
    <x v="0"/>
    <x v="0"/>
    <x v="0"/>
    <n v="22"/>
    <x v="0"/>
    <n v="4"/>
    <n v="1"/>
    <x v="14"/>
    <n v="0.1212"/>
    <n v="0.46"/>
    <n v="0.32840000000000003"/>
    <n v="0"/>
    <n v="30"/>
    <n v="30"/>
  </r>
  <r>
    <x v="300"/>
    <x v="12"/>
    <x v="0"/>
    <x v="0"/>
    <x v="0"/>
    <n v="23"/>
    <x v="0"/>
    <n v="4"/>
    <n v="1"/>
    <x v="16"/>
    <n v="0.13639999999999999"/>
    <n v="0.5"/>
    <n v="0.19400000000000001"/>
    <n v="1"/>
    <n v="14"/>
    <n v="15"/>
  </r>
  <r>
    <x v="301"/>
    <x v="13"/>
    <x v="0"/>
    <x v="0"/>
    <x v="0"/>
    <n v="0"/>
    <x v="0"/>
    <n v="5"/>
    <n v="1"/>
    <x v="16"/>
    <n v="0.13639999999999999"/>
    <n v="0.5"/>
    <n v="0.19400000000000001"/>
    <n v="0"/>
    <n v="14"/>
    <n v="14"/>
  </r>
  <r>
    <x v="302"/>
    <x v="13"/>
    <x v="0"/>
    <x v="0"/>
    <x v="0"/>
    <n v="1"/>
    <x v="0"/>
    <n v="5"/>
    <n v="1"/>
    <x v="18"/>
    <n v="0.1212"/>
    <n v="0.54"/>
    <n v="0.16420000000000001"/>
    <n v="0"/>
    <n v="5"/>
    <n v="5"/>
  </r>
  <r>
    <x v="303"/>
    <x v="13"/>
    <x v="0"/>
    <x v="0"/>
    <x v="0"/>
    <n v="2"/>
    <x v="0"/>
    <n v="5"/>
    <n v="1"/>
    <x v="18"/>
    <n v="0.1212"/>
    <n v="0.54"/>
    <n v="0.1343"/>
    <n v="0"/>
    <n v="1"/>
    <n v="1"/>
  </r>
  <r>
    <x v="304"/>
    <x v="13"/>
    <x v="0"/>
    <x v="0"/>
    <x v="0"/>
    <n v="3"/>
    <x v="0"/>
    <n v="5"/>
    <n v="1"/>
    <x v="18"/>
    <n v="0.13639999999999999"/>
    <n v="0.54"/>
    <n v="0.1045"/>
    <n v="0"/>
    <n v="1"/>
    <n v="1"/>
  </r>
  <r>
    <x v="305"/>
    <x v="13"/>
    <x v="0"/>
    <x v="0"/>
    <x v="0"/>
    <n v="5"/>
    <x v="0"/>
    <n v="5"/>
    <n v="1"/>
    <x v="18"/>
    <n v="0.13639999999999999"/>
    <n v="0.54"/>
    <n v="8.9599999999999999E-2"/>
    <n v="0"/>
    <n v="8"/>
    <n v="8"/>
  </r>
  <r>
    <x v="306"/>
    <x v="13"/>
    <x v="0"/>
    <x v="0"/>
    <x v="0"/>
    <n v="6"/>
    <x v="0"/>
    <n v="5"/>
    <n v="1"/>
    <x v="18"/>
    <n v="0.18179999999999999"/>
    <n v="0.54"/>
    <n v="0"/>
    <n v="0"/>
    <n v="17"/>
    <n v="17"/>
  </r>
  <r>
    <x v="307"/>
    <x v="13"/>
    <x v="0"/>
    <x v="0"/>
    <x v="0"/>
    <n v="7"/>
    <x v="0"/>
    <n v="5"/>
    <n v="1"/>
    <x v="18"/>
    <n v="0.1212"/>
    <n v="0.74"/>
    <n v="0.16420000000000001"/>
    <n v="0"/>
    <n v="70"/>
    <n v="70"/>
  </r>
  <r>
    <x v="308"/>
    <x v="13"/>
    <x v="0"/>
    <x v="0"/>
    <x v="0"/>
    <n v="8"/>
    <x v="0"/>
    <n v="5"/>
    <n v="1"/>
    <x v="16"/>
    <n v="0.16669999999999999"/>
    <n v="0.68"/>
    <n v="0"/>
    <n v="2"/>
    <n v="156"/>
    <n v="158"/>
  </r>
  <r>
    <x v="309"/>
    <x v="13"/>
    <x v="0"/>
    <x v="0"/>
    <x v="0"/>
    <n v="9"/>
    <x v="0"/>
    <n v="5"/>
    <n v="1"/>
    <x v="14"/>
    <n v="0.1515"/>
    <n v="0.69"/>
    <n v="0.1343"/>
    <n v="0"/>
    <n v="117"/>
    <n v="117"/>
  </r>
  <r>
    <x v="310"/>
    <x v="13"/>
    <x v="0"/>
    <x v="0"/>
    <x v="0"/>
    <n v="10"/>
    <x v="0"/>
    <n v="5"/>
    <n v="1"/>
    <x v="15"/>
    <n v="0.18179999999999999"/>
    <n v="0.55000000000000004"/>
    <n v="0.19400000000000001"/>
    <n v="4"/>
    <n v="40"/>
    <n v="44"/>
  </r>
  <r>
    <x v="311"/>
    <x v="13"/>
    <x v="0"/>
    <x v="0"/>
    <x v="0"/>
    <n v="11"/>
    <x v="0"/>
    <n v="5"/>
    <n v="1"/>
    <x v="15"/>
    <n v="0.16669999999999999"/>
    <n v="0.51"/>
    <n v="0.28360000000000002"/>
    <n v="6"/>
    <n v="47"/>
    <n v="53"/>
  </r>
  <r>
    <x v="312"/>
    <x v="13"/>
    <x v="0"/>
    <x v="0"/>
    <x v="0"/>
    <n v="12"/>
    <x v="0"/>
    <n v="5"/>
    <n v="1"/>
    <x v="2"/>
    <n v="0.19700000000000001"/>
    <n v="0.44"/>
    <n v="0.25369999999999998"/>
    <n v="2"/>
    <n v="59"/>
    <n v="61"/>
  </r>
  <r>
    <x v="313"/>
    <x v="13"/>
    <x v="0"/>
    <x v="0"/>
    <x v="0"/>
    <n v="13"/>
    <x v="0"/>
    <n v="5"/>
    <n v="1"/>
    <x v="1"/>
    <n v="0.19700000000000001"/>
    <n v="0.37"/>
    <n v="0.3881"/>
    <n v="4"/>
    <n v="73"/>
    <n v="77"/>
  </r>
  <r>
    <x v="314"/>
    <x v="13"/>
    <x v="0"/>
    <x v="0"/>
    <x v="0"/>
    <n v="14"/>
    <x v="0"/>
    <n v="5"/>
    <n v="1"/>
    <x v="1"/>
    <n v="0.21210000000000001"/>
    <n v="0.41"/>
    <n v="0.28360000000000002"/>
    <n v="5"/>
    <n v="59"/>
    <n v="64"/>
  </r>
  <r>
    <x v="315"/>
    <x v="13"/>
    <x v="0"/>
    <x v="0"/>
    <x v="0"/>
    <n v="15"/>
    <x v="0"/>
    <n v="5"/>
    <n v="1"/>
    <x v="0"/>
    <n v="0.2424"/>
    <n v="0.38"/>
    <n v="0.16420000000000001"/>
    <n v="9"/>
    <n v="59"/>
    <n v="68"/>
  </r>
  <r>
    <x v="316"/>
    <x v="13"/>
    <x v="0"/>
    <x v="0"/>
    <x v="0"/>
    <n v="16"/>
    <x v="0"/>
    <n v="5"/>
    <n v="1"/>
    <x v="1"/>
    <n v="0.2424"/>
    <n v="0.41"/>
    <n v="0.1045"/>
    <n v="3"/>
    <n v="87"/>
    <n v="90"/>
  </r>
  <r>
    <x v="317"/>
    <x v="13"/>
    <x v="0"/>
    <x v="0"/>
    <x v="0"/>
    <n v="17"/>
    <x v="0"/>
    <n v="5"/>
    <n v="1"/>
    <x v="1"/>
    <n v="0.2273"/>
    <n v="0.41"/>
    <n v="0.16420000000000001"/>
    <n v="4"/>
    <n v="155"/>
    <n v="159"/>
  </r>
  <r>
    <x v="318"/>
    <x v="13"/>
    <x v="0"/>
    <x v="0"/>
    <x v="0"/>
    <n v="18"/>
    <x v="0"/>
    <n v="5"/>
    <n v="1"/>
    <x v="2"/>
    <n v="0.2576"/>
    <n v="0.47"/>
    <n v="0"/>
    <n v="5"/>
    <n v="134"/>
    <n v="139"/>
  </r>
  <r>
    <x v="319"/>
    <x v="13"/>
    <x v="0"/>
    <x v="0"/>
    <x v="0"/>
    <n v="19"/>
    <x v="0"/>
    <n v="5"/>
    <n v="1"/>
    <x v="13"/>
    <n v="0.19700000000000001"/>
    <n v="0.59"/>
    <n v="8.9599999999999999E-2"/>
    <n v="3"/>
    <n v="89"/>
    <n v="92"/>
  </r>
  <r>
    <x v="320"/>
    <x v="13"/>
    <x v="0"/>
    <x v="0"/>
    <x v="0"/>
    <n v="20"/>
    <x v="0"/>
    <n v="5"/>
    <n v="1"/>
    <x v="15"/>
    <n v="0.2424"/>
    <n v="0.59"/>
    <n v="0"/>
    <n v="0"/>
    <n v="68"/>
    <n v="68"/>
  </r>
  <r>
    <x v="321"/>
    <x v="13"/>
    <x v="0"/>
    <x v="0"/>
    <x v="0"/>
    <n v="21"/>
    <x v="0"/>
    <n v="5"/>
    <n v="1"/>
    <x v="13"/>
    <n v="0.2273"/>
    <n v="0.69"/>
    <n v="0"/>
    <n v="4"/>
    <n v="48"/>
    <n v="52"/>
  </r>
  <r>
    <x v="322"/>
    <x v="13"/>
    <x v="0"/>
    <x v="0"/>
    <x v="0"/>
    <n v="22"/>
    <x v="0"/>
    <n v="5"/>
    <n v="2"/>
    <x v="13"/>
    <n v="0.2273"/>
    <n v="0.69"/>
    <n v="0"/>
    <n v="2"/>
    <n v="34"/>
    <n v="36"/>
  </r>
  <r>
    <x v="323"/>
    <x v="13"/>
    <x v="0"/>
    <x v="0"/>
    <x v="0"/>
    <n v="23"/>
    <x v="0"/>
    <n v="5"/>
    <n v="2"/>
    <x v="15"/>
    <n v="0.2424"/>
    <n v="0.55000000000000004"/>
    <n v="0"/>
    <n v="1"/>
    <n v="26"/>
    <n v="27"/>
  </r>
  <r>
    <x v="324"/>
    <x v="14"/>
    <x v="0"/>
    <x v="0"/>
    <x v="0"/>
    <n v="0"/>
    <x v="0"/>
    <n v="6"/>
    <n v="1"/>
    <x v="15"/>
    <n v="0.2424"/>
    <n v="0.55000000000000004"/>
    <n v="0"/>
    <n v="3"/>
    <n v="25"/>
    <n v="28"/>
  </r>
  <r>
    <x v="325"/>
    <x v="14"/>
    <x v="0"/>
    <x v="0"/>
    <x v="0"/>
    <n v="1"/>
    <x v="0"/>
    <n v="6"/>
    <n v="2"/>
    <x v="13"/>
    <n v="0.19700000000000001"/>
    <n v="0.59"/>
    <n v="8.9599999999999999E-2"/>
    <n v="2"/>
    <n v="18"/>
    <n v="20"/>
  </r>
  <r>
    <x v="326"/>
    <x v="14"/>
    <x v="0"/>
    <x v="0"/>
    <x v="0"/>
    <n v="2"/>
    <x v="0"/>
    <n v="6"/>
    <n v="2"/>
    <x v="13"/>
    <n v="0.19700000000000001"/>
    <n v="0.59"/>
    <n v="8.9599999999999999E-2"/>
    <n v="0"/>
    <n v="12"/>
    <n v="12"/>
  </r>
  <r>
    <x v="327"/>
    <x v="14"/>
    <x v="0"/>
    <x v="0"/>
    <x v="0"/>
    <n v="3"/>
    <x v="0"/>
    <n v="6"/>
    <n v="2"/>
    <x v="13"/>
    <n v="0.2273"/>
    <n v="0.59"/>
    <n v="0"/>
    <n v="1"/>
    <n v="7"/>
    <n v="8"/>
  </r>
  <r>
    <x v="328"/>
    <x v="14"/>
    <x v="0"/>
    <x v="0"/>
    <x v="0"/>
    <n v="4"/>
    <x v="0"/>
    <n v="6"/>
    <n v="2"/>
    <x v="13"/>
    <n v="0.2273"/>
    <n v="0.59"/>
    <n v="0"/>
    <n v="0"/>
    <n v="5"/>
    <n v="5"/>
  </r>
  <r>
    <x v="329"/>
    <x v="14"/>
    <x v="0"/>
    <x v="0"/>
    <x v="0"/>
    <n v="5"/>
    <x v="0"/>
    <n v="6"/>
    <n v="1"/>
    <x v="13"/>
    <n v="0.2273"/>
    <n v="0.59"/>
    <n v="0"/>
    <n v="0"/>
    <n v="1"/>
    <n v="1"/>
  </r>
  <r>
    <x v="330"/>
    <x v="14"/>
    <x v="0"/>
    <x v="0"/>
    <x v="0"/>
    <n v="6"/>
    <x v="0"/>
    <n v="6"/>
    <n v="1"/>
    <x v="14"/>
    <n v="0.16669999999999999"/>
    <n v="0.63"/>
    <n v="0.1045"/>
    <n v="1"/>
    <n v="2"/>
    <n v="3"/>
  </r>
  <r>
    <x v="331"/>
    <x v="14"/>
    <x v="0"/>
    <x v="0"/>
    <x v="0"/>
    <n v="7"/>
    <x v="0"/>
    <n v="6"/>
    <n v="1"/>
    <x v="14"/>
    <n v="0.21210000000000001"/>
    <n v="0.63"/>
    <n v="0"/>
    <n v="1"/>
    <n v="9"/>
    <n v="10"/>
  </r>
  <r>
    <x v="332"/>
    <x v="14"/>
    <x v="0"/>
    <x v="0"/>
    <x v="0"/>
    <n v="8"/>
    <x v="0"/>
    <n v="6"/>
    <n v="1"/>
    <x v="14"/>
    <n v="0.1515"/>
    <n v="0.63"/>
    <n v="0.1343"/>
    <n v="1"/>
    <n v="22"/>
    <n v="23"/>
  </r>
  <r>
    <x v="333"/>
    <x v="14"/>
    <x v="0"/>
    <x v="0"/>
    <x v="0"/>
    <n v="9"/>
    <x v="0"/>
    <n v="6"/>
    <n v="1"/>
    <x v="13"/>
    <n v="0.18179999999999999"/>
    <n v="0.64"/>
    <n v="0.1343"/>
    <n v="2"/>
    <n v="31"/>
    <n v="33"/>
  </r>
  <r>
    <x v="334"/>
    <x v="14"/>
    <x v="0"/>
    <x v="0"/>
    <x v="0"/>
    <n v="10"/>
    <x v="0"/>
    <n v="6"/>
    <n v="1"/>
    <x v="15"/>
    <n v="0.19700000000000001"/>
    <n v="0.59"/>
    <n v="0.16420000000000001"/>
    <n v="2"/>
    <n v="57"/>
    <n v="59"/>
  </r>
  <r>
    <x v="335"/>
    <x v="14"/>
    <x v="0"/>
    <x v="0"/>
    <x v="0"/>
    <n v="11"/>
    <x v="0"/>
    <n v="6"/>
    <n v="1"/>
    <x v="2"/>
    <n v="0.19700000000000001"/>
    <n v="0.55000000000000004"/>
    <n v="0.22389999999999999"/>
    <n v="18"/>
    <n v="54"/>
    <n v="72"/>
  </r>
  <r>
    <x v="336"/>
    <x v="14"/>
    <x v="0"/>
    <x v="0"/>
    <x v="0"/>
    <n v="12"/>
    <x v="0"/>
    <n v="6"/>
    <n v="1"/>
    <x v="0"/>
    <n v="0.2273"/>
    <n v="0.48"/>
    <n v="0.22389999999999999"/>
    <n v="15"/>
    <n v="74"/>
    <n v="89"/>
  </r>
  <r>
    <x v="337"/>
    <x v="14"/>
    <x v="0"/>
    <x v="0"/>
    <x v="0"/>
    <n v="13"/>
    <x v="0"/>
    <n v="6"/>
    <n v="1"/>
    <x v="17"/>
    <n v="0.2576"/>
    <n v="0.38"/>
    <n v="0.29849999999999999"/>
    <n v="21"/>
    <n v="80"/>
    <n v="101"/>
  </r>
  <r>
    <x v="338"/>
    <x v="14"/>
    <x v="0"/>
    <x v="0"/>
    <x v="0"/>
    <n v="14"/>
    <x v="0"/>
    <n v="6"/>
    <n v="1"/>
    <x v="11"/>
    <n v="0.28789999999999999"/>
    <n v="0.39"/>
    <n v="0.28360000000000002"/>
    <n v="26"/>
    <n v="92"/>
    <n v="118"/>
  </r>
  <r>
    <x v="339"/>
    <x v="14"/>
    <x v="0"/>
    <x v="0"/>
    <x v="0"/>
    <n v="15"/>
    <x v="0"/>
    <n v="6"/>
    <n v="2"/>
    <x v="3"/>
    <n v="0.31819999999999998"/>
    <n v="0.36"/>
    <n v="0.19400000000000001"/>
    <n v="21"/>
    <n v="108"/>
    <n v="129"/>
  </r>
  <r>
    <x v="340"/>
    <x v="14"/>
    <x v="0"/>
    <x v="0"/>
    <x v="0"/>
    <n v="16"/>
    <x v="0"/>
    <n v="6"/>
    <n v="2"/>
    <x v="10"/>
    <n v="0.33329999999999999"/>
    <n v="0.34"/>
    <n v="0.19400000000000001"/>
    <n v="33"/>
    <n v="95"/>
    <n v="128"/>
  </r>
  <r>
    <x v="341"/>
    <x v="14"/>
    <x v="0"/>
    <x v="0"/>
    <x v="0"/>
    <n v="17"/>
    <x v="0"/>
    <n v="6"/>
    <n v="2"/>
    <x v="3"/>
    <n v="0.30299999999999999"/>
    <n v="0.36"/>
    <n v="0.28360000000000002"/>
    <n v="29"/>
    <n v="54"/>
    <n v="83"/>
  </r>
  <r>
    <x v="342"/>
    <x v="14"/>
    <x v="0"/>
    <x v="0"/>
    <x v="0"/>
    <n v="18"/>
    <x v="0"/>
    <n v="6"/>
    <n v="2"/>
    <x v="11"/>
    <n v="0.28789999999999999"/>
    <n v="0.45"/>
    <n v="0.25369999999999998"/>
    <n v="15"/>
    <n v="69"/>
    <n v="84"/>
  </r>
  <r>
    <x v="343"/>
    <x v="14"/>
    <x v="0"/>
    <x v="0"/>
    <x v="0"/>
    <n v="19"/>
    <x v="0"/>
    <n v="6"/>
    <n v="2"/>
    <x v="3"/>
    <n v="0.30299999999999999"/>
    <n v="0.39"/>
    <n v="0.25369999999999998"/>
    <n v="14"/>
    <n v="60"/>
    <n v="74"/>
  </r>
  <r>
    <x v="344"/>
    <x v="14"/>
    <x v="0"/>
    <x v="0"/>
    <x v="0"/>
    <n v="20"/>
    <x v="0"/>
    <n v="6"/>
    <n v="2"/>
    <x v="3"/>
    <n v="0.30299999999999999"/>
    <n v="0.39"/>
    <n v="0.25369999999999998"/>
    <n v="6"/>
    <n v="35"/>
    <n v="41"/>
  </r>
  <r>
    <x v="345"/>
    <x v="14"/>
    <x v="0"/>
    <x v="0"/>
    <x v="0"/>
    <n v="21"/>
    <x v="0"/>
    <n v="6"/>
    <n v="2"/>
    <x v="3"/>
    <n v="0.30299999999999999"/>
    <n v="0.39"/>
    <n v="0.22389999999999999"/>
    <n v="6"/>
    <n v="51"/>
    <n v="57"/>
  </r>
  <r>
    <x v="346"/>
    <x v="14"/>
    <x v="0"/>
    <x v="0"/>
    <x v="0"/>
    <n v="22"/>
    <x v="0"/>
    <n v="6"/>
    <n v="2"/>
    <x v="11"/>
    <n v="0.31819999999999998"/>
    <n v="0.42"/>
    <n v="0.1045"/>
    <n v="0"/>
    <n v="26"/>
    <n v="26"/>
  </r>
  <r>
    <x v="347"/>
    <x v="14"/>
    <x v="0"/>
    <x v="0"/>
    <x v="0"/>
    <n v="23"/>
    <x v="0"/>
    <n v="6"/>
    <n v="1"/>
    <x v="11"/>
    <n v="0.28789999999999999"/>
    <n v="0.45"/>
    <n v="0.28360000000000002"/>
    <n v="5"/>
    <n v="39"/>
    <n v="44"/>
  </r>
  <r>
    <x v="348"/>
    <x v="15"/>
    <x v="0"/>
    <x v="0"/>
    <x v="0"/>
    <n v="0"/>
    <x v="0"/>
    <n v="0"/>
    <n v="1"/>
    <x v="12"/>
    <n v="0.30299999999999999"/>
    <n v="0.56000000000000005"/>
    <n v="0"/>
    <n v="6"/>
    <n v="33"/>
    <n v="39"/>
  </r>
  <r>
    <x v="349"/>
    <x v="15"/>
    <x v="0"/>
    <x v="0"/>
    <x v="0"/>
    <n v="1"/>
    <x v="0"/>
    <n v="0"/>
    <n v="1"/>
    <x v="12"/>
    <n v="0.2727"/>
    <n v="0.56000000000000005"/>
    <n v="0.1343"/>
    <n v="4"/>
    <n v="19"/>
    <n v="23"/>
  </r>
  <r>
    <x v="350"/>
    <x v="15"/>
    <x v="0"/>
    <x v="0"/>
    <x v="0"/>
    <n v="2"/>
    <x v="0"/>
    <n v="0"/>
    <n v="1"/>
    <x v="12"/>
    <n v="0.28789999999999999"/>
    <n v="0.56000000000000005"/>
    <n v="8.9599999999999999E-2"/>
    <n v="3"/>
    <n v="13"/>
    <n v="16"/>
  </r>
  <r>
    <x v="351"/>
    <x v="15"/>
    <x v="0"/>
    <x v="0"/>
    <x v="0"/>
    <n v="3"/>
    <x v="0"/>
    <n v="0"/>
    <n v="1"/>
    <x v="1"/>
    <n v="0.2727"/>
    <n v="0.69"/>
    <n v="0"/>
    <n v="9"/>
    <n v="6"/>
    <n v="15"/>
  </r>
  <r>
    <x v="352"/>
    <x v="15"/>
    <x v="0"/>
    <x v="0"/>
    <x v="0"/>
    <n v="4"/>
    <x v="0"/>
    <n v="0"/>
    <n v="1"/>
    <x v="12"/>
    <n v="0.2576"/>
    <n v="0.56000000000000005"/>
    <n v="0.16420000000000001"/>
    <n v="0"/>
    <n v="1"/>
    <n v="1"/>
  </r>
  <r>
    <x v="353"/>
    <x v="15"/>
    <x v="0"/>
    <x v="0"/>
    <x v="0"/>
    <n v="5"/>
    <x v="0"/>
    <n v="0"/>
    <n v="2"/>
    <x v="12"/>
    <n v="0.2576"/>
    <n v="0.56000000000000005"/>
    <n v="0.16420000000000001"/>
    <n v="1"/>
    <n v="1"/>
    <n v="2"/>
  </r>
  <r>
    <x v="354"/>
    <x v="15"/>
    <x v="0"/>
    <x v="0"/>
    <x v="0"/>
    <n v="6"/>
    <x v="0"/>
    <n v="0"/>
    <n v="2"/>
    <x v="12"/>
    <n v="0.2576"/>
    <n v="0.56000000000000005"/>
    <n v="0.16420000000000001"/>
    <n v="0"/>
    <n v="1"/>
    <n v="1"/>
  </r>
  <r>
    <x v="355"/>
    <x v="15"/>
    <x v="0"/>
    <x v="0"/>
    <x v="0"/>
    <n v="7"/>
    <x v="0"/>
    <n v="0"/>
    <n v="2"/>
    <x v="0"/>
    <n v="0.21210000000000001"/>
    <n v="0.56000000000000005"/>
    <n v="0.29849999999999999"/>
    <n v="0"/>
    <n v="3"/>
    <n v="3"/>
  </r>
  <r>
    <x v="356"/>
    <x v="15"/>
    <x v="0"/>
    <x v="0"/>
    <x v="0"/>
    <n v="8"/>
    <x v="0"/>
    <n v="0"/>
    <n v="1"/>
    <x v="1"/>
    <n v="0.21210000000000001"/>
    <n v="0.55000000000000004"/>
    <n v="0.28360000000000002"/>
    <n v="0"/>
    <n v="18"/>
    <n v="18"/>
  </r>
  <r>
    <x v="357"/>
    <x v="15"/>
    <x v="0"/>
    <x v="0"/>
    <x v="0"/>
    <n v="9"/>
    <x v="0"/>
    <n v="0"/>
    <n v="1"/>
    <x v="1"/>
    <n v="0.21210000000000001"/>
    <n v="0.51"/>
    <n v="0.25369999999999998"/>
    <n v="3"/>
    <n v="29"/>
    <n v="32"/>
  </r>
  <r>
    <x v="358"/>
    <x v="15"/>
    <x v="0"/>
    <x v="0"/>
    <x v="0"/>
    <n v="10"/>
    <x v="0"/>
    <n v="0"/>
    <n v="1"/>
    <x v="1"/>
    <n v="0.21210000000000001"/>
    <n v="0.51"/>
    <n v="0.28360000000000002"/>
    <n v="8"/>
    <n v="71"/>
    <n v="79"/>
  </r>
  <r>
    <x v="359"/>
    <x v="15"/>
    <x v="0"/>
    <x v="0"/>
    <x v="0"/>
    <n v="11"/>
    <x v="0"/>
    <n v="0"/>
    <n v="1"/>
    <x v="0"/>
    <n v="0.2273"/>
    <n v="0.44"/>
    <n v="0.25369999999999998"/>
    <n v="23"/>
    <n v="70"/>
    <n v="93"/>
  </r>
  <r>
    <x v="360"/>
    <x v="15"/>
    <x v="0"/>
    <x v="0"/>
    <x v="0"/>
    <n v="12"/>
    <x v="0"/>
    <n v="0"/>
    <n v="1"/>
    <x v="0"/>
    <n v="0.21210000000000001"/>
    <n v="0.41"/>
    <n v="0.28360000000000002"/>
    <n v="29"/>
    <n v="75"/>
    <n v="104"/>
  </r>
  <r>
    <x v="361"/>
    <x v="15"/>
    <x v="0"/>
    <x v="0"/>
    <x v="0"/>
    <n v="13"/>
    <x v="0"/>
    <n v="0"/>
    <n v="1"/>
    <x v="12"/>
    <n v="0.2273"/>
    <n v="0.35"/>
    <n v="0.29849999999999999"/>
    <n v="23"/>
    <n v="95"/>
    <n v="118"/>
  </r>
  <r>
    <x v="362"/>
    <x v="15"/>
    <x v="0"/>
    <x v="0"/>
    <x v="0"/>
    <n v="14"/>
    <x v="0"/>
    <n v="0"/>
    <n v="1"/>
    <x v="17"/>
    <n v="0.2727"/>
    <n v="0.36"/>
    <n v="0.25369999999999998"/>
    <n v="22"/>
    <n v="69"/>
    <n v="91"/>
  </r>
  <r>
    <x v="363"/>
    <x v="15"/>
    <x v="0"/>
    <x v="0"/>
    <x v="0"/>
    <n v="15"/>
    <x v="0"/>
    <n v="0"/>
    <n v="1"/>
    <x v="12"/>
    <n v="0.2424"/>
    <n v="0.38"/>
    <n v="0.25369999999999998"/>
    <n v="35"/>
    <n v="78"/>
    <n v="113"/>
  </r>
  <r>
    <x v="364"/>
    <x v="15"/>
    <x v="0"/>
    <x v="0"/>
    <x v="0"/>
    <n v="16"/>
    <x v="0"/>
    <n v="0"/>
    <n v="1"/>
    <x v="0"/>
    <n v="0.2273"/>
    <n v="0.38"/>
    <n v="0.22389999999999999"/>
    <n v="22"/>
    <n v="77"/>
    <n v="99"/>
  </r>
  <r>
    <x v="365"/>
    <x v="15"/>
    <x v="0"/>
    <x v="0"/>
    <x v="0"/>
    <n v="17"/>
    <x v="0"/>
    <n v="0"/>
    <n v="1"/>
    <x v="1"/>
    <n v="0.21210000000000001"/>
    <n v="0.37"/>
    <n v="0.25369999999999998"/>
    <n v="23"/>
    <n v="82"/>
    <n v="105"/>
  </r>
  <r>
    <x v="366"/>
    <x v="15"/>
    <x v="0"/>
    <x v="0"/>
    <x v="0"/>
    <n v="18"/>
    <x v="0"/>
    <n v="0"/>
    <n v="1"/>
    <x v="2"/>
    <n v="0.21210000000000001"/>
    <n v="0.4"/>
    <n v="0.16420000000000001"/>
    <n v="11"/>
    <n v="56"/>
    <n v="67"/>
  </r>
  <r>
    <x v="367"/>
    <x v="15"/>
    <x v="0"/>
    <x v="0"/>
    <x v="0"/>
    <n v="19"/>
    <x v="0"/>
    <n v="0"/>
    <n v="1"/>
    <x v="15"/>
    <n v="0.19700000000000001"/>
    <n v="0.47"/>
    <n v="0.1343"/>
    <n v="14"/>
    <n v="47"/>
    <n v="61"/>
  </r>
  <r>
    <x v="368"/>
    <x v="15"/>
    <x v="0"/>
    <x v="0"/>
    <x v="0"/>
    <n v="20"/>
    <x v="0"/>
    <n v="0"/>
    <n v="1"/>
    <x v="15"/>
    <n v="0.19700000000000001"/>
    <n v="0.47"/>
    <n v="0.16420000000000001"/>
    <n v="7"/>
    <n v="50"/>
    <n v="57"/>
  </r>
  <r>
    <x v="369"/>
    <x v="15"/>
    <x v="0"/>
    <x v="0"/>
    <x v="0"/>
    <n v="21"/>
    <x v="0"/>
    <n v="0"/>
    <n v="1"/>
    <x v="15"/>
    <n v="0.19700000000000001"/>
    <n v="0.51"/>
    <n v="0.16420000000000001"/>
    <n v="6"/>
    <n v="22"/>
    <n v="28"/>
  </r>
  <r>
    <x v="370"/>
    <x v="15"/>
    <x v="0"/>
    <x v="0"/>
    <x v="0"/>
    <n v="22"/>
    <x v="0"/>
    <n v="0"/>
    <n v="2"/>
    <x v="2"/>
    <n v="0.21210000000000001"/>
    <n v="0.49"/>
    <n v="0.1343"/>
    <n v="2"/>
    <n v="19"/>
    <n v="21"/>
  </r>
  <r>
    <x v="371"/>
    <x v="15"/>
    <x v="0"/>
    <x v="0"/>
    <x v="0"/>
    <n v="23"/>
    <x v="0"/>
    <n v="0"/>
    <n v="2"/>
    <x v="2"/>
    <n v="0.2273"/>
    <n v="0.4"/>
    <n v="0.1045"/>
    <n v="0"/>
    <n v="18"/>
    <n v="18"/>
  </r>
  <r>
    <x v="372"/>
    <x v="16"/>
    <x v="0"/>
    <x v="0"/>
    <x v="0"/>
    <n v="0"/>
    <x v="1"/>
    <n v="1"/>
    <n v="2"/>
    <x v="2"/>
    <n v="0.19700000000000001"/>
    <n v="0.47"/>
    <n v="0.22389999999999999"/>
    <n v="1"/>
    <n v="16"/>
    <n v="17"/>
  </r>
  <r>
    <x v="373"/>
    <x v="16"/>
    <x v="0"/>
    <x v="0"/>
    <x v="0"/>
    <n v="1"/>
    <x v="1"/>
    <n v="1"/>
    <n v="2"/>
    <x v="2"/>
    <n v="0.19700000000000001"/>
    <n v="0.44"/>
    <n v="0.19400000000000001"/>
    <n v="1"/>
    <n v="15"/>
    <n v="16"/>
  </r>
  <r>
    <x v="374"/>
    <x v="16"/>
    <x v="0"/>
    <x v="0"/>
    <x v="0"/>
    <n v="2"/>
    <x v="1"/>
    <n v="1"/>
    <n v="2"/>
    <x v="15"/>
    <n v="0.16669999999999999"/>
    <n v="0.43"/>
    <n v="0.25369999999999998"/>
    <n v="0"/>
    <n v="8"/>
    <n v="8"/>
  </r>
  <r>
    <x v="375"/>
    <x v="16"/>
    <x v="0"/>
    <x v="0"/>
    <x v="0"/>
    <n v="3"/>
    <x v="1"/>
    <n v="1"/>
    <n v="2"/>
    <x v="15"/>
    <n v="0.18179999999999999"/>
    <n v="0.43"/>
    <n v="0.19400000000000001"/>
    <n v="0"/>
    <n v="2"/>
    <n v="2"/>
  </r>
  <r>
    <x v="376"/>
    <x v="16"/>
    <x v="0"/>
    <x v="0"/>
    <x v="0"/>
    <n v="4"/>
    <x v="1"/>
    <n v="1"/>
    <n v="2"/>
    <x v="15"/>
    <n v="0.19700000000000001"/>
    <n v="0.43"/>
    <n v="0.1343"/>
    <n v="1"/>
    <n v="2"/>
    <n v="3"/>
  </r>
  <r>
    <x v="377"/>
    <x v="16"/>
    <x v="0"/>
    <x v="0"/>
    <x v="0"/>
    <n v="5"/>
    <x v="1"/>
    <n v="1"/>
    <n v="2"/>
    <x v="15"/>
    <n v="0.19700000000000001"/>
    <n v="0.43"/>
    <n v="0.16420000000000001"/>
    <n v="0"/>
    <n v="1"/>
    <n v="1"/>
  </r>
  <r>
    <x v="378"/>
    <x v="16"/>
    <x v="0"/>
    <x v="0"/>
    <x v="0"/>
    <n v="6"/>
    <x v="1"/>
    <n v="1"/>
    <n v="2"/>
    <x v="15"/>
    <n v="0.18179999999999999"/>
    <n v="0.43"/>
    <n v="0.19400000000000001"/>
    <n v="0"/>
    <n v="5"/>
    <n v="5"/>
  </r>
  <r>
    <x v="379"/>
    <x v="16"/>
    <x v="0"/>
    <x v="0"/>
    <x v="0"/>
    <n v="7"/>
    <x v="1"/>
    <n v="1"/>
    <n v="2"/>
    <x v="13"/>
    <n v="0.18179999999999999"/>
    <n v="0.5"/>
    <n v="0.1343"/>
    <n v="4"/>
    <n v="9"/>
    <n v="13"/>
  </r>
  <r>
    <x v="380"/>
    <x v="16"/>
    <x v="0"/>
    <x v="0"/>
    <x v="0"/>
    <n v="8"/>
    <x v="1"/>
    <n v="1"/>
    <n v="2"/>
    <x v="13"/>
    <n v="0.1515"/>
    <n v="0.47"/>
    <n v="0.22389999999999999"/>
    <n v="3"/>
    <n v="30"/>
    <n v="33"/>
  </r>
  <r>
    <x v="381"/>
    <x v="16"/>
    <x v="0"/>
    <x v="0"/>
    <x v="0"/>
    <n v="9"/>
    <x v="1"/>
    <n v="1"/>
    <n v="2"/>
    <x v="13"/>
    <n v="0.1515"/>
    <n v="0.47"/>
    <n v="0.22389999999999999"/>
    <n v="8"/>
    <n v="39"/>
    <n v="47"/>
  </r>
  <r>
    <x v="382"/>
    <x v="16"/>
    <x v="0"/>
    <x v="0"/>
    <x v="0"/>
    <n v="10"/>
    <x v="1"/>
    <n v="1"/>
    <n v="2"/>
    <x v="13"/>
    <n v="0.1515"/>
    <n v="0.5"/>
    <n v="0.25369999999999998"/>
    <n v="7"/>
    <n v="50"/>
    <n v="57"/>
  </r>
  <r>
    <x v="383"/>
    <x v="16"/>
    <x v="0"/>
    <x v="0"/>
    <x v="0"/>
    <n v="11"/>
    <x v="1"/>
    <n v="1"/>
    <n v="2"/>
    <x v="13"/>
    <n v="0.1515"/>
    <n v="0.55000000000000004"/>
    <n v="0.19400000000000001"/>
    <n v="9"/>
    <n v="55"/>
    <n v="64"/>
  </r>
  <r>
    <x v="384"/>
    <x v="16"/>
    <x v="0"/>
    <x v="0"/>
    <x v="0"/>
    <n v="12"/>
    <x v="1"/>
    <n v="1"/>
    <n v="2"/>
    <x v="15"/>
    <n v="0.19700000000000001"/>
    <n v="0.47"/>
    <n v="0.1343"/>
    <n v="10"/>
    <n v="70"/>
    <n v="80"/>
  </r>
  <r>
    <x v="385"/>
    <x v="16"/>
    <x v="0"/>
    <x v="0"/>
    <x v="0"/>
    <n v="13"/>
    <x v="1"/>
    <n v="1"/>
    <n v="2"/>
    <x v="15"/>
    <n v="0.19700000000000001"/>
    <n v="0.47"/>
    <n v="0.1343"/>
    <n v="13"/>
    <n v="80"/>
    <n v="93"/>
  </r>
  <r>
    <x v="386"/>
    <x v="16"/>
    <x v="0"/>
    <x v="0"/>
    <x v="0"/>
    <n v="14"/>
    <x v="1"/>
    <n v="1"/>
    <n v="2"/>
    <x v="15"/>
    <n v="0.21210000000000001"/>
    <n v="0.43"/>
    <n v="0.1045"/>
    <n v="12"/>
    <n v="74"/>
    <n v="86"/>
  </r>
  <r>
    <x v="387"/>
    <x v="16"/>
    <x v="0"/>
    <x v="0"/>
    <x v="0"/>
    <n v="15"/>
    <x v="1"/>
    <n v="1"/>
    <n v="2"/>
    <x v="2"/>
    <n v="0.21210000000000001"/>
    <n v="0.47"/>
    <n v="0.16420000000000001"/>
    <n v="21"/>
    <n v="72"/>
    <n v="93"/>
  </r>
  <r>
    <x v="388"/>
    <x v="16"/>
    <x v="0"/>
    <x v="0"/>
    <x v="0"/>
    <n v="16"/>
    <x v="1"/>
    <n v="1"/>
    <n v="2"/>
    <x v="2"/>
    <n v="0.21210000000000001"/>
    <n v="0.47"/>
    <n v="0.16420000000000001"/>
    <n v="6"/>
    <n v="76"/>
    <n v="82"/>
  </r>
  <r>
    <x v="389"/>
    <x v="16"/>
    <x v="0"/>
    <x v="0"/>
    <x v="0"/>
    <n v="17"/>
    <x v="1"/>
    <n v="1"/>
    <n v="1"/>
    <x v="2"/>
    <n v="0.19700000000000001"/>
    <n v="0.51"/>
    <n v="0.19400000000000001"/>
    <n v="4"/>
    <n v="67"/>
    <n v="71"/>
  </r>
  <r>
    <x v="390"/>
    <x v="16"/>
    <x v="0"/>
    <x v="0"/>
    <x v="0"/>
    <n v="18"/>
    <x v="1"/>
    <n v="1"/>
    <n v="2"/>
    <x v="15"/>
    <n v="0.16669999999999999"/>
    <n v="0.55000000000000004"/>
    <n v="0.25369999999999998"/>
    <n v="7"/>
    <n v="85"/>
    <n v="92"/>
  </r>
  <r>
    <x v="391"/>
    <x v="16"/>
    <x v="0"/>
    <x v="0"/>
    <x v="0"/>
    <n v="19"/>
    <x v="1"/>
    <n v="1"/>
    <n v="3"/>
    <x v="15"/>
    <n v="0.18179999999999999"/>
    <n v="0.59"/>
    <n v="0.19400000000000001"/>
    <n v="2"/>
    <n v="58"/>
    <n v="60"/>
  </r>
  <r>
    <x v="392"/>
    <x v="16"/>
    <x v="0"/>
    <x v="0"/>
    <x v="0"/>
    <n v="20"/>
    <x v="1"/>
    <n v="1"/>
    <n v="3"/>
    <x v="13"/>
    <n v="0.1515"/>
    <n v="0.8"/>
    <n v="0.19400000000000001"/>
    <n v="4"/>
    <n v="29"/>
    <n v="33"/>
  </r>
  <r>
    <x v="393"/>
    <x v="16"/>
    <x v="0"/>
    <x v="0"/>
    <x v="0"/>
    <n v="21"/>
    <x v="1"/>
    <n v="1"/>
    <n v="3"/>
    <x v="13"/>
    <n v="0.1515"/>
    <n v="0.8"/>
    <n v="0.19400000000000001"/>
    <n v="3"/>
    <n v="24"/>
    <n v="27"/>
  </r>
  <r>
    <x v="394"/>
    <x v="16"/>
    <x v="0"/>
    <x v="0"/>
    <x v="0"/>
    <n v="22"/>
    <x v="1"/>
    <n v="1"/>
    <n v="3"/>
    <x v="14"/>
    <n v="0.1212"/>
    <n v="0.93"/>
    <n v="0.25369999999999998"/>
    <n v="0"/>
    <n v="13"/>
    <n v="13"/>
  </r>
  <r>
    <x v="395"/>
    <x v="16"/>
    <x v="0"/>
    <x v="0"/>
    <x v="0"/>
    <n v="23"/>
    <x v="1"/>
    <n v="1"/>
    <n v="3"/>
    <x v="13"/>
    <n v="0.13639999999999999"/>
    <n v="0.86"/>
    <n v="0.28360000000000002"/>
    <n v="1"/>
    <n v="3"/>
    <n v="4"/>
  </r>
  <r>
    <x v="396"/>
    <x v="17"/>
    <x v="0"/>
    <x v="0"/>
    <x v="0"/>
    <n v="12"/>
    <x v="0"/>
    <n v="2"/>
    <n v="2"/>
    <x v="2"/>
    <n v="0.18179999999999999"/>
    <n v="0.86"/>
    <n v="0.32840000000000003"/>
    <n v="0"/>
    <n v="3"/>
    <n v="3"/>
  </r>
  <r>
    <x v="397"/>
    <x v="17"/>
    <x v="0"/>
    <x v="0"/>
    <x v="0"/>
    <n v="13"/>
    <x v="0"/>
    <n v="2"/>
    <n v="2"/>
    <x v="2"/>
    <n v="0.19700000000000001"/>
    <n v="0.86"/>
    <n v="0.22389999999999999"/>
    <n v="0"/>
    <n v="22"/>
    <n v="22"/>
  </r>
  <r>
    <x v="398"/>
    <x v="17"/>
    <x v="0"/>
    <x v="0"/>
    <x v="0"/>
    <n v="14"/>
    <x v="0"/>
    <n v="2"/>
    <n v="2"/>
    <x v="1"/>
    <n v="0.2273"/>
    <n v="0.8"/>
    <n v="0.16420000000000001"/>
    <n v="2"/>
    <n v="26"/>
    <n v="28"/>
  </r>
  <r>
    <x v="399"/>
    <x v="17"/>
    <x v="0"/>
    <x v="0"/>
    <x v="0"/>
    <n v="15"/>
    <x v="0"/>
    <n v="2"/>
    <n v="2"/>
    <x v="1"/>
    <n v="0.2273"/>
    <n v="0.87"/>
    <n v="0.16420000000000001"/>
    <n v="3"/>
    <n v="32"/>
    <n v="35"/>
  </r>
  <r>
    <x v="400"/>
    <x v="17"/>
    <x v="0"/>
    <x v="0"/>
    <x v="0"/>
    <n v="16"/>
    <x v="0"/>
    <n v="2"/>
    <n v="2"/>
    <x v="1"/>
    <n v="0.2273"/>
    <n v="0.87"/>
    <n v="0.19400000000000001"/>
    <n v="0"/>
    <n v="61"/>
    <n v="61"/>
  </r>
  <r>
    <x v="401"/>
    <x v="17"/>
    <x v="0"/>
    <x v="0"/>
    <x v="0"/>
    <n v="17"/>
    <x v="0"/>
    <n v="2"/>
    <n v="2"/>
    <x v="1"/>
    <n v="0.2273"/>
    <n v="0.82"/>
    <n v="0.19400000000000001"/>
    <n v="1"/>
    <n v="124"/>
    <n v="125"/>
  </r>
  <r>
    <x v="402"/>
    <x v="17"/>
    <x v="0"/>
    <x v="0"/>
    <x v="0"/>
    <n v="18"/>
    <x v="0"/>
    <n v="2"/>
    <n v="2"/>
    <x v="1"/>
    <n v="0.2273"/>
    <n v="0.8"/>
    <n v="0.16420000000000001"/>
    <n v="1"/>
    <n v="132"/>
    <n v="133"/>
  </r>
  <r>
    <x v="403"/>
    <x v="17"/>
    <x v="0"/>
    <x v="0"/>
    <x v="0"/>
    <n v="19"/>
    <x v="0"/>
    <n v="2"/>
    <n v="2"/>
    <x v="1"/>
    <n v="0.2273"/>
    <n v="0.8"/>
    <n v="0.1343"/>
    <n v="1"/>
    <n v="98"/>
    <n v="99"/>
  </r>
  <r>
    <x v="404"/>
    <x v="17"/>
    <x v="0"/>
    <x v="0"/>
    <x v="0"/>
    <n v="20"/>
    <x v="0"/>
    <n v="2"/>
    <n v="2"/>
    <x v="1"/>
    <n v="0.2727"/>
    <n v="0.87"/>
    <n v="0"/>
    <n v="0"/>
    <n v="83"/>
    <n v="83"/>
  </r>
  <r>
    <x v="405"/>
    <x v="17"/>
    <x v="0"/>
    <x v="0"/>
    <x v="0"/>
    <n v="21"/>
    <x v="0"/>
    <n v="2"/>
    <n v="2"/>
    <x v="1"/>
    <n v="0.2424"/>
    <n v="0.93"/>
    <n v="0.1045"/>
    <n v="0"/>
    <n v="41"/>
    <n v="41"/>
  </r>
  <r>
    <x v="406"/>
    <x v="17"/>
    <x v="0"/>
    <x v="0"/>
    <x v="0"/>
    <n v="22"/>
    <x v="0"/>
    <n v="2"/>
    <n v="2"/>
    <x v="1"/>
    <n v="0.2576"/>
    <n v="0.93"/>
    <n v="8.9599999999999999E-2"/>
    <n v="0"/>
    <n v="33"/>
    <n v="33"/>
  </r>
  <r>
    <x v="407"/>
    <x v="17"/>
    <x v="0"/>
    <x v="0"/>
    <x v="0"/>
    <n v="23"/>
    <x v="0"/>
    <n v="2"/>
    <n v="2"/>
    <x v="1"/>
    <n v="0.2727"/>
    <n v="0.93"/>
    <n v="0"/>
    <n v="1"/>
    <n v="19"/>
    <n v="20"/>
  </r>
  <r>
    <x v="408"/>
    <x v="18"/>
    <x v="0"/>
    <x v="0"/>
    <x v="0"/>
    <n v="0"/>
    <x v="0"/>
    <n v="3"/>
    <n v="2"/>
    <x v="1"/>
    <n v="0.2727"/>
    <n v="0.93"/>
    <n v="0"/>
    <n v="0"/>
    <n v="3"/>
    <n v="3"/>
  </r>
  <r>
    <x v="409"/>
    <x v="18"/>
    <x v="0"/>
    <x v="0"/>
    <x v="0"/>
    <n v="1"/>
    <x v="0"/>
    <n v="3"/>
    <n v="3"/>
    <x v="1"/>
    <n v="0.2273"/>
    <n v="0.93"/>
    <n v="0.1343"/>
    <n v="1"/>
    <n v="6"/>
    <n v="7"/>
  </r>
  <r>
    <x v="410"/>
    <x v="18"/>
    <x v="0"/>
    <x v="0"/>
    <x v="0"/>
    <n v="2"/>
    <x v="0"/>
    <n v="3"/>
    <n v="3"/>
    <x v="1"/>
    <n v="0.2273"/>
    <n v="0.93"/>
    <n v="0.1343"/>
    <n v="0"/>
    <n v="3"/>
    <n v="3"/>
  </r>
  <r>
    <x v="411"/>
    <x v="18"/>
    <x v="0"/>
    <x v="0"/>
    <x v="0"/>
    <n v="4"/>
    <x v="0"/>
    <n v="3"/>
    <n v="3"/>
    <x v="1"/>
    <n v="0.2273"/>
    <n v="0.93"/>
    <n v="0.1343"/>
    <n v="1"/>
    <n v="1"/>
    <n v="2"/>
  </r>
  <r>
    <x v="412"/>
    <x v="18"/>
    <x v="0"/>
    <x v="0"/>
    <x v="0"/>
    <n v="5"/>
    <x v="0"/>
    <n v="3"/>
    <n v="2"/>
    <x v="1"/>
    <n v="0.2576"/>
    <n v="0.93"/>
    <n v="8.9599999999999999E-2"/>
    <n v="0"/>
    <n v="7"/>
    <n v="7"/>
  </r>
  <r>
    <x v="413"/>
    <x v="18"/>
    <x v="0"/>
    <x v="0"/>
    <x v="0"/>
    <n v="6"/>
    <x v="0"/>
    <n v="3"/>
    <n v="2"/>
    <x v="1"/>
    <n v="0.2576"/>
    <n v="0.93"/>
    <n v="8.9599999999999999E-2"/>
    <n v="0"/>
    <n v="32"/>
    <n v="32"/>
  </r>
  <r>
    <x v="414"/>
    <x v="18"/>
    <x v="0"/>
    <x v="0"/>
    <x v="0"/>
    <n v="7"/>
    <x v="0"/>
    <n v="3"/>
    <n v="2"/>
    <x v="0"/>
    <n v="0.2576"/>
    <n v="0.92"/>
    <n v="0.1045"/>
    <n v="1"/>
    <n v="89"/>
    <n v="90"/>
  </r>
  <r>
    <x v="415"/>
    <x v="18"/>
    <x v="0"/>
    <x v="0"/>
    <x v="0"/>
    <n v="8"/>
    <x v="0"/>
    <n v="3"/>
    <n v="2"/>
    <x v="0"/>
    <n v="0.2576"/>
    <n v="0.93"/>
    <n v="0.1045"/>
    <n v="1"/>
    <n v="196"/>
    <n v="197"/>
  </r>
  <r>
    <x v="416"/>
    <x v="18"/>
    <x v="0"/>
    <x v="0"/>
    <x v="0"/>
    <n v="9"/>
    <x v="0"/>
    <n v="3"/>
    <n v="2"/>
    <x v="0"/>
    <n v="0.2576"/>
    <n v="0.93"/>
    <n v="0.1045"/>
    <n v="2"/>
    <n v="107"/>
    <n v="109"/>
  </r>
  <r>
    <x v="417"/>
    <x v="18"/>
    <x v="0"/>
    <x v="0"/>
    <x v="0"/>
    <n v="10"/>
    <x v="0"/>
    <n v="3"/>
    <n v="2"/>
    <x v="12"/>
    <n v="0.2727"/>
    <n v="0.93"/>
    <n v="0.1343"/>
    <n v="1"/>
    <n v="46"/>
    <n v="47"/>
  </r>
  <r>
    <x v="418"/>
    <x v="18"/>
    <x v="0"/>
    <x v="0"/>
    <x v="0"/>
    <n v="11"/>
    <x v="0"/>
    <n v="3"/>
    <n v="2"/>
    <x v="17"/>
    <n v="0.30299999999999999"/>
    <n v="0.87"/>
    <n v="8.9599999999999999E-2"/>
    <n v="5"/>
    <n v="47"/>
    <n v="52"/>
  </r>
  <r>
    <x v="419"/>
    <x v="18"/>
    <x v="0"/>
    <x v="0"/>
    <x v="0"/>
    <n v="12"/>
    <x v="0"/>
    <n v="3"/>
    <n v="2"/>
    <x v="11"/>
    <n v="0.31819999999999998"/>
    <n v="0.81"/>
    <n v="8.9599999999999999E-2"/>
    <n v="5"/>
    <n v="65"/>
    <n v="70"/>
  </r>
  <r>
    <x v="420"/>
    <x v="18"/>
    <x v="0"/>
    <x v="0"/>
    <x v="0"/>
    <n v="13"/>
    <x v="0"/>
    <n v="3"/>
    <n v="1"/>
    <x v="9"/>
    <n v="0.40910000000000002"/>
    <n v="0.62"/>
    <n v="0.28360000000000002"/>
    <n v="11"/>
    <n v="67"/>
    <n v="78"/>
  </r>
  <r>
    <x v="421"/>
    <x v="18"/>
    <x v="0"/>
    <x v="0"/>
    <x v="0"/>
    <n v="14"/>
    <x v="0"/>
    <n v="3"/>
    <n v="1"/>
    <x v="9"/>
    <n v="0.40910000000000002"/>
    <n v="0.57999999999999996"/>
    <n v="0.25369999999999998"/>
    <n v="7"/>
    <n v="68"/>
    <n v="75"/>
  </r>
  <r>
    <x v="422"/>
    <x v="18"/>
    <x v="0"/>
    <x v="0"/>
    <x v="0"/>
    <n v="15"/>
    <x v="0"/>
    <n v="3"/>
    <n v="1"/>
    <x v="9"/>
    <n v="0.40910000000000002"/>
    <n v="0.54"/>
    <n v="0.28360000000000002"/>
    <n v="4"/>
    <n v="78"/>
    <n v="82"/>
  </r>
  <r>
    <x v="423"/>
    <x v="18"/>
    <x v="0"/>
    <x v="0"/>
    <x v="0"/>
    <n v="16"/>
    <x v="0"/>
    <n v="3"/>
    <n v="1"/>
    <x v="4"/>
    <n v="0.39389999999999997"/>
    <n v="0.57999999999999996"/>
    <n v="0.3881"/>
    <n v="10"/>
    <n v="94"/>
    <n v="104"/>
  </r>
  <r>
    <x v="424"/>
    <x v="18"/>
    <x v="0"/>
    <x v="0"/>
    <x v="0"/>
    <n v="17"/>
    <x v="0"/>
    <n v="3"/>
    <n v="1"/>
    <x v="5"/>
    <n v="0.33329999999999999"/>
    <n v="0.56999999999999995"/>
    <n v="0.32840000000000003"/>
    <n v="7"/>
    <n v="190"/>
    <n v="197"/>
  </r>
  <r>
    <x v="425"/>
    <x v="18"/>
    <x v="0"/>
    <x v="0"/>
    <x v="0"/>
    <n v="18"/>
    <x v="0"/>
    <n v="3"/>
    <n v="1"/>
    <x v="10"/>
    <n v="0.31819999999999998"/>
    <n v="0.61"/>
    <n v="0.28360000000000002"/>
    <n v="5"/>
    <n v="156"/>
    <n v="161"/>
  </r>
  <r>
    <x v="426"/>
    <x v="18"/>
    <x v="0"/>
    <x v="0"/>
    <x v="0"/>
    <n v="19"/>
    <x v="0"/>
    <n v="3"/>
    <n v="1"/>
    <x v="3"/>
    <n v="0.28789999999999999"/>
    <n v="0.56999999999999995"/>
    <n v="0.41789999999999999"/>
    <n v="4"/>
    <n v="108"/>
    <n v="112"/>
  </r>
  <r>
    <x v="427"/>
    <x v="18"/>
    <x v="0"/>
    <x v="0"/>
    <x v="0"/>
    <n v="20"/>
    <x v="0"/>
    <n v="3"/>
    <n v="1"/>
    <x v="3"/>
    <n v="0.30299999999999999"/>
    <n v="0.49"/>
    <n v="0.29849999999999999"/>
    <n v="2"/>
    <n v="74"/>
    <n v="76"/>
  </r>
  <r>
    <x v="428"/>
    <x v="18"/>
    <x v="0"/>
    <x v="0"/>
    <x v="0"/>
    <n v="21"/>
    <x v="0"/>
    <n v="3"/>
    <n v="1"/>
    <x v="3"/>
    <n v="0.28789999999999999"/>
    <n v="0.49"/>
    <n v="0.41789999999999999"/>
    <n v="4"/>
    <n v="55"/>
    <n v="59"/>
  </r>
  <r>
    <x v="429"/>
    <x v="18"/>
    <x v="0"/>
    <x v="0"/>
    <x v="0"/>
    <n v="22"/>
    <x v="0"/>
    <n v="3"/>
    <n v="1"/>
    <x v="11"/>
    <n v="0.30299999999999999"/>
    <n v="0.52"/>
    <n v="0.16420000000000001"/>
    <n v="6"/>
    <n v="53"/>
    <n v="59"/>
  </r>
  <r>
    <x v="430"/>
    <x v="18"/>
    <x v="0"/>
    <x v="0"/>
    <x v="0"/>
    <n v="23"/>
    <x v="0"/>
    <n v="3"/>
    <n v="1"/>
    <x v="11"/>
    <n v="0.2727"/>
    <n v="0.52"/>
    <n v="0.4627"/>
    <n v="1"/>
    <n v="27"/>
    <n v="28"/>
  </r>
  <r>
    <x v="431"/>
    <x v="19"/>
    <x v="0"/>
    <x v="0"/>
    <x v="0"/>
    <n v="0"/>
    <x v="0"/>
    <n v="4"/>
    <n v="1"/>
    <x v="12"/>
    <n v="0.2273"/>
    <n v="0.56000000000000005"/>
    <n v="0.3881"/>
    <n v="5"/>
    <n v="8"/>
    <n v="13"/>
  </r>
  <r>
    <x v="432"/>
    <x v="19"/>
    <x v="0"/>
    <x v="0"/>
    <x v="0"/>
    <n v="1"/>
    <x v="0"/>
    <n v="4"/>
    <n v="1"/>
    <x v="12"/>
    <n v="0.2727"/>
    <n v="0.56000000000000005"/>
    <n v="0"/>
    <n v="2"/>
    <n v="3"/>
    <n v="5"/>
  </r>
  <r>
    <x v="433"/>
    <x v="19"/>
    <x v="0"/>
    <x v="0"/>
    <x v="0"/>
    <n v="2"/>
    <x v="0"/>
    <n v="4"/>
    <n v="1"/>
    <x v="12"/>
    <n v="0.2727"/>
    <n v="0.56000000000000005"/>
    <n v="0"/>
    <n v="0"/>
    <n v="2"/>
    <n v="2"/>
  </r>
  <r>
    <x v="434"/>
    <x v="19"/>
    <x v="0"/>
    <x v="0"/>
    <x v="0"/>
    <n v="3"/>
    <x v="0"/>
    <n v="4"/>
    <n v="1"/>
    <x v="12"/>
    <n v="0.2576"/>
    <n v="0.56000000000000005"/>
    <n v="0.16420000000000001"/>
    <n v="0"/>
    <n v="1"/>
    <n v="1"/>
  </r>
  <r>
    <x v="435"/>
    <x v="19"/>
    <x v="0"/>
    <x v="0"/>
    <x v="0"/>
    <n v="4"/>
    <x v="0"/>
    <n v="4"/>
    <n v="1"/>
    <x v="12"/>
    <n v="0.2576"/>
    <n v="0.56000000000000005"/>
    <n v="0.16420000000000001"/>
    <n v="0"/>
    <n v="1"/>
    <n v="1"/>
  </r>
  <r>
    <x v="436"/>
    <x v="19"/>
    <x v="0"/>
    <x v="0"/>
    <x v="0"/>
    <n v="5"/>
    <x v="0"/>
    <n v="4"/>
    <n v="1"/>
    <x v="0"/>
    <n v="0.2273"/>
    <n v="0.6"/>
    <n v="0.22389999999999999"/>
    <n v="0"/>
    <n v="6"/>
    <n v="6"/>
  </r>
  <r>
    <x v="437"/>
    <x v="19"/>
    <x v="0"/>
    <x v="0"/>
    <x v="0"/>
    <n v="6"/>
    <x v="0"/>
    <n v="4"/>
    <n v="1"/>
    <x v="1"/>
    <n v="0.21210000000000001"/>
    <n v="0.6"/>
    <n v="0.22389999999999999"/>
    <n v="0"/>
    <n v="35"/>
    <n v="35"/>
  </r>
  <r>
    <x v="438"/>
    <x v="19"/>
    <x v="0"/>
    <x v="0"/>
    <x v="0"/>
    <n v="7"/>
    <x v="0"/>
    <n v="4"/>
    <n v="1"/>
    <x v="1"/>
    <n v="0.21210000000000001"/>
    <n v="0.55000000000000004"/>
    <n v="0.22389999999999999"/>
    <n v="1"/>
    <n v="100"/>
    <n v="101"/>
  </r>
  <r>
    <x v="439"/>
    <x v="19"/>
    <x v="0"/>
    <x v="0"/>
    <x v="0"/>
    <n v="8"/>
    <x v="0"/>
    <n v="4"/>
    <n v="1"/>
    <x v="1"/>
    <n v="0.21210000000000001"/>
    <n v="0.55000000000000004"/>
    <n v="0.28360000000000002"/>
    <n v="2"/>
    <n v="247"/>
    <n v="249"/>
  </r>
  <r>
    <x v="440"/>
    <x v="19"/>
    <x v="0"/>
    <x v="0"/>
    <x v="0"/>
    <n v="9"/>
    <x v="0"/>
    <n v="4"/>
    <n v="2"/>
    <x v="0"/>
    <n v="0.2273"/>
    <n v="0.52"/>
    <n v="0.22389999999999999"/>
    <n v="3"/>
    <n v="140"/>
    <n v="143"/>
  </r>
  <r>
    <x v="441"/>
    <x v="19"/>
    <x v="0"/>
    <x v="0"/>
    <x v="0"/>
    <n v="10"/>
    <x v="0"/>
    <n v="4"/>
    <n v="1"/>
    <x v="12"/>
    <n v="0.2273"/>
    <n v="0.48"/>
    <n v="0.29849999999999999"/>
    <n v="1"/>
    <n v="56"/>
    <n v="57"/>
  </r>
  <r>
    <x v="442"/>
    <x v="19"/>
    <x v="0"/>
    <x v="0"/>
    <x v="0"/>
    <n v="11"/>
    <x v="0"/>
    <n v="4"/>
    <n v="2"/>
    <x v="17"/>
    <n v="0.2727"/>
    <n v="0.45"/>
    <n v="0.16420000000000001"/>
    <n v="5"/>
    <n v="63"/>
    <n v="68"/>
  </r>
  <r>
    <x v="443"/>
    <x v="19"/>
    <x v="0"/>
    <x v="0"/>
    <x v="0"/>
    <n v="12"/>
    <x v="0"/>
    <n v="4"/>
    <n v="2"/>
    <x v="11"/>
    <n v="0.33329999999999999"/>
    <n v="0.42"/>
    <n v="0"/>
    <n v="7"/>
    <n v="77"/>
    <n v="84"/>
  </r>
  <r>
    <x v="444"/>
    <x v="19"/>
    <x v="0"/>
    <x v="0"/>
    <x v="0"/>
    <n v="13"/>
    <x v="0"/>
    <n v="4"/>
    <n v="2"/>
    <x v="17"/>
    <n v="0.28789999999999999"/>
    <n v="0.45"/>
    <n v="0.1045"/>
    <n v="12"/>
    <n v="86"/>
    <n v="98"/>
  </r>
  <r>
    <x v="445"/>
    <x v="19"/>
    <x v="0"/>
    <x v="0"/>
    <x v="0"/>
    <n v="14"/>
    <x v="0"/>
    <n v="4"/>
    <n v="2"/>
    <x v="11"/>
    <n v="0.30299999999999999"/>
    <n v="0.45"/>
    <n v="0.1343"/>
    <n v="6"/>
    <n v="75"/>
    <n v="81"/>
  </r>
  <r>
    <x v="446"/>
    <x v="19"/>
    <x v="0"/>
    <x v="0"/>
    <x v="0"/>
    <n v="15"/>
    <x v="0"/>
    <n v="4"/>
    <n v="2"/>
    <x v="3"/>
    <n v="0.31819999999999998"/>
    <n v="0.45"/>
    <n v="0.19400000000000001"/>
    <n v="8"/>
    <n v="62"/>
    <n v="70"/>
  </r>
  <r>
    <x v="447"/>
    <x v="19"/>
    <x v="0"/>
    <x v="0"/>
    <x v="0"/>
    <n v="16"/>
    <x v="0"/>
    <n v="4"/>
    <n v="2"/>
    <x v="11"/>
    <n v="0.30299999999999999"/>
    <n v="0.49"/>
    <n v="0.1343"/>
    <n v="8"/>
    <n v="83"/>
    <n v="91"/>
  </r>
  <r>
    <x v="448"/>
    <x v="19"/>
    <x v="0"/>
    <x v="0"/>
    <x v="0"/>
    <n v="17"/>
    <x v="0"/>
    <n v="4"/>
    <n v="2"/>
    <x v="11"/>
    <n v="0.31819999999999998"/>
    <n v="0.49"/>
    <n v="0.1045"/>
    <n v="8"/>
    <n v="207"/>
    <n v="215"/>
  </r>
  <r>
    <x v="449"/>
    <x v="19"/>
    <x v="0"/>
    <x v="0"/>
    <x v="0"/>
    <n v="18"/>
    <x v="0"/>
    <n v="4"/>
    <n v="2"/>
    <x v="12"/>
    <n v="0.2576"/>
    <n v="0.56000000000000005"/>
    <n v="0.19400000000000001"/>
    <n v="1"/>
    <n v="184"/>
    <n v="185"/>
  </r>
  <r>
    <x v="450"/>
    <x v="19"/>
    <x v="0"/>
    <x v="0"/>
    <x v="0"/>
    <n v="19"/>
    <x v="0"/>
    <n v="4"/>
    <n v="1"/>
    <x v="12"/>
    <n v="0.2273"/>
    <n v="0.56000000000000005"/>
    <n v="0.32840000000000003"/>
    <n v="6"/>
    <n v="146"/>
    <n v="152"/>
  </r>
  <r>
    <x v="451"/>
    <x v="19"/>
    <x v="0"/>
    <x v="0"/>
    <x v="0"/>
    <n v="20"/>
    <x v="0"/>
    <n v="4"/>
    <n v="2"/>
    <x v="12"/>
    <n v="0.2424"/>
    <n v="0.6"/>
    <n v="0.28360000000000002"/>
    <n v="2"/>
    <n v="124"/>
    <n v="126"/>
  </r>
  <r>
    <x v="452"/>
    <x v="19"/>
    <x v="0"/>
    <x v="0"/>
    <x v="0"/>
    <n v="21"/>
    <x v="0"/>
    <n v="4"/>
    <n v="2"/>
    <x v="0"/>
    <n v="0.2273"/>
    <n v="0.6"/>
    <n v="0.25369999999999998"/>
    <n v="3"/>
    <n v="54"/>
    <n v="57"/>
  </r>
  <r>
    <x v="453"/>
    <x v="19"/>
    <x v="0"/>
    <x v="0"/>
    <x v="0"/>
    <n v="22"/>
    <x v="0"/>
    <n v="4"/>
    <n v="2"/>
    <x v="0"/>
    <n v="0.21210000000000001"/>
    <n v="0.65"/>
    <n v="0.28360000000000002"/>
    <n v="0"/>
    <n v="56"/>
    <n v="56"/>
  </r>
  <r>
    <x v="454"/>
    <x v="19"/>
    <x v="0"/>
    <x v="0"/>
    <x v="0"/>
    <n v="23"/>
    <x v="0"/>
    <n v="4"/>
    <n v="2"/>
    <x v="0"/>
    <n v="0.21210000000000001"/>
    <n v="0.65"/>
    <n v="0.32840000000000003"/>
    <n v="3"/>
    <n v="28"/>
    <n v="31"/>
  </r>
  <r>
    <x v="455"/>
    <x v="20"/>
    <x v="0"/>
    <x v="0"/>
    <x v="0"/>
    <n v="0"/>
    <x v="0"/>
    <n v="5"/>
    <n v="2"/>
    <x v="0"/>
    <n v="0.2273"/>
    <n v="0.7"/>
    <n v="0.25369999999999998"/>
    <n v="1"/>
    <n v="20"/>
    <n v="21"/>
  </r>
  <r>
    <x v="456"/>
    <x v="20"/>
    <x v="0"/>
    <x v="0"/>
    <x v="0"/>
    <n v="1"/>
    <x v="0"/>
    <n v="5"/>
    <n v="2"/>
    <x v="0"/>
    <n v="0.2273"/>
    <n v="0.7"/>
    <n v="0.25369999999999998"/>
    <n v="0"/>
    <n v="6"/>
    <n v="6"/>
  </r>
  <r>
    <x v="457"/>
    <x v="20"/>
    <x v="0"/>
    <x v="0"/>
    <x v="0"/>
    <n v="2"/>
    <x v="0"/>
    <n v="5"/>
    <n v="3"/>
    <x v="0"/>
    <n v="0.2424"/>
    <n v="0.75"/>
    <n v="0.16420000000000001"/>
    <n v="0"/>
    <n v="2"/>
    <n v="2"/>
  </r>
  <r>
    <x v="458"/>
    <x v="20"/>
    <x v="0"/>
    <x v="0"/>
    <x v="0"/>
    <n v="3"/>
    <x v="0"/>
    <n v="5"/>
    <n v="3"/>
    <x v="1"/>
    <n v="0.21210000000000001"/>
    <n v="0.8"/>
    <n v="0.29849999999999999"/>
    <n v="0"/>
    <n v="1"/>
    <n v="1"/>
  </r>
  <r>
    <x v="459"/>
    <x v="20"/>
    <x v="0"/>
    <x v="0"/>
    <x v="0"/>
    <n v="4"/>
    <x v="0"/>
    <n v="5"/>
    <n v="2"/>
    <x v="1"/>
    <n v="0.2576"/>
    <n v="0.87"/>
    <n v="8.9599999999999999E-2"/>
    <n v="0"/>
    <n v="1"/>
    <n v="1"/>
  </r>
  <r>
    <x v="460"/>
    <x v="20"/>
    <x v="0"/>
    <x v="0"/>
    <x v="0"/>
    <n v="5"/>
    <x v="0"/>
    <n v="5"/>
    <n v="1"/>
    <x v="0"/>
    <n v="0.19700000000000001"/>
    <n v="0.6"/>
    <n v="0.41789999999999999"/>
    <n v="1"/>
    <n v="4"/>
    <n v="5"/>
  </r>
  <r>
    <x v="461"/>
    <x v="20"/>
    <x v="0"/>
    <x v="0"/>
    <x v="0"/>
    <n v="6"/>
    <x v="0"/>
    <n v="5"/>
    <n v="1"/>
    <x v="1"/>
    <n v="0.21210000000000001"/>
    <n v="0.55000000000000004"/>
    <n v="0.25369999999999998"/>
    <n v="0"/>
    <n v="27"/>
    <n v="27"/>
  </r>
  <r>
    <x v="462"/>
    <x v="20"/>
    <x v="0"/>
    <x v="0"/>
    <x v="0"/>
    <n v="7"/>
    <x v="0"/>
    <n v="5"/>
    <n v="1"/>
    <x v="2"/>
    <n v="0.18179999999999999"/>
    <n v="0.51"/>
    <n v="0.28360000000000002"/>
    <n v="2"/>
    <n v="66"/>
    <n v="68"/>
  </r>
  <r>
    <x v="463"/>
    <x v="20"/>
    <x v="0"/>
    <x v="0"/>
    <x v="0"/>
    <n v="8"/>
    <x v="0"/>
    <n v="5"/>
    <n v="1"/>
    <x v="2"/>
    <n v="0.18179999999999999"/>
    <n v="0.47"/>
    <n v="0.32840000000000003"/>
    <n v="7"/>
    <n v="210"/>
    <n v="217"/>
  </r>
  <r>
    <x v="464"/>
    <x v="20"/>
    <x v="0"/>
    <x v="0"/>
    <x v="0"/>
    <n v="9"/>
    <x v="0"/>
    <n v="5"/>
    <n v="1"/>
    <x v="2"/>
    <n v="0.18179999999999999"/>
    <n v="0.51"/>
    <n v="0.35820000000000002"/>
    <n v="7"/>
    <n v="159"/>
    <n v="166"/>
  </r>
  <r>
    <x v="465"/>
    <x v="20"/>
    <x v="0"/>
    <x v="0"/>
    <x v="0"/>
    <n v="10"/>
    <x v="0"/>
    <n v="5"/>
    <n v="1"/>
    <x v="2"/>
    <n v="0.16669999999999999"/>
    <n v="0.47"/>
    <n v="0.4627"/>
    <n v="6"/>
    <n v="57"/>
    <n v="63"/>
  </r>
  <r>
    <x v="466"/>
    <x v="20"/>
    <x v="0"/>
    <x v="0"/>
    <x v="0"/>
    <n v="11"/>
    <x v="0"/>
    <n v="5"/>
    <n v="1"/>
    <x v="1"/>
    <n v="0.18179999999999999"/>
    <n v="0.41"/>
    <n v="0.4627"/>
    <n v="6"/>
    <n v="53"/>
    <n v="59"/>
  </r>
  <r>
    <x v="467"/>
    <x v="20"/>
    <x v="0"/>
    <x v="0"/>
    <x v="0"/>
    <n v="12"/>
    <x v="0"/>
    <n v="5"/>
    <n v="1"/>
    <x v="1"/>
    <n v="0.18179999999999999"/>
    <n v="0.27"/>
    <n v="0.58209999999999995"/>
    <n v="11"/>
    <n v="67"/>
    <n v="78"/>
  </r>
  <r>
    <x v="468"/>
    <x v="20"/>
    <x v="0"/>
    <x v="0"/>
    <x v="0"/>
    <n v="13"/>
    <x v="0"/>
    <n v="5"/>
    <n v="1"/>
    <x v="2"/>
    <n v="0.1515"/>
    <n v="0.21"/>
    <n v="0.58209999999999995"/>
    <n v="8"/>
    <n v="65"/>
    <n v="73"/>
  </r>
  <r>
    <x v="469"/>
    <x v="20"/>
    <x v="0"/>
    <x v="0"/>
    <x v="0"/>
    <n v="14"/>
    <x v="0"/>
    <n v="5"/>
    <n v="1"/>
    <x v="2"/>
    <n v="0.1515"/>
    <n v="0.25"/>
    <n v="0.52239999999999998"/>
    <n v="6"/>
    <n v="56"/>
    <n v="62"/>
  </r>
  <r>
    <x v="470"/>
    <x v="20"/>
    <x v="0"/>
    <x v="0"/>
    <x v="0"/>
    <n v="15"/>
    <x v="0"/>
    <n v="5"/>
    <n v="1"/>
    <x v="13"/>
    <n v="0.1212"/>
    <n v="0.26"/>
    <n v="0.44779999999999998"/>
    <n v="4"/>
    <n v="61"/>
    <n v="65"/>
  </r>
  <r>
    <x v="471"/>
    <x v="20"/>
    <x v="0"/>
    <x v="0"/>
    <x v="0"/>
    <n v="16"/>
    <x v="0"/>
    <n v="5"/>
    <n v="1"/>
    <x v="13"/>
    <n v="0.13639999999999999"/>
    <n v="0.26"/>
    <n v="0.35820000000000002"/>
    <n v="0"/>
    <n v="97"/>
    <n v="97"/>
  </r>
  <r>
    <x v="472"/>
    <x v="20"/>
    <x v="0"/>
    <x v="0"/>
    <x v="0"/>
    <n v="17"/>
    <x v="0"/>
    <n v="5"/>
    <n v="1"/>
    <x v="14"/>
    <n v="0.1212"/>
    <n v="0.28000000000000003"/>
    <n v="0.35820000000000002"/>
    <n v="10"/>
    <n v="151"/>
    <n v="161"/>
  </r>
  <r>
    <x v="473"/>
    <x v="20"/>
    <x v="0"/>
    <x v="0"/>
    <x v="0"/>
    <n v="18"/>
    <x v="0"/>
    <n v="5"/>
    <n v="1"/>
    <x v="16"/>
    <n v="0.1212"/>
    <n v="0.3"/>
    <n v="0.25369999999999998"/>
    <n v="1"/>
    <n v="119"/>
    <n v="120"/>
  </r>
  <r>
    <x v="474"/>
    <x v="20"/>
    <x v="0"/>
    <x v="0"/>
    <x v="0"/>
    <n v="19"/>
    <x v="0"/>
    <n v="5"/>
    <n v="1"/>
    <x v="16"/>
    <n v="0.1061"/>
    <n v="0.3"/>
    <n v="0.32840000000000003"/>
    <n v="3"/>
    <n v="93"/>
    <n v="96"/>
  </r>
  <r>
    <x v="475"/>
    <x v="20"/>
    <x v="0"/>
    <x v="0"/>
    <x v="0"/>
    <n v="20"/>
    <x v="0"/>
    <n v="5"/>
    <n v="1"/>
    <x v="18"/>
    <n v="7.5800000000000006E-2"/>
    <n v="0.33"/>
    <n v="0.41789999999999999"/>
    <n v="1"/>
    <n v="52"/>
    <n v="53"/>
  </r>
  <r>
    <x v="476"/>
    <x v="20"/>
    <x v="0"/>
    <x v="0"/>
    <x v="0"/>
    <n v="21"/>
    <x v="0"/>
    <n v="5"/>
    <n v="1"/>
    <x v="19"/>
    <n v="7.5800000000000006E-2"/>
    <n v="0.38"/>
    <n v="0.28360000000000002"/>
    <n v="0"/>
    <n v="41"/>
    <n v="41"/>
  </r>
  <r>
    <x v="477"/>
    <x v="20"/>
    <x v="0"/>
    <x v="0"/>
    <x v="0"/>
    <n v="22"/>
    <x v="0"/>
    <n v="5"/>
    <n v="1"/>
    <x v="20"/>
    <n v="3.0300000000000001E-2"/>
    <n v="0.41"/>
    <n v="0.3881"/>
    <n v="1"/>
    <n v="33"/>
    <n v="34"/>
  </r>
  <r>
    <x v="478"/>
    <x v="20"/>
    <x v="0"/>
    <x v="0"/>
    <x v="0"/>
    <n v="23"/>
    <x v="0"/>
    <n v="5"/>
    <n v="1"/>
    <x v="20"/>
    <n v="4.5499999999999999E-2"/>
    <n v="0.38"/>
    <n v="0.32840000000000003"/>
    <n v="0"/>
    <n v="27"/>
    <n v="27"/>
  </r>
  <r>
    <x v="479"/>
    <x v="21"/>
    <x v="0"/>
    <x v="0"/>
    <x v="0"/>
    <n v="0"/>
    <x v="0"/>
    <n v="6"/>
    <n v="1"/>
    <x v="21"/>
    <n v="3.0300000000000001E-2"/>
    <n v="0.45"/>
    <n v="0.25369999999999998"/>
    <n v="0"/>
    <n v="13"/>
    <n v="13"/>
  </r>
  <r>
    <x v="480"/>
    <x v="21"/>
    <x v="0"/>
    <x v="0"/>
    <x v="0"/>
    <n v="1"/>
    <x v="0"/>
    <n v="6"/>
    <n v="2"/>
    <x v="21"/>
    <n v="0"/>
    <n v="0.41"/>
    <n v="0.3881"/>
    <n v="3"/>
    <n v="9"/>
    <n v="12"/>
  </r>
  <r>
    <x v="481"/>
    <x v="21"/>
    <x v="0"/>
    <x v="0"/>
    <x v="0"/>
    <n v="2"/>
    <x v="0"/>
    <n v="6"/>
    <n v="2"/>
    <x v="21"/>
    <n v="3.0300000000000001E-2"/>
    <n v="0.41"/>
    <n v="0.25369999999999998"/>
    <n v="0"/>
    <n v="11"/>
    <n v="11"/>
  </r>
  <r>
    <x v="482"/>
    <x v="21"/>
    <x v="0"/>
    <x v="0"/>
    <x v="0"/>
    <n v="3"/>
    <x v="0"/>
    <n v="6"/>
    <n v="2"/>
    <x v="21"/>
    <n v="3.0300000000000001E-2"/>
    <n v="0.41"/>
    <n v="0.28360000000000002"/>
    <n v="1"/>
    <n v="6"/>
    <n v="7"/>
  </r>
  <r>
    <x v="483"/>
    <x v="21"/>
    <x v="0"/>
    <x v="0"/>
    <x v="0"/>
    <n v="4"/>
    <x v="0"/>
    <n v="6"/>
    <n v="2"/>
    <x v="22"/>
    <n v="1.52E-2"/>
    <n v="0.48"/>
    <n v="0.29849999999999999"/>
    <n v="0"/>
    <n v="3"/>
    <n v="3"/>
  </r>
  <r>
    <x v="484"/>
    <x v="21"/>
    <x v="0"/>
    <x v="0"/>
    <x v="0"/>
    <n v="6"/>
    <x v="0"/>
    <n v="6"/>
    <n v="2"/>
    <x v="22"/>
    <n v="3.0300000000000001E-2"/>
    <n v="0.44"/>
    <n v="0.22389999999999999"/>
    <n v="0"/>
    <n v="2"/>
    <n v="2"/>
  </r>
  <r>
    <x v="485"/>
    <x v="21"/>
    <x v="0"/>
    <x v="0"/>
    <x v="0"/>
    <n v="7"/>
    <x v="0"/>
    <n v="6"/>
    <n v="1"/>
    <x v="22"/>
    <n v="1.52E-2"/>
    <n v="0.44"/>
    <n v="0.28360000000000002"/>
    <n v="0"/>
    <n v="8"/>
    <n v="8"/>
  </r>
  <r>
    <x v="486"/>
    <x v="21"/>
    <x v="0"/>
    <x v="0"/>
    <x v="0"/>
    <n v="8"/>
    <x v="0"/>
    <n v="6"/>
    <n v="1"/>
    <x v="22"/>
    <n v="0"/>
    <n v="0.44"/>
    <n v="0.32840000000000003"/>
    <n v="1"/>
    <n v="26"/>
    <n v="27"/>
  </r>
  <r>
    <x v="487"/>
    <x v="21"/>
    <x v="0"/>
    <x v="0"/>
    <x v="0"/>
    <n v="9"/>
    <x v="0"/>
    <n v="6"/>
    <n v="1"/>
    <x v="21"/>
    <n v="3.0300000000000001E-2"/>
    <n v="0.41"/>
    <n v="0.25369999999999998"/>
    <n v="3"/>
    <n v="37"/>
    <n v="40"/>
  </r>
  <r>
    <x v="488"/>
    <x v="21"/>
    <x v="0"/>
    <x v="0"/>
    <x v="0"/>
    <n v="10"/>
    <x v="0"/>
    <n v="6"/>
    <n v="2"/>
    <x v="21"/>
    <n v="6.0600000000000001E-2"/>
    <n v="0.41"/>
    <n v="0.16420000000000001"/>
    <n v="3"/>
    <n v="50"/>
    <n v="53"/>
  </r>
  <r>
    <x v="489"/>
    <x v="21"/>
    <x v="0"/>
    <x v="0"/>
    <x v="0"/>
    <n v="11"/>
    <x v="0"/>
    <n v="6"/>
    <n v="2"/>
    <x v="20"/>
    <n v="7.5800000000000006E-2"/>
    <n v="0.38"/>
    <n v="0.1343"/>
    <n v="4"/>
    <n v="59"/>
    <n v="63"/>
  </r>
  <r>
    <x v="490"/>
    <x v="21"/>
    <x v="0"/>
    <x v="0"/>
    <x v="0"/>
    <n v="12"/>
    <x v="0"/>
    <n v="6"/>
    <n v="2"/>
    <x v="20"/>
    <n v="0.1061"/>
    <n v="0.38"/>
    <n v="0.1045"/>
    <n v="10"/>
    <n v="60"/>
    <n v="70"/>
  </r>
  <r>
    <x v="491"/>
    <x v="21"/>
    <x v="0"/>
    <x v="0"/>
    <x v="0"/>
    <n v="13"/>
    <x v="0"/>
    <n v="6"/>
    <n v="1"/>
    <x v="19"/>
    <n v="0.16669999999999999"/>
    <n v="0.35"/>
    <n v="0"/>
    <n v="12"/>
    <n v="72"/>
    <n v="84"/>
  </r>
  <r>
    <x v="492"/>
    <x v="21"/>
    <x v="0"/>
    <x v="0"/>
    <x v="0"/>
    <n v="14"/>
    <x v="0"/>
    <n v="6"/>
    <n v="1"/>
    <x v="18"/>
    <n v="0.13639999999999999"/>
    <n v="0.33"/>
    <n v="0.1045"/>
    <n v="11"/>
    <n v="64"/>
    <n v="75"/>
  </r>
  <r>
    <x v="493"/>
    <x v="21"/>
    <x v="0"/>
    <x v="0"/>
    <x v="0"/>
    <n v="15"/>
    <x v="0"/>
    <n v="6"/>
    <n v="1"/>
    <x v="16"/>
    <n v="0.1515"/>
    <n v="0.28000000000000003"/>
    <n v="0"/>
    <n v="10"/>
    <n v="93"/>
    <n v="103"/>
  </r>
  <r>
    <x v="494"/>
    <x v="21"/>
    <x v="0"/>
    <x v="0"/>
    <x v="0"/>
    <n v="16"/>
    <x v="0"/>
    <n v="6"/>
    <n v="1"/>
    <x v="16"/>
    <n v="0.13639999999999999"/>
    <n v="0.28000000000000003"/>
    <n v="0.19400000000000001"/>
    <n v="11"/>
    <n v="72"/>
    <n v="83"/>
  </r>
  <r>
    <x v="495"/>
    <x v="21"/>
    <x v="0"/>
    <x v="0"/>
    <x v="0"/>
    <n v="17"/>
    <x v="0"/>
    <n v="6"/>
    <n v="1"/>
    <x v="16"/>
    <n v="0.19700000000000001"/>
    <n v="0.28000000000000003"/>
    <n v="0"/>
    <n v="8"/>
    <n v="59"/>
    <n v="67"/>
  </r>
  <r>
    <x v="496"/>
    <x v="21"/>
    <x v="0"/>
    <x v="0"/>
    <x v="0"/>
    <n v="18"/>
    <x v="0"/>
    <n v="6"/>
    <n v="1"/>
    <x v="19"/>
    <n v="9.0899999999999995E-2"/>
    <n v="0.35"/>
    <n v="0.19400000000000001"/>
    <n v="0"/>
    <n v="54"/>
    <n v="54"/>
  </r>
  <r>
    <x v="497"/>
    <x v="21"/>
    <x v="0"/>
    <x v="0"/>
    <x v="0"/>
    <n v="19"/>
    <x v="0"/>
    <n v="6"/>
    <n v="1"/>
    <x v="19"/>
    <n v="0.1061"/>
    <n v="0.35"/>
    <n v="0.1343"/>
    <n v="6"/>
    <n v="53"/>
    <n v="59"/>
  </r>
  <r>
    <x v="498"/>
    <x v="21"/>
    <x v="0"/>
    <x v="0"/>
    <x v="0"/>
    <n v="20"/>
    <x v="0"/>
    <n v="6"/>
    <n v="1"/>
    <x v="20"/>
    <n v="7.5800000000000006E-2"/>
    <n v="0.45"/>
    <n v="0.16420000000000001"/>
    <n v="1"/>
    <n v="44"/>
    <n v="45"/>
  </r>
  <r>
    <x v="499"/>
    <x v="21"/>
    <x v="0"/>
    <x v="0"/>
    <x v="0"/>
    <n v="21"/>
    <x v="0"/>
    <n v="6"/>
    <n v="1"/>
    <x v="20"/>
    <n v="0.1061"/>
    <n v="0.41"/>
    <n v="8.9599999999999999E-2"/>
    <n v="0"/>
    <n v="39"/>
    <n v="39"/>
  </r>
  <r>
    <x v="500"/>
    <x v="21"/>
    <x v="0"/>
    <x v="0"/>
    <x v="0"/>
    <n v="22"/>
    <x v="0"/>
    <n v="6"/>
    <n v="1"/>
    <x v="20"/>
    <n v="0.1515"/>
    <n v="0.49"/>
    <n v="0"/>
    <n v="7"/>
    <n v="23"/>
    <n v="30"/>
  </r>
  <r>
    <x v="501"/>
    <x v="21"/>
    <x v="0"/>
    <x v="0"/>
    <x v="0"/>
    <n v="23"/>
    <x v="0"/>
    <n v="6"/>
    <n v="1"/>
    <x v="21"/>
    <n v="7.5800000000000006E-2"/>
    <n v="0.56999999999999995"/>
    <n v="0.1045"/>
    <n v="2"/>
    <n v="31"/>
    <n v="33"/>
  </r>
  <r>
    <x v="502"/>
    <x v="22"/>
    <x v="0"/>
    <x v="0"/>
    <x v="0"/>
    <n v="0"/>
    <x v="0"/>
    <n v="0"/>
    <n v="1"/>
    <x v="21"/>
    <n v="7.5800000000000006E-2"/>
    <n v="0.56999999999999995"/>
    <n v="0.1045"/>
    <n v="2"/>
    <n v="20"/>
    <n v="22"/>
  </r>
  <r>
    <x v="503"/>
    <x v="22"/>
    <x v="0"/>
    <x v="0"/>
    <x v="0"/>
    <n v="1"/>
    <x v="0"/>
    <n v="0"/>
    <n v="1"/>
    <x v="21"/>
    <n v="7.5800000000000006E-2"/>
    <n v="0.56999999999999995"/>
    <n v="0.1045"/>
    <n v="1"/>
    <n v="12"/>
    <n v="13"/>
  </r>
  <r>
    <x v="504"/>
    <x v="22"/>
    <x v="0"/>
    <x v="0"/>
    <x v="0"/>
    <n v="2"/>
    <x v="0"/>
    <n v="0"/>
    <n v="1"/>
    <x v="22"/>
    <n v="6.0600000000000001E-2"/>
    <n v="0.62"/>
    <n v="0.1343"/>
    <n v="3"/>
    <n v="15"/>
    <n v="18"/>
  </r>
  <r>
    <x v="505"/>
    <x v="22"/>
    <x v="0"/>
    <x v="0"/>
    <x v="0"/>
    <n v="3"/>
    <x v="0"/>
    <n v="0"/>
    <n v="1"/>
    <x v="22"/>
    <n v="6.0600000000000001E-2"/>
    <n v="0.62"/>
    <n v="0.1343"/>
    <n v="1"/>
    <n v="4"/>
    <n v="5"/>
  </r>
  <r>
    <x v="506"/>
    <x v="22"/>
    <x v="0"/>
    <x v="0"/>
    <x v="0"/>
    <n v="5"/>
    <x v="0"/>
    <n v="0"/>
    <n v="2"/>
    <x v="21"/>
    <n v="7.5800000000000006E-2"/>
    <n v="0.56999999999999995"/>
    <n v="0.1045"/>
    <n v="0"/>
    <n v="3"/>
    <n v="3"/>
  </r>
  <r>
    <x v="507"/>
    <x v="22"/>
    <x v="0"/>
    <x v="0"/>
    <x v="0"/>
    <n v="6"/>
    <x v="0"/>
    <n v="0"/>
    <n v="2"/>
    <x v="21"/>
    <n v="7.5800000000000006E-2"/>
    <n v="0.56999999999999995"/>
    <n v="0.1045"/>
    <n v="0"/>
    <n v="1"/>
    <n v="1"/>
  </r>
  <r>
    <x v="508"/>
    <x v="22"/>
    <x v="0"/>
    <x v="0"/>
    <x v="0"/>
    <n v="7"/>
    <x v="0"/>
    <n v="0"/>
    <n v="1"/>
    <x v="19"/>
    <n v="0.1061"/>
    <n v="0.57999999999999996"/>
    <n v="0.16420000000000001"/>
    <n v="1"/>
    <n v="1"/>
    <n v="2"/>
  </r>
  <r>
    <x v="509"/>
    <x v="22"/>
    <x v="0"/>
    <x v="0"/>
    <x v="0"/>
    <n v="8"/>
    <x v="0"/>
    <n v="0"/>
    <n v="1"/>
    <x v="20"/>
    <n v="7.5800000000000006E-2"/>
    <n v="0.62"/>
    <n v="0.16420000000000001"/>
    <n v="2"/>
    <n v="17"/>
    <n v="19"/>
  </r>
  <r>
    <x v="510"/>
    <x v="22"/>
    <x v="0"/>
    <x v="0"/>
    <x v="0"/>
    <n v="9"/>
    <x v="0"/>
    <n v="0"/>
    <n v="1"/>
    <x v="18"/>
    <n v="7.5800000000000006E-2"/>
    <n v="0.54"/>
    <n v="0.35820000000000002"/>
    <n v="3"/>
    <n v="25"/>
    <n v="28"/>
  </r>
  <r>
    <x v="511"/>
    <x v="22"/>
    <x v="0"/>
    <x v="0"/>
    <x v="0"/>
    <n v="10"/>
    <x v="0"/>
    <n v="0"/>
    <n v="1"/>
    <x v="14"/>
    <n v="0.1061"/>
    <n v="0.46"/>
    <n v="0.3881"/>
    <n v="7"/>
    <n v="51"/>
    <n v="58"/>
  </r>
  <r>
    <x v="512"/>
    <x v="22"/>
    <x v="0"/>
    <x v="0"/>
    <x v="0"/>
    <n v="11"/>
    <x v="0"/>
    <n v="0"/>
    <n v="1"/>
    <x v="14"/>
    <n v="0.13639999999999999"/>
    <n v="0.43"/>
    <n v="0.22389999999999999"/>
    <n v="22"/>
    <n v="77"/>
    <n v="99"/>
  </r>
  <r>
    <x v="513"/>
    <x v="22"/>
    <x v="0"/>
    <x v="0"/>
    <x v="0"/>
    <n v="12"/>
    <x v="0"/>
    <n v="0"/>
    <n v="1"/>
    <x v="13"/>
    <n v="0.1212"/>
    <n v="0.37"/>
    <n v="0.4627"/>
    <n v="24"/>
    <n v="92"/>
    <n v="116"/>
  </r>
  <r>
    <x v="514"/>
    <x v="22"/>
    <x v="0"/>
    <x v="0"/>
    <x v="0"/>
    <n v="13"/>
    <x v="0"/>
    <n v="0"/>
    <n v="1"/>
    <x v="14"/>
    <n v="0.1061"/>
    <n v="0.33"/>
    <n v="0.3881"/>
    <n v="12"/>
    <n v="75"/>
    <n v="87"/>
  </r>
  <r>
    <x v="515"/>
    <x v="22"/>
    <x v="0"/>
    <x v="0"/>
    <x v="0"/>
    <n v="14"/>
    <x v="0"/>
    <n v="0"/>
    <n v="1"/>
    <x v="13"/>
    <n v="0.13639999999999999"/>
    <n v="0.28000000000000003"/>
    <n v="0.35820000000000002"/>
    <n v="17"/>
    <n v="93"/>
    <n v="110"/>
  </r>
  <r>
    <x v="516"/>
    <x v="22"/>
    <x v="0"/>
    <x v="0"/>
    <x v="0"/>
    <n v="15"/>
    <x v="0"/>
    <n v="0"/>
    <n v="1"/>
    <x v="13"/>
    <n v="0.13639999999999999"/>
    <n v="0.28000000000000003"/>
    <n v="0.35820000000000002"/>
    <n v="13"/>
    <n v="64"/>
    <n v="77"/>
  </r>
  <r>
    <x v="517"/>
    <x v="22"/>
    <x v="0"/>
    <x v="0"/>
    <x v="0"/>
    <n v="16"/>
    <x v="0"/>
    <n v="0"/>
    <n v="1"/>
    <x v="13"/>
    <n v="0.13639999999999999"/>
    <n v="0.26"/>
    <n v="0.32840000000000003"/>
    <n v="9"/>
    <n v="56"/>
    <n v="65"/>
  </r>
  <r>
    <x v="518"/>
    <x v="22"/>
    <x v="0"/>
    <x v="0"/>
    <x v="0"/>
    <n v="17"/>
    <x v="0"/>
    <n v="0"/>
    <n v="1"/>
    <x v="14"/>
    <n v="0.1061"/>
    <n v="0.26"/>
    <n v="0.3881"/>
    <n v="5"/>
    <n v="50"/>
    <n v="55"/>
  </r>
  <r>
    <x v="519"/>
    <x v="22"/>
    <x v="0"/>
    <x v="0"/>
    <x v="0"/>
    <n v="18"/>
    <x v="0"/>
    <n v="0"/>
    <n v="1"/>
    <x v="16"/>
    <n v="0.1212"/>
    <n v="0.3"/>
    <n v="0.25369999999999998"/>
    <n v="5"/>
    <n v="44"/>
    <n v="49"/>
  </r>
  <r>
    <x v="520"/>
    <x v="22"/>
    <x v="0"/>
    <x v="0"/>
    <x v="0"/>
    <n v="19"/>
    <x v="0"/>
    <n v="0"/>
    <n v="1"/>
    <x v="16"/>
    <n v="0.1212"/>
    <n v="0.3"/>
    <n v="0.28360000000000002"/>
    <n v="5"/>
    <n v="45"/>
    <n v="50"/>
  </r>
  <r>
    <x v="521"/>
    <x v="22"/>
    <x v="0"/>
    <x v="0"/>
    <x v="0"/>
    <n v="20"/>
    <x v="0"/>
    <n v="0"/>
    <n v="1"/>
    <x v="18"/>
    <n v="0.1061"/>
    <n v="0.36"/>
    <n v="0.25369999999999998"/>
    <n v="4"/>
    <n v="31"/>
    <n v="35"/>
  </r>
  <r>
    <x v="522"/>
    <x v="22"/>
    <x v="0"/>
    <x v="0"/>
    <x v="0"/>
    <n v="21"/>
    <x v="0"/>
    <n v="0"/>
    <n v="1"/>
    <x v="18"/>
    <n v="0.1061"/>
    <n v="0.36"/>
    <n v="0.19400000000000001"/>
    <n v="5"/>
    <n v="20"/>
    <n v="25"/>
  </r>
  <r>
    <x v="523"/>
    <x v="22"/>
    <x v="0"/>
    <x v="0"/>
    <x v="0"/>
    <n v="22"/>
    <x v="0"/>
    <n v="0"/>
    <n v="1"/>
    <x v="19"/>
    <n v="9.0899999999999995E-2"/>
    <n v="0.38"/>
    <n v="0.19400000000000001"/>
    <n v="5"/>
    <n v="23"/>
    <n v="28"/>
  </r>
  <r>
    <x v="524"/>
    <x v="22"/>
    <x v="0"/>
    <x v="0"/>
    <x v="0"/>
    <n v="23"/>
    <x v="0"/>
    <n v="0"/>
    <n v="1"/>
    <x v="20"/>
    <n v="6.0600000000000001E-2"/>
    <n v="0.41"/>
    <n v="0.22389999999999999"/>
    <n v="4"/>
    <n v="17"/>
    <n v="21"/>
  </r>
  <r>
    <x v="525"/>
    <x v="23"/>
    <x v="0"/>
    <x v="0"/>
    <x v="0"/>
    <n v="0"/>
    <x v="0"/>
    <n v="1"/>
    <n v="1"/>
    <x v="20"/>
    <n v="6.0600000000000001E-2"/>
    <n v="0.41"/>
    <n v="0.19400000000000001"/>
    <n v="0"/>
    <n v="7"/>
    <n v="7"/>
  </r>
  <r>
    <x v="526"/>
    <x v="23"/>
    <x v="0"/>
    <x v="0"/>
    <x v="0"/>
    <n v="1"/>
    <x v="0"/>
    <n v="1"/>
    <n v="1"/>
    <x v="21"/>
    <n v="4.5499999999999999E-2"/>
    <n v="0.45"/>
    <n v="0.19400000000000001"/>
    <n v="0"/>
    <n v="1"/>
    <n v="1"/>
  </r>
  <r>
    <x v="527"/>
    <x v="23"/>
    <x v="0"/>
    <x v="0"/>
    <x v="0"/>
    <n v="3"/>
    <x v="0"/>
    <n v="1"/>
    <n v="1"/>
    <x v="21"/>
    <n v="3.0300000000000001E-2"/>
    <n v="0.45"/>
    <n v="0.25369999999999998"/>
    <n v="0"/>
    <n v="1"/>
    <n v="1"/>
  </r>
  <r>
    <x v="528"/>
    <x v="23"/>
    <x v="0"/>
    <x v="0"/>
    <x v="0"/>
    <n v="4"/>
    <x v="0"/>
    <n v="1"/>
    <n v="1"/>
    <x v="22"/>
    <n v="6.0600000000000001E-2"/>
    <n v="0.48"/>
    <n v="0.1343"/>
    <n v="0"/>
    <n v="1"/>
    <n v="1"/>
  </r>
  <r>
    <x v="529"/>
    <x v="23"/>
    <x v="0"/>
    <x v="0"/>
    <x v="0"/>
    <n v="5"/>
    <x v="0"/>
    <n v="1"/>
    <n v="1"/>
    <x v="22"/>
    <n v="6.0600000000000001E-2"/>
    <n v="0.48"/>
    <n v="0.1343"/>
    <n v="0"/>
    <n v="5"/>
    <n v="5"/>
  </r>
  <r>
    <x v="530"/>
    <x v="23"/>
    <x v="0"/>
    <x v="0"/>
    <x v="0"/>
    <n v="6"/>
    <x v="0"/>
    <n v="1"/>
    <n v="1"/>
    <x v="22"/>
    <n v="7.5800000000000006E-2"/>
    <n v="0.48"/>
    <n v="8.9599999999999999E-2"/>
    <n v="0"/>
    <n v="15"/>
    <n v="15"/>
  </r>
  <r>
    <x v="531"/>
    <x v="23"/>
    <x v="0"/>
    <x v="0"/>
    <x v="0"/>
    <n v="7"/>
    <x v="0"/>
    <n v="1"/>
    <n v="1"/>
    <x v="22"/>
    <n v="0.1212"/>
    <n v="0.48"/>
    <n v="0"/>
    <n v="5"/>
    <n v="79"/>
    <n v="84"/>
  </r>
  <r>
    <x v="532"/>
    <x v="23"/>
    <x v="0"/>
    <x v="0"/>
    <x v="0"/>
    <n v="8"/>
    <x v="0"/>
    <n v="1"/>
    <n v="1"/>
    <x v="21"/>
    <n v="0.13639999999999999"/>
    <n v="0.49"/>
    <n v="0"/>
    <n v="6"/>
    <n v="171"/>
    <n v="177"/>
  </r>
  <r>
    <x v="533"/>
    <x v="23"/>
    <x v="0"/>
    <x v="0"/>
    <x v="0"/>
    <n v="9"/>
    <x v="0"/>
    <n v="1"/>
    <n v="1"/>
    <x v="20"/>
    <n v="0.1515"/>
    <n v="0.41"/>
    <n v="0"/>
    <n v="4"/>
    <n v="98"/>
    <n v="102"/>
  </r>
  <r>
    <x v="534"/>
    <x v="23"/>
    <x v="0"/>
    <x v="0"/>
    <x v="0"/>
    <n v="10"/>
    <x v="0"/>
    <n v="1"/>
    <n v="1"/>
    <x v="18"/>
    <n v="0.13639999999999999"/>
    <n v="0.42"/>
    <n v="0"/>
    <n v="6"/>
    <n v="34"/>
    <n v="40"/>
  </r>
  <r>
    <x v="535"/>
    <x v="23"/>
    <x v="0"/>
    <x v="0"/>
    <x v="0"/>
    <n v="11"/>
    <x v="0"/>
    <n v="1"/>
    <n v="1"/>
    <x v="18"/>
    <n v="0.1212"/>
    <n v="0.46"/>
    <n v="0.1343"/>
    <n v="3"/>
    <n v="43"/>
    <n v="46"/>
  </r>
  <r>
    <x v="536"/>
    <x v="23"/>
    <x v="0"/>
    <x v="0"/>
    <x v="0"/>
    <n v="12"/>
    <x v="0"/>
    <n v="1"/>
    <n v="2"/>
    <x v="16"/>
    <n v="0.13639999999999999"/>
    <n v="0.42"/>
    <n v="0.19400000000000001"/>
    <n v="11"/>
    <n v="52"/>
    <n v="63"/>
  </r>
  <r>
    <x v="537"/>
    <x v="23"/>
    <x v="0"/>
    <x v="0"/>
    <x v="0"/>
    <n v="13"/>
    <x v="0"/>
    <n v="1"/>
    <n v="2"/>
    <x v="14"/>
    <n v="0.13639999999999999"/>
    <n v="0.43"/>
    <n v="0.22389999999999999"/>
    <n v="6"/>
    <n v="54"/>
    <n v="60"/>
  </r>
  <r>
    <x v="538"/>
    <x v="23"/>
    <x v="0"/>
    <x v="0"/>
    <x v="0"/>
    <n v="14"/>
    <x v="0"/>
    <n v="1"/>
    <n v="2"/>
    <x v="14"/>
    <n v="0.13639999999999999"/>
    <n v="0.46"/>
    <n v="0.22389999999999999"/>
    <n v="2"/>
    <n v="43"/>
    <n v="45"/>
  </r>
  <r>
    <x v="539"/>
    <x v="23"/>
    <x v="0"/>
    <x v="0"/>
    <x v="0"/>
    <n v="15"/>
    <x v="0"/>
    <n v="1"/>
    <n v="1"/>
    <x v="13"/>
    <n v="0.16669999999999999"/>
    <n v="0.4"/>
    <n v="0.16420000000000001"/>
    <n v="7"/>
    <n v="50"/>
    <n v="57"/>
  </r>
  <r>
    <x v="540"/>
    <x v="23"/>
    <x v="0"/>
    <x v="0"/>
    <x v="0"/>
    <n v="16"/>
    <x v="0"/>
    <n v="1"/>
    <n v="1"/>
    <x v="13"/>
    <n v="0.1515"/>
    <n v="0.47"/>
    <n v="0.25369999999999998"/>
    <n v="4"/>
    <n v="66"/>
    <n v="70"/>
  </r>
  <r>
    <x v="541"/>
    <x v="23"/>
    <x v="0"/>
    <x v="0"/>
    <x v="0"/>
    <n v="17"/>
    <x v="0"/>
    <n v="1"/>
    <n v="1"/>
    <x v="14"/>
    <n v="0.1212"/>
    <n v="0.5"/>
    <n v="0.25369999999999998"/>
    <n v="6"/>
    <n v="178"/>
    <n v="184"/>
  </r>
  <r>
    <x v="542"/>
    <x v="23"/>
    <x v="0"/>
    <x v="0"/>
    <x v="0"/>
    <n v="18"/>
    <x v="0"/>
    <n v="1"/>
    <n v="1"/>
    <x v="14"/>
    <n v="0.13639999999999999"/>
    <n v="0.59"/>
    <n v="0.19400000000000001"/>
    <n v="8"/>
    <n v="145"/>
    <n v="153"/>
  </r>
  <r>
    <x v="543"/>
    <x v="23"/>
    <x v="0"/>
    <x v="0"/>
    <x v="0"/>
    <n v="19"/>
    <x v="0"/>
    <n v="1"/>
    <n v="1"/>
    <x v="14"/>
    <n v="0.1515"/>
    <n v="0.54"/>
    <n v="0.16420000000000001"/>
    <n v="5"/>
    <n v="101"/>
    <n v="106"/>
  </r>
  <r>
    <x v="544"/>
    <x v="23"/>
    <x v="0"/>
    <x v="0"/>
    <x v="0"/>
    <n v="20"/>
    <x v="0"/>
    <n v="1"/>
    <n v="1"/>
    <x v="14"/>
    <n v="0.13639999999999999"/>
    <n v="0.59"/>
    <n v="0.19400000000000001"/>
    <n v="1"/>
    <n v="80"/>
    <n v="81"/>
  </r>
  <r>
    <x v="545"/>
    <x v="23"/>
    <x v="0"/>
    <x v="0"/>
    <x v="0"/>
    <n v="21"/>
    <x v="0"/>
    <n v="1"/>
    <n v="1"/>
    <x v="14"/>
    <n v="0.1515"/>
    <n v="0.63"/>
    <n v="0.16420000000000001"/>
    <n v="6"/>
    <n v="53"/>
    <n v="59"/>
  </r>
  <r>
    <x v="546"/>
    <x v="23"/>
    <x v="0"/>
    <x v="0"/>
    <x v="0"/>
    <n v="22"/>
    <x v="0"/>
    <n v="1"/>
    <n v="2"/>
    <x v="14"/>
    <n v="0.13639999999999999"/>
    <n v="0.63"/>
    <n v="0.22389999999999999"/>
    <n v="3"/>
    <n v="32"/>
    <n v="35"/>
  </r>
  <r>
    <x v="547"/>
    <x v="23"/>
    <x v="0"/>
    <x v="0"/>
    <x v="0"/>
    <n v="23"/>
    <x v="0"/>
    <n v="1"/>
    <n v="2"/>
    <x v="13"/>
    <n v="0.1515"/>
    <n v="0.64"/>
    <n v="0.25369999999999998"/>
    <n v="3"/>
    <n v="21"/>
    <n v="24"/>
  </r>
  <r>
    <x v="548"/>
    <x v="24"/>
    <x v="0"/>
    <x v="0"/>
    <x v="0"/>
    <n v="0"/>
    <x v="0"/>
    <n v="2"/>
    <n v="2"/>
    <x v="13"/>
    <n v="0.13639999999999999"/>
    <n v="0.69"/>
    <n v="0.28360000000000002"/>
    <n v="3"/>
    <n v="6"/>
    <n v="9"/>
  </r>
  <r>
    <x v="549"/>
    <x v="24"/>
    <x v="0"/>
    <x v="0"/>
    <x v="0"/>
    <n v="1"/>
    <x v="0"/>
    <n v="2"/>
    <n v="2"/>
    <x v="13"/>
    <n v="0.16669999999999999"/>
    <n v="0.69"/>
    <n v="0.16420000000000001"/>
    <n v="0"/>
    <n v="5"/>
    <n v="5"/>
  </r>
  <r>
    <x v="550"/>
    <x v="24"/>
    <x v="0"/>
    <x v="0"/>
    <x v="0"/>
    <n v="2"/>
    <x v="0"/>
    <n v="2"/>
    <n v="1"/>
    <x v="13"/>
    <n v="0.1515"/>
    <n v="0.69"/>
    <n v="0.22389999999999999"/>
    <n v="0"/>
    <n v="2"/>
    <n v="2"/>
  </r>
  <r>
    <x v="551"/>
    <x v="24"/>
    <x v="0"/>
    <x v="0"/>
    <x v="0"/>
    <n v="4"/>
    <x v="0"/>
    <n v="2"/>
    <n v="1"/>
    <x v="14"/>
    <n v="0.16669999999999999"/>
    <n v="0.74"/>
    <n v="0.1045"/>
    <n v="0"/>
    <n v="1"/>
    <n v="1"/>
  </r>
  <r>
    <x v="552"/>
    <x v="24"/>
    <x v="0"/>
    <x v="0"/>
    <x v="0"/>
    <n v="5"/>
    <x v="0"/>
    <n v="2"/>
    <n v="1"/>
    <x v="14"/>
    <n v="0.13639999999999999"/>
    <n v="0.74"/>
    <n v="0.22389999999999999"/>
    <n v="0"/>
    <n v="9"/>
    <n v="9"/>
  </r>
  <r>
    <x v="553"/>
    <x v="24"/>
    <x v="0"/>
    <x v="0"/>
    <x v="0"/>
    <n v="6"/>
    <x v="0"/>
    <n v="2"/>
    <n v="1"/>
    <x v="13"/>
    <n v="0.18179999999999999"/>
    <n v="0.74"/>
    <n v="0.1045"/>
    <n v="1"/>
    <n v="35"/>
    <n v="36"/>
  </r>
  <r>
    <x v="554"/>
    <x v="24"/>
    <x v="0"/>
    <x v="0"/>
    <x v="0"/>
    <n v="7"/>
    <x v="0"/>
    <n v="2"/>
    <n v="1"/>
    <x v="13"/>
    <n v="0.1515"/>
    <n v="0.74"/>
    <n v="0.22389999999999999"/>
    <n v="5"/>
    <n v="103"/>
    <n v="108"/>
  </r>
  <r>
    <x v="555"/>
    <x v="24"/>
    <x v="0"/>
    <x v="0"/>
    <x v="0"/>
    <n v="8"/>
    <x v="0"/>
    <n v="2"/>
    <n v="2"/>
    <x v="13"/>
    <n v="0.18179999999999999"/>
    <n v="0.74"/>
    <n v="0.1343"/>
    <n v="5"/>
    <n v="233"/>
    <n v="238"/>
  </r>
  <r>
    <x v="556"/>
    <x v="24"/>
    <x v="0"/>
    <x v="0"/>
    <x v="0"/>
    <n v="9"/>
    <x v="0"/>
    <n v="2"/>
    <n v="2"/>
    <x v="2"/>
    <n v="0.2273"/>
    <n v="0.64"/>
    <n v="8.9599999999999999E-2"/>
    <n v="10"/>
    <n v="134"/>
    <n v="144"/>
  </r>
  <r>
    <x v="557"/>
    <x v="24"/>
    <x v="0"/>
    <x v="0"/>
    <x v="0"/>
    <n v="10"/>
    <x v="0"/>
    <n v="2"/>
    <n v="2"/>
    <x v="1"/>
    <n v="0.2424"/>
    <n v="0.6"/>
    <n v="0.1045"/>
    <n v="6"/>
    <n v="49"/>
    <n v="55"/>
  </r>
  <r>
    <x v="558"/>
    <x v="24"/>
    <x v="0"/>
    <x v="0"/>
    <x v="0"/>
    <n v="11"/>
    <x v="0"/>
    <n v="2"/>
    <n v="2"/>
    <x v="0"/>
    <n v="0.2424"/>
    <n v="0.6"/>
    <n v="0.1343"/>
    <n v="6"/>
    <n v="55"/>
    <n v="61"/>
  </r>
  <r>
    <x v="559"/>
    <x v="24"/>
    <x v="0"/>
    <x v="0"/>
    <x v="0"/>
    <n v="12"/>
    <x v="0"/>
    <n v="2"/>
    <n v="2"/>
    <x v="12"/>
    <n v="0.28789999999999999"/>
    <n v="0.56000000000000005"/>
    <n v="8.9599999999999999E-2"/>
    <n v="21"/>
    <n v="85"/>
    <n v="106"/>
  </r>
  <r>
    <x v="560"/>
    <x v="24"/>
    <x v="0"/>
    <x v="0"/>
    <x v="0"/>
    <n v="13"/>
    <x v="0"/>
    <n v="2"/>
    <n v="2"/>
    <x v="12"/>
    <n v="0.2727"/>
    <n v="0.56000000000000005"/>
    <n v="0.1343"/>
    <n v="21"/>
    <n v="72"/>
    <n v="93"/>
  </r>
  <r>
    <x v="561"/>
    <x v="24"/>
    <x v="0"/>
    <x v="0"/>
    <x v="0"/>
    <n v="14"/>
    <x v="0"/>
    <n v="2"/>
    <n v="2"/>
    <x v="11"/>
    <n v="0.33329999999999999"/>
    <n v="0.45"/>
    <n v="0"/>
    <n v="11"/>
    <n v="57"/>
    <n v="68"/>
  </r>
  <r>
    <x v="562"/>
    <x v="24"/>
    <x v="0"/>
    <x v="0"/>
    <x v="0"/>
    <n v="15"/>
    <x v="0"/>
    <n v="2"/>
    <n v="2"/>
    <x v="3"/>
    <n v="0.34849999999999998"/>
    <n v="0.42"/>
    <n v="0"/>
    <n v="21"/>
    <n v="63"/>
    <n v="84"/>
  </r>
  <r>
    <x v="563"/>
    <x v="24"/>
    <x v="0"/>
    <x v="0"/>
    <x v="0"/>
    <n v="16"/>
    <x v="0"/>
    <n v="2"/>
    <n v="2"/>
    <x v="3"/>
    <n v="0.34849999999999998"/>
    <n v="0.42"/>
    <n v="0"/>
    <n v="14"/>
    <n v="102"/>
    <n v="116"/>
  </r>
  <r>
    <x v="564"/>
    <x v="24"/>
    <x v="0"/>
    <x v="0"/>
    <x v="0"/>
    <n v="17"/>
    <x v="0"/>
    <n v="2"/>
    <n v="1"/>
    <x v="11"/>
    <n v="0.33329999999999999"/>
    <n v="0.45"/>
    <n v="0"/>
    <n v="14"/>
    <n v="208"/>
    <n v="222"/>
  </r>
  <r>
    <x v="565"/>
    <x v="24"/>
    <x v="0"/>
    <x v="0"/>
    <x v="0"/>
    <n v="18"/>
    <x v="0"/>
    <n v="2"/>
    <n v="2"/>
    <x v="11"/>
    <n v="0.31819999999999998"/>
    <n v="0.49"/>
    <n v="8.9599999999999999E-2"/>
    <n v="7"/>
    <n v="218"/>
    <n v="225"/>
  </r>
  <r>
    <x v="566"/>
    <x v="24"/>
    <x v="0"/>
    <x v="0"/>
    <x v="0"/>
    <n v="19"/>
    <x v="0"/>
    <n v="2"/>
    <n v="2"/>
    <x v="12"/>
    <n v="0.2576"/>
    <n v="0.65"/>
    <n v="0.16420000000000001"/>
    <n v="13"/>
    <n v="133"/>
    <n v="146"/>
  </r>
  <r>
    <x v="567"/>
    <x v="24"/>
    <x v="0"/>
    <x v="0"/>
    <x v="0"/>
    <n v="20"/>
    <x v="0"/>
    <n v="2"/>
    <n v="1"/>
    <x v="0"/>
    <n v="0.2273"/>
    <n v="0.65"/>
    <n v="0.19400000000000001"/>
    <n v="16"/>
    <n v="103"/>
    <n v="119"/>
  </r>
  <r>
    <x v="568"/>
    <x v="24"/>
    <x v="0"/>
    <x v="0"/>
    <x v="0"/>
    <n v="21"/>
    <x v="0"/>
    <n v="2"/>
    <n v="1"/>
    <x v="0"/>
    <n v="0.2273"/>
    <n v="0.65"/>
    <n v="0.19400000000000001"/>
    <n v="5"/>
    <n v="40"/>
    <n v="45"/>
  </r>
  <r>
    <x v="569"/>
    <x v="24"/>
    <x v="0"/>
    <x v="0"/>
    <x v="0"/>
    <n v="22"/>
    <x v="0"/>
    <n v="2"/>
    <n v="1"/>
    <x v="1"/>
    <n v="0.2273"/>
    <n v="0.64"/>
    <n v="0.16420000000000001"/>
    <n v="4"/>
    <n v="49"/>
    <n v="53"/>
  </r>
  <r>
    <x v="570"/>
    <x v="24"/>
    <x v="0"/>
    <x v="0"/>
    <x v="0"/>
    <n v="23"/>
    <x v="0"/>
    <n v="2"/>
    <n v="2"/>
    <x v="1"/>
    <n v="0.2273"/>
    <n v="0.64"/>
    <n v="0.16420000000000001"/>
    <n v="3"/>
    <n v="37"/>
    <n v="40"/>
  </r>
  <r>
    <x v="571"/>
    <x v="25"/>
    <x v="0"/>
    <x v="0"/>
    <x v="0"/>
    <n v="0"/>
    <x v="0"/>
    <n v="3"/>
    <n v="2"/>
    <x v="1"/>
    <n v="0.2273"/>
    <n v="0.69"/>
    <n v="0.1343"/>
    <n v="3"/>
    <n v="14"/>
    <n v="17"/>
  </r>
  <r>
    <x v="572"/>
    <x v="25"/>
    <x v="0"/>
    <x v="0"/>
    <x v="0"/>
    <n v="1"/>
    <x v="0"/>
    <n v="3"/>
    <n v="2"/>
    <x v="0"/>
    <n v="0.2424"/>
    <n v="0.65"/>
    <n v="0.1343"/>
    <n v="0"/>
    <n v="5"/>
    <n v="5"/>
  </r>
  <r>
    <x v="573"/>
    <x v="25"/>
    <x v="0"/>
    <x v="0"/>
    <x v="0"/>
    <n v="2"/>
    <x v="0"/>
    <n v="3"/>
    <n v="3"/>
    <x v="1"/>
    <n v="0.2273"/>
    <n v="0.69"/>
    <n v="0.19400000000000001"/>
    <n v="3"/>
    <n v="7"/>
    <n v="10"/>
  </r>
  <r>
    <x v="574"/>
    <x v="25"/>
    <x v="0"/>
    <x v="0"/>
    <x v="0"/>
    <n v="5"/>
    <x v="0"/>
    <n v="3"/>
    <n v="3"/>
    <x v="2"/>
    <n v="0.18179999999999999"/>
    <n v="0.86"/>
    <n v="0.28360000000000002"/>
    <n v="0"/>
    <n v="1"/>
    <n v="1"/>
  </r>
  <r>
    <x v="575"/>
    <x v="25"/>
    <x v="0"/>
    <x v="0"/>
    <x v="0"/>
    <n v="6"/>
    <x v="0"/>
    <n v="3"/>
    <n v="3"/>
    <x v="2"/>
    <n v="0.18179999999999999"/>
    <n v="0.86"/>
    <n v="0.28360000000000002"/>
    <n v="0"/>
    <n v="8"/>
    <n v="8"/>
  </r>
  <r>
    <x v="576"/>
    <x v="25"/>
    <x v="0"/>
    <x v="0"/>
    <x v="0"/>
    <n v="7"/>
    <x v="0"/>
    <n v="3"/>
    <n v="3"/>
    <x v="1"/>
    <n v="0.21210000000000001"/>
    <n v="0.87"/>
    <n v="0.29849999999999999"/>
    <n v="1"/>
    <n v="29"/>
    <n v="30"/>
  </r>
  <r>
    <x v="577"/>
    <x v="25"/>
    <x v="0"/>
    <x v="0"/>
    <x v="0"/>
    <n v="8"/>
    <x v="0"/>
    <n v="3"/>
    <n v="3"/>
    <x v="1"/>
    <n v="0.21210000000000001"/>
    <n v="0.87"/>
    <n v="0.29849999999999999"/>
    <n v="3"/>
    <n v="69"/>
    <n v="72"/>
  </r>
  <r>
    <x v="578"/>
    <x v="25"/>
    <x v="0"/>
    <x v="0"/>
    <x v="0"/>
    <n v="9"/>
    <x v="0"/>
    <n v="3"/>
    <n v="3"/>
    <x v="1"/>
    <n v="0.21210000000000001"/>
    <n v="0.87"/>
    <n v="0.29849999999999999"/>
    <n v="3"/>
    <n v="55"/>
    <n v="58"/>
  </r>
  <r>
    <x v="579"/>
    <x v="25"/>
    <x v="0"/>
    <x v="0"/>
    <x v="0"/>
    <n v="10"/>
    <x v="0"/>
    <n v="3"/>
    <n v="3"/>
    <x v="1"/>
    <n v="0.21210000000000001"/>
    <n v="0.93"/>
    <n v="0.28360000000000002"/>
    <n v="2"/>
    <n v="26"/>
    <n v="28"/>
  </r>
  <r>
    <x v="580"/>
    <x v="25"/>
    <x v="0"/>
    <x v="0"/>
    <x v="0"/>
    <n v="11"/>
    <x v="0"/>
    <n v="3"/>
    <n v="3"/>
    <x v="1"/>
    <n v="0.19700000000000001"/>
    <n v="0.93"/>
    <n v="0.32840000000000003"/>
    <n v="6"/>
    <n v="35"/>
    <n v="41"/>
  </r>
  <r>
    <x v="581"/>
    <x v="25"/>
    <x v="0"/>
    <x v="0"/>
    <x v="0"/>
    <n v="12"/>
    <x v="0"/>
    <n v="3"/>
    <n v="3"/>
    <x v="1"/>
    <n v="0.19700000000000001"/>
    <n v="0.93"/>
    <n v="0.32840000000000003"/>
    <n v="7"/>
    <n v="41"/>
    <n v="48"/>
  </r>
  <r>
    <x v="582"/>
    <x v="25"/>
    <x v="0"/>
    <x v="0"/>
    <x v="0"/>
    <n v="13"/>
    <x v="0"/>
    <n v="3"/>
    <n v="3"/>
    <x v="1"/>
    <n v="0.19700000000000001"/>
    <n v="0.93"/>
    <n v="0.32840000000000003"/>
    <n v="4"/>
    <n v="43"/>
    <n v="47"/>
  </r>
  <r>
    <x v="583"/>
    <x v="25"/>
    <x v="0"/>
    <x v="0"/>
    <x v="0"/>
    <n v="14"/>
    <x v="0"/>
    <n v="3"/>
    <n v="3"/>
    <x v="1"/>
    <n v="0.19700000000000001"/>
    <n v="0.93"/>
    <n v="0.35820000000000002"/>
    <n v="0"/>
    <n v="36"/>
    <n v="36"/>
  </r>
  <r>
    <x v="584"/>
    <x v="25"/>
    <x v="0"/>
    <x v="0"/>
    <x v="0"/>
    <n v="15"/>
    <x v="0"/>
    <n v="3"/>
    <n v="3"/>
    <x v="1"/>
    <n v="0.18179999999999999"/>
    <n v="0.93"/>
    <n v="0.4627"/>
    <n v="1"/>
    <n v="42"/>
    <n v="43"/>
  </r>
  <r>
    <x v="585"/>
    <x v="25"/>
    <x v="0"/>
    <x v="0"/>
    <x v="0"/>
    <n v="16"/>
    <x v="0"/>
    <n v="3"/>
    <n v="4"/>
    <x v="1"/>
    <n v="0.19700000000000001"/>
    <n v="0.93"/>
    <n v="0.32840000000000003"/>
    <n v="1"/>
    <n v="35"/>
    <n v="36"/>
  </r>
  <r>
    <x v="586"/>
    <x v="25"/>
    <x v="0"/>
    <x v="0"/>
    <x v="0"/>
    <n v="17"/>
    <x v="0"/>
    <n v="3"/>
    <n v="3"/>
    <x v="2"/>
    <n v="0.18179999999999999"/>
    <n v="0.93"/>
    <n v="0.35820000000000002"/>
    <n v="0"/>
    <n v="26"/>
    <n v="26"/>
  </r>
  <r>
    <x v="587"/>
    <x v="26"/>
    <x v="0"/>
    <x v="0"/>
    <x v="0"/>
    <n v="16"/>
    <x v="0"/>
    <n v="4"/>
    <n v="1"/>
    <x v="1"/>
    <n v="0.2273"/>
    <n v="0.55000000000000004"/>
    <n v="0.19400000000000001"/>
    <n v="1"/>
    <n v="23"/>
    <n v="24"/>
  </r>
  <r>
    <x v="588"/>
    <x v="26"/>
    <x v="0"/>
    <x v="0"/>
    <x v="0"/>
    <n v="17"/>
    <x v="0"/>
    <n v="4"/>
    <n v="1"/>
    <x v="1"/>
    <n v="0.2424"/>
    <n v="0.55000000000000004"/>
    <n v="0.1045"/>
    <n v="2"/>
    <n v="82"/>
    <n v="84"/>
  </r>
  <r>
    <x v="589"/>
    <x v="26"/>
    <x v="0"/>
    <x v="0"/>
    <x v="0"/>
    <n v="18"/>
    <x v="0"/>
    <n v="4"/>
    <n v="1"/>
    <x v="2"/>
    <n v="0.2273"/>
    <n v="0.69"/>
    <n v="8.9599999999999999E-2"/>
    <n v="3"/>
    <n v="101"/>
    <n v="104"/>
  </r>
  <r>
    <x v="590"/>
    <x v="26"/>
    <x v="0"/>
    <x v="0"/>
    <x v="0"/>
    <n v="19"/>
    <x v="0"/>
    <n v="4"/>
    <n v="1"/>
    <x v="2"/>
    <n v="0.2273"/>
    <n v="0.69"/>
    <n v="8.9599999999999999E-2"/>
    <n v="3"/>
    <n v="76"/>
    <n v="79"/>
  </r>
  <r>
    <x v="591"/>
    <x v="26"/>
    <x v="0"/>
    <x v="0"/>
    <x v="0"/>
    <n v="20"/>
    <x v="0"/>
    <n v="4"/>
    <n v="1"/>
    <x v="15"/>
    <n v="0.21210000000000001"/>
    <n v="0.74"/>
    <n v="8.9599999999999999E-2"/>
    <n v="4"/>
    <n v="55"/>
    <n v="59"/>
  </r>
  <r>
    <x v="592"/>
    <x v="26"/>
    <x v="0"/>
    <x v="0"/>
    <x v="0"/>
    <n v="21"/>
    <x v="0"/>
    <n v="4"/>
    <n v="1"/>
    <x v="15"/>
    <n v="0.21210000000000001"/>
    <n v="0.74"/>
    <n v="8.9599999999999999E-2"/>
    <n v="2"/>
    <n v="36"/>
    <n v="38"/>
  </r>
  <r>
    <x v="593"/>
    <x v="26"/>
    <x v="0"/>
    <x v="0"/>
    <x v="0"/>
    <n v="22"/>
    <x v="0"/>
    <n v="4"/>
    <n v="1"/>
    <x v="15"/>
    <n v="0.21210000000000001"/>
    <n v="0.74"/>
    <n v="8.9599999999999999E-2"/>
    <n v="0"/>
    <n v="27"/>
    <n v="27"/>
  </r>
  <r>
    <x v="594"/>
    <x v="26"/>
    <x v="0"/>
    <x v="0"/>
    <x v="0"/>
    <n v="23"/>
    <x v="0"/>
    <n v="4"/>
    <n v="1"/>
    <x v="15"/>
    <n v="0.19700000000000001"/>
    <n v="0.8"/>
    <n v="0.16420000000000001"/>
    <n v="0"/>
    <n v="16"/>
    <n v="16"/>
  </r>
  <r>
    <x v="595"/>
    <x v="27"/>
    <x v="0"/>
    <x v="0"/>
    <x v="0"/>
    <n v="0"/>
    <x v="0"/>
    <n v="5"/>
    <n v="2"/>
    <x v="2"/>
    <n v="0.21210000000000001"/>
    <n v="0.75"/>
    <n v="0.1343"/>
    <n v="0"/>
    <n v="9"/>
    <n v="9"/>
  </r>
  <r>
    <x v="596"/>
    <x v="27"/>
    <x v="0"/>
    <x v="0"/>
    <x v="0"/>
    <n v="1"/>
    <x v="0"/>
    <n v="5"/>
    <n v="2"/>
    <x v="2"/>
    <n v="0.21210000000000001"/>
    <n v="0.75"/>
    <n v="0.1343"/>
    <n v="1"/>
    <n v="2"/>
    <n v="3"/>
  </r>
  <r>
    <x v="597"/>
    <x v="27"/>
    <x v="0"/>
    <x v="0"/>
    <x v="0"/>
    <n v="2"/>
    <x v="0"/>
    <n v="5"/>
    <n v="2"/>
    <x v="2"/>
    <n v="0.21210000000000001"/>
    <n v="0.75"/>
    <n v="0.16420000000000001"/>
    <n v="0"/>
    <n v="2"/>
    <n v="2"/>
  </r>
  <r>
    <x v="598"/>
    <x v="27"/>
    <x v="0"/>
    <x v="0"/>
    <x v="0"/>
    <n v="3"/>
    <x v="0"/>
    <n v="5"/>
    <n v="2"/>
    <x v="2"/>
    <n v="0.2273"/>
    <n v="0.75"/>
    <n v="0.1045"/>
    <n v="1"/>
    <n v="0"/>
    <n v="1"/>
  </r>
  <r>
    <x v="599"/>
    <x v="27"/>
    <x v="0"/>
    <x v="0"/>
    <x v="0"/>
    <n v="5"/>
    <x v="0"/>
    <n v="5"/>
    <n v="2"/>
    <x v="15"/>
    <n v="0.21210000000000001"/>
    <n v="0.8"/>
    <n v="0.1045"/>
    <n v="0"/>
    <n v="4"/>
    <n v="4"/>
  </r>
  <r>
    <x v="600"/>
    <x v="27"/>
    <x v="0"/>
    <x v="0"/>
    <x v="0"/>
    <n v="6"/>
    <x v="0"/>
    <n v="5"/>
    <n v="2"/>
    <x v="15"/>
    <n v="0.19700000000000001"/>
    <n v="0.8"/>
    <n v="0.1343"/>
    <n v="0"/>
    <n v="16"/>
    <n v="16"/>
  </r>
  <r>
    <x v="601"/>
    <x v="27"/>
    <x v="0"/>
    <x v="0"/>
    <x v="0"/>
    <n v="7"/>
    <x v="0"/>
    <n v="5"/>
    <n v="2"/>
    <x v="13"/>
    <n v="0.19700000000000001"/>
    <n v="0.86"/>
    <n v="8.9599999999999999E-2"/>
    <n v="2"/>
    <n v="58"/>
    <n v="60"/>
  </r>
  <r>
    <x v="602"/>
    <x v="27"/>
    <x v="0"/>
    <x v="0"/>
    <x v="0"/>
    <n v="8"/>
    <x v="0"/>
    <n v="5"/>
    <n v="2"/>
    <x v="13"/>
    <n v="0.19700000000000001"/>
    <n v="0.86"/>
    <n v="8.9599999999999999E-2"/>
    <n v="2"/>
    <n v="155"/>
    <n v="157"/>
  </r>
  <r>
    <x v="603"/>
    <x v="27"/>
    <x v="0"/>
    <x v="0"/>
    <x v="0"/>
    <n v="9"/>
    <x v="0"/>
    <n v="5"/>
    <n v="3"/>
    <x v="15"/>
    <n v="0.21210000000000001"/>
    <n v="0.86"/>
    <n v="8.9599999999999999E-2"/>
    <n v="6"/>
    <n v="95"/>
    <n v="101"/>
  </r>
  <r>
    <x v="604"/>
    <x v="27"/>
    <x v="0"/>
    <x v="0"/>
    <x v="0"/>
    <n v="10"/>
    <x v="0"/>
    <n v="5"/>
    <n v="3"/>
    <x v="15"/>
    <n v="0.21210000000000001"/>
    <n v="0.86"/>
    <n v="0.1045"/>
    <n v="0"/>
    <n v="49"/>
    <n v="49"/>
  </r>
  <r>
    <x v="605"/>
    <x v="27"/>
    <x v="0"/>
    <x v="0"/>
    <x v="0"/>
    <n v="11"/>
    <x v="0"/>
    <n v="5"/>
    <n v="3"/>
    <x v="15"/>
    <n v="0.21210000000000001"/>
    <n v="0.93"/>
    <n v="0.1045"/>
    <n v="0"/>
    <n v="30"/>
    <n v="30"/>
  </r>
  <r>
    <x v="606"/>
    <x v="27"/>
    <x v="0"/>
    <x v="0"/>
    <x v="0"/>
    <n v="12"/>
    <x v="0"/>
    <n v="5"/>
    <n v="3"/>
    <x v="15"/>
    <n v="0.21210000000000001"/>
    <n v="0.93"/>
    <n v="0.1045"/>
    <n v="1"/>
    <n v="28"/>
    <n v="29"/>
  </r>
  <r>
    <x v="607"/>
    <x v="27"/>
    <x v="0"/>
    <x v="0"/>
    <x v="0"/>
    <n v="13"/>
    <x v="0"/>
    <n v="5"/>
    <n v="3"/>
    <x v="15"/>
    <n v="0.21210000000000001"/>
    <n v="0.93"/>
    <n v="0.1045"/>
    <n v="0"/>
    <n v="31"/>
    <n v="31"/>
  </r>
  <r>
    <x v="608"/>
    <x v="27"/>
    <x v="0"/>
    <x v="0"/>
    <x v="0"/>
    <n v="14"/>
    <x v="0"/>
    <n v="5"/>
    <n v="3"/>
    <x v="1"/>
    <n v="0.2727"/>
    <n v="0.8"/>
    <n v="0"/>
    <n v="2"/>
    <n v="36"/>
    <n v="38"/>
  </r>
  <r>
    <x v="609"/>
    <x v="27"/>
    <x v="0"/>
    <x v="0"/>
    <x v="0"/>
    <n v="15"/>
    <x v="0"/>
    <n v="5"/>
    <n v="2"/>
    <x v="2"/>
    <n v="0.2576"/>
    <n v="0.86"/>
    <n v="0"/>
    <n v="1"/>
    <n v="40"/>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n v="0.28789999999999999"/>
    <n v="0.81"/>
    <n v="0"/>
    <x v="0"/>
    <x v="0"/>
    <x v="0"/>
  </r>
  <r>
    <x v="1"/>
    <x v="0"/>
    <x v="0"/>
    <x v="0"/>
    <x v="0"/>
    <x v="1"/>
    <x v="0"/>
    <x v="0"/>
    <x v="0"/>
    <x v="1"/>
    <n v="0.2727"/>
    <n v="0.8"/>
    <n v="0"/>
    <x v="1"/>
    <x v="1"/>
    <x v="1"/>
  </r>
  <r>
    <x v="2"/>
    <x v="0"/>
    <x v="0"/>
    <x v="0"/>
    <x v="0"/>
    <x v="2"/>
    <x v="0"/>
    <x v="0"/>
    <x v="0"/>
    <x v="1"/>
    <n v="0.2727"/>
    <n v="0.8"/>
    <n v="0"/>
    <x v="2"/>
    <x v="2"/>
    <x v="2"/>
  </r>
  <r>
    <x v="3"/>
    <x v="0"/>
    <x v="0"/>
    <x v="0"/>
    <x v="0"/>
    <x v="3"/>
    <x v="0"/>
    <x v="0"/>
    <x v="0"/>
    <x v="0"/>
    <n v="0.28789999999999999"/>
    <n v="0.75"/>
    <n v="0"/>
    <x v="0"/>
    <x v="3"/>
    <x v="3"/>
  </r>
  <r>
    <x v="4"/>
    <x v="0"/>
    <x v="0"/>
    <x v="0"/>
    <x v="0"/>
    <x v="4"/>
    <x v="0"/>
    <x v="0"/>
    <x v="0"/>
    <x v="0"/>
    <n v="0.28789999999999999"/>
    <n v="0.75"/>
    <n v="0"/>
    <x v="3"/>
    <x v="4"/>
    <x v="4"/>
  </r>
  <r>
    <x v="5"/>
    <x v="0"/>
    <x v="0"/>
    <x v="0"/>
    <x v="0"/>
    <x v="5"/>
    <x v="0"/>
    <x v="0"/>
    <x v="1"/>
    <x v="0"/>
    <n v="0.2576"/>
    <n v="0.75"/>
    <n v="8.9599999999999999E-2"/>
    <x v="3"/>
    <x v="4"/>
    <x v="4"/>
  </r>
  <r>
    <x v="6"/>
    <x v="0"/>
    <x v="0"/>
    <x v="0"/>
    <x v="0"/>
    <x v="6"/>
    <x v="0"/>
    <x v="0"/>
    <x v="0"/>
    <x v="1"/>
    <n v="0.2727"/>
    <n v="0.8"/>
    <n v="0"/>
    <x v="4"/>
    <x v="5"/>
    <x v="5"/>
  </r>
  <r>
    <x v="7"/>
    <x v="0"/>
    <x v="0"/>
    <x v="0"/>
    <x v="0"/>
    <x v="7"/>
    <x v="0"/>
    <x v="0"/>
    <x v="0"/>
    <x v="2"/>
    <n v="0.2576"/>
    <n v="0.86"/>
    <n v="0"/>
    <x v="5"/>
    <x v="6"/>
    <x v="6"/>
  </r>
  <r>
    <x v="8"/>
    <x v="0"/>
    <x v="0"/>
    <x v="0"/>
    <x v="0"/>
    <x v="8"/>
    <x v="0"/>
    <x v="0"/>
    <x v="0"/>
    <x v="0"/>
    <n v="0"/>
    <n v="0.75"/>
    <n v="0"/>
    <x v="5"/>
    <x v="7"/>
    <x v="7"/>
  </r>
  <r>
    <x v="9"/>
    <x v="0"/>
    <x v="0"/>
    <x v="0"/>
    <x v="0"/>
    <x v="9"/>
    <x v="0"/>
    <x v="0"/>
    <x v="0"/>
    <x v="3"/>
    <n v="0.34849999999999998"/>
    <n v="0.76"/>
    <n v="0"/>
    <x v="1"/>
    <x v="8"/>
    <x v="8"/>
  </r>
  <r>
    <x v="10"/>
    <x v="0"/>
    <x v="0"/>
    <x v="0"/>
    <x v="0"/>
    <x v="10"/>
    <x v="0"/>
    <x v="0"/>
    <x v="0"/>
    <x v="4"/>
    <n v="0.39389999999999997"/>
    <n v="0.76"/>
    <n v="0.25369999999999998"/>
    <x v="6"/>
    <x v="9"/>
    <x v="9"/>
  </r>
  <r>
    <x v="11"/>
    <x v="0"/>
    <x v="0"/>
    <x v="0"/>
    <x v="0"/>
    <x v="11"/>
    <x v="0"/>
    <x v="0"/>
    <x v="0"/>
    <x v="5"/>
    <n v="0.33329999999999999"/>
    <n v="0.81"/>
    <n v="0.28360000000000002"/>
    <x v="7"/>
    <x v="10"/>
    <x v="10"/>
  </r>
  <r>
    <x v="12"/>
    <x v="0"/>
    <x v="0"/>
    <x v="0"/>
    <x v="0"/>
    <x v="12"/>
    <x v="0"/>
    <x v="0"/>
    <x v="0"/>
    <x v="6"/>
    <n v="0.42420000000000002"/>
    <n v="0.77"/>
    <n v="0.28360000000000002"/>
    <x v="8"/>
    <x v="11"/>
    <x v="11"/>
  </r>
  <r>
    <x v="13"/>
    <x v="0"/>
    <x v="0"/>
    <x v="0"/>
    <x v="0"/>
    <x v="13"/>
    <x v="0"/>
    <x v="0"/>
    <x v="1"/>
    <x v="7"/>
    <n v="0.45450000000000002"/>
    <n v="0.72"/>
    <n v="0.29849999999999999"/>
    <x v="9"/>
    <x v="12"/>
    <x v="12"/>
  </r>
  <r>
    <x v="14"/>
    <x v="0"/>
    <x v="0"/>
    <x v="0"/>
    <x v="0"/>
    <x v="14"/>
    <x v="0"/>
    <x v="0"/>
    <x v="1"/>
    <x v="7"/>
    <n v="0.45450000000000002"/>
    <n v="0.72"/>
    <n v="0.28360000000000002"/>
    <x v="10"/>
    <x v="13"/>
    <x v="13"/>
  </r>
  <r>
    <x v="15"/>
    <x v="0"/>
    <x v="0"/>
    <x v="0"/>
    <x v="0"/>
    <x v="15"/>
    <x v="0"/>
    <x v="0"/>
    <x v="1"/>
    <x v="8"/>
    <n v="0.43940000000000001"/>
    <n v="0.77"/>
    <n v="0.29849999999999999"/>
    <x v="11"/>
    <x v="14"/>
    <x v="14"/>
  </r>
  <r>
    <x v="16"/>
    <x v="0"/>
    <x v="0"/>
    <x v="0"/>
    <x v="0"/>
    <x v="16"/>
    <x v="0"/>
    <x v="0"/>
    <x v="1"/>
    <x v="6"/>
    <n v="0.42420000000000002"/>
    <n v="0.82"/>
    <n v="0.29849999999999999"/>
    <x v="12"/>
    <x v="15"/>
    <x v="15"/>
  </r>
  <r>
    <x v="17"/>
    <x v="0"/>
    <x v="0"/>
    <x v="0"/>
    <x v="0"/>
    <x v="17"/>
    <x v="0"/>
    <x v="0"/>
    <x v="1"/>
    <x v="8"/>
    <n v="0"/>
    <n v="0.82"/>
    <n v="0.28360000000000002"/>
    <x v="13"/>
    <x v="15"/>
    <x v="16"/>
  </r>
  <r>
    <x v="18"/>
    <x v="0"/>
    <x v="0"/>
    <x v="0"/>
    <x v="0"/>
    <x v="18"/>
    <x v="0"/>
    <x v="0"/>
    <x v="2"/>
    <x v="6"/>
    <n v="0.42420000000000002"/>
    <n v="0.88"/>
    <n v="0.25369999999999998"/>
    <x v="14"/>
    <x v="16"/>
    <x v="17"/>
  </r>
  <r>
    <x v="19"/>
    <x v="0"/>
    <x v="0"/>
    <x v="0"/>
    <x v="0"/>
    <x v="19"/>
    <x v="0"/>
    <x v="0"/>
    <x v="2"/>
    <x v="6"/>
    <n v="0.42420000000000002"/>
    <n v="0.88"/>
    <n v="0.25369999999999998"/>
    <x v="15"/>
    <x v="17"/>
    <x v="18"/>
  </r>
  <r>
    <x v="20"/>
    <x v="0"/>
    <x v="0"/>
    <x v="0"/>
    <x v="0"/>
    <x v="20"/>
    <x v="0"/>
    <x v="0"/>
    <x v="1"/>
    <x v="9"/>
    <n v="0.40910000000000002"/>
    <n v="0.87"/>
    <n v="0.25369999999999998"/>
    <x v="16"/>
    <x v="18"/>
    <x v="9"/>
  </r>
  <r>
    <x v="21"/>
    <x v="0"/>
    <x v="0"/>
    <x v="0"/>
    <x v="0"/>
    <x v="21"/>
    <x v="0"/>
    <x v="0"/>
    <x v="1"/>
    <x v="9"/>
    <n v="0.40910000000000002"/>
    <n v="0.87"/>
    <n v="0.19400000000000001"/>
    <x v="0"/>
    <x v="17"/>
    <x v="19"/>
  </r>
  <r>
    <x v="22"/>
    <x v="0"/>
    <x v="0"/>
    <x v="0"/>
    <x v="0"/>
    <x v="22"/>
    <x v="0"/>
    <x v="0"/>
    <x v="1"/>
    <x v="9"/>
    <n v="0.40910000000000002"/>
    <n v="0.94"/>
    <n v="0.22389999999999999"/>
    <x v="16"/>
    <x v="19"/>
    <x v="20"/>
  </r>
  <r>
    <x v="23"/>
    <x v="0"/>
    <x v="0"/>
    <x v="0"/>
    <x v="0"/>
    <x v="23"/>
    <x v="0"/>
    <x v="0"/>
    <x v="1"/>
    <x v="7"/>
    <n v="0"/>
    <n v="0.88"/>
    <n v="0.29849999999999999"/>
    <x v="13"/>
    <x v="9"/>
    <x v="21"/>
  </r>
  <r>
    <x v="24"/>
    <x v="1"/>
    <x v="0"/>
    <x v="0"/>
    <x v="0"/>
    <x v="0"/>
    <x v="0"/>
    <x v="1"/>
    <x v="1"/>
    <x v="7"/>
    <n v="0.45450000000000002"/>
    <n v="0.88"/>
    <n v="0.29849999999999999"/>
    <x v="17"/>
    <x v="0"/>
    <x v="22"/>
  </r>
  <r>
    <x v="25"/>
    <x v="1"/>
    <x v="0"/>
    <x v="0"/>
    <x v="0"/>
    <x v="1"/>
    <x v="0"/>
    <x v="1"/>
    <x v="1"/>
    <x v="8"/>
    <n v="0.43940000000000001"/>
    <n v="0.94"/>
    <n v="0.25369999999999998"/>
    <x v="5"/>
    <x v="20"/>
    <x v="22"/>
  </r>
  <r>
    <x v="26"/>
    <x v="1"/>
    <x v="0"/>
    <x v="0"/>
    <x v="0"/>
    <x v="2"/>
    <x v="0"/>
    <x v="1"/>
    <x v="1"/>
    <x v="6"/>
    <n v="0.42420000000000002"/>
    <n v="1"/>
    <n v="0.28360000000000002"/>
    <x v="5"/>
    <x v="21"/>
    <x v="23"/>
  </r>
  <r>
    <x v="27"/>
    <x v="1"/>
    <x v="0"/>
    <x v="0"/>
    <x v="0"/>
    <x v="3"/>
    <x v="0"/>
    <x v="1"/>
    <x v="1"/>
    <x v="7"/>
    <n v="0.45450000000000002"/>
    <n v="0.94"/>
    <n v="0.19400000000000001"/>
    <x v="4"/>
    <x v="22"/>
    <x v="24"/>
  </r>
  <r>
    <x v="28"/>
    <x v="1"/>
    <x v="0"/>
    <x v="0"/>
    <x v="0"/>
    <x v="4"/>
    <x v="0"/>
    <x v="1"/>
    <x v="1"/>
    <x v="7"/>
    <n v="0"/>
    <n v="0.94"/>
    <n v="0.19400000000000001"/>
    <x v="4"/>
    <x v="4"/>
    <x v="6"/>
  </r>
  <r>
    <x v="29"/>
    <x v="1"/>
    <x v="0"/>
    <x v="0"/>
    <x v="0"/>
    <x v="6"/>
    <x v="0"/>
    <x v="1"/>
    <x v="2"/>
    <x v="6"/>
    <n v="0.42420000000000002"/>
    <n v="0.77"/>
    <n v="0.29849999999999999"/>
    <x v="3"/>
    <x v="6"/>
    <x v="5"/>
  </r>
  <r>
    <x v="30"/>
    <x v="1"/>
    <x v="0"/>
    <x v="0"/>
    <x v="0"/>
    <x v="7"/>
    <x v="0"/>
    <x v="1"/>
    <x v="1"/>
    <x v="9"/>
    <n v="0.40910000000000002"/>
    <n v="0.76"/>
    <n v="0.19400000000000001"/>
    <x v="3"/>
    <x v="4"/>
    <x v="4"/>
  </r>
  <r>
    <x v="31"/>
    <x v="1"/>
    <x v="0"/>
    <x v="0"/>
    <x v="0"/>
    <x v="8"/>
    <x v="0"/>
    <x v="1"/>
    <x v="2"/>
    <x v="9"/>
    <n v="0.40910000000000002"/>
    <n v="0.71"/>
    <n v="0.22389999999999999"/>
    <x v="3"/>
    <x v="21"/>
    <x v="7"/>
  </r>
  <r>
    <x v="32"/>
    <x v="1"/>
    <x v="0"/>
    <x v="0"/>
    <x v="0"/>
    <x v="9"/>
    <x v="0"/>
    <x v="1"/>
    <x v="1"/>
    <x v="4"/>
    <n v="0"/>
    <n v="0.76"/>
    <n v="0.22389999999999999"/>
    <x v="5"/>
    <x v="23"/>
    <x v="25"/>
  </r>
  <r>
    <x v="33"/>
    <x v="1"/>
    <x v="0"/>
    <x v="0"/>
    <x v="0"/>
    <x v="10"/>
    <x v="0"/>
    <x v="1"/>
    <x v="1"/>
    <x v="5"/>
    <n v="0.34849999999999998"/>
    <n v="0.81"/>
    <n v="0.22389999999999999"/>
    <x v="18"/>
    <x v="24"/>
    <x v="26"/>
  </r>
  <r>
    <x v="34"/>
    <x v="1"/>
    <x v="0"/>
    <x v="0"/>
    <x v="0"/>
    <x v="11"/>
    <x v="0"/>
    <x v="1"/>
    <x v="1"/>
    <x v="5"/>
    <n v="0.33329999999999999"/>
    <n v="0.71"/>
    <n v="0.25369999999999998"/>
    <x v="19"/>
    <x v="25"/>
    <x v="27"/>
  </r>
  <r>
    <x v="35"/>
    <x v="1"/>
    <x v="0"/>
    <x v="0"/>
    <x v="0"/>
    <x v="12"/>
    <x v="0"/>
    <x v="1"/>
    <x v="1"/>
    <x v="5"/>
    <n v="0.33329999999999999"/>
    <n v="0.66"/>
    <n v="0.29849999999999999"/>
    <x v="20"/>
    <x v="26"/>
    <x v="15"/>
  </r>
  <r>
    <x v="36"/>
    <x v="1"/>
    <x v="0"/>
    <x v="0"/>
    <x v="0"/>
    <x v="13"/>
    <x v="0"/>
    <x v="1"/>
    <x v="1"/>
    <x v="5"/>
    <n v="0.34849999999999998"/>
    <n v="0.66"/>
    <n v="0.1343"/>
    <x v="16"/>
    <x v="27"/>
    <x v="28"/>
  </r>
  <r>
    <x v="37"/>
    <x v="1"/>
    <x v="0"/>
    <x v="0"/>
    <x v="0"/>
    <x v="14"/>
    <x v="0"/>
    <x v="1"/>
    <x v="2"/>
    <x v="5"/>
    <n v="0"/>
    <n v="0.76"/>
    <n v="0.19400000000000001"/>
    <x v="17"/>
    <x v="11"/>
    <x v="29"/>
  </r>
  <r>
    <x v="38"/>
    <x v="1"/>
    <x v="0"/>
    <x v="0"/>
    <x v="0"/>
    <x v="15"/>
    <x v="0"/>
    <x v="1"/>
    <x v="2"/>
    <x v="10"/>
    <n v="0.33329999999999999"/>
    <n v="0.81"/>
    <n v="0.16420000000000001"/>
    <x v="21"/>
    <x v="11"/>
    <x v="30"/>
  </r>
  <r>
    <x v="39"/>
    <x v="1"/>
    <x v="0"/>
    <x v="0"/>
    <x v="0"/>
    <x v="16"/>
    <x v="0"/>
    <x v="1"/>
    <x v="2"/>
    <x v="10"/>
    <n v="0.33329999999999999"/>
    <n v="0.71"/>
    <n v="0.16420000000000001"/>
    <x v="14"/>
    <x v="28"/>
    <x v="31"/>
  </r>
  <r>
    <x v="40"/>
    <x v="1"/>
    <x v="0"/>
    <x v="0"/>
    <x v="0"/>
    <x v="17"/>
    <x v="0"/>
    <x v="1"/>
    <x v="0"/>
    <x v="10"/>
    <n v="0.33329999999999999"/>
    <n v="0.56999999999999995"/>
    <n v="0.19400000000000001"/>
    <x v="18"/>
    <x v="29"/>
    <x v="32"/>
  </r>
  <r>
    <x v="41"/>
    <x v="1"/>
    <x v="0"/>
    <x v="0"/>
    <x v="0"/>
    <x v="18"/>
    <x v="0"/>
    <x v="1"/>
    <x v="1"/>
    <x v="5"/>
    <n v="0.33329999999999999"/>
    <n v="0.46"/>
    <n v="0.32840000000000003"/>
    <x v="22"/>
    <x v="30"/>
    <x v="26"/>
  </r>
  <r>
    <x v="42"/>
    <x v="1"/>
    <x v="0"/>
    <x v="0"/>
    <x v="0"/>
    <x v="19"/>
    <x v="0"/>
    <x v="1"/>
    <x v="0"/>
    <x v="3"/>
    <n v="0.28789999999999999"/>
    <n v="0.42"/>
    <n v="0.44779999999999998"/>
    <x v="5"/>
    <x v="31"/>
    <x v="33"/>
  </r>
  <r>
    <x v="43"/>
    <x v="1"/>
    <x v="0"/>
    <x v="0"/>
    <x v="0"/>
    <x v="20"/>
    <x v="0"/>
    <x v="1"/>
    <x v="0"/>
    <x v="11"/>
    <n v="0"/>
    <n v="0.39"/>
    <n v="0.35820000000000002"/>
    <x v="2"/>
    <x v="19"/>
    <x v="34"/>
  </r>
  <r>
    <x v="44"/>
    <x v="1"/>
    <x v="0"/>
    <x v="0"/>
    <x v="0"/>
    <x v="21"/>
    <x v="0"/>
    <x v="1"/>
    <x v="0"/>
    <x v="12"/>
    <n v="0.2273"/>
    <n v="0.44"/>
    <n v="0.32840000000000003"/>
    <x v="16"/>
    <x v="32"/>
    <x v="35"/>
  </r>
  <r>
    <x v="45"/>
    <x v="1"/>
    <x v="0"/>
    <x v="0"/>
    <x v="0"/>
    <x v="22"/>
    <x v="0"/>
    <x v="1"/>
    <x v="0"/>
    <x v="0"/>
    <n v="0.21210000000000001"/>
    <n v="0.44"/>
    <n v="0.29849999999999999"/>
    <x v="3"/>
    <x v="33"/>
    <x v="23"/>
  </r>
  <r>
    <x v="46"/>
    <x v="1"/>
    <x v="0"/>
    <x v="0"/>
    <x v="0"/>
    <x v="23"/>
    <x v="0"/>
    <x v="1"/>
    <x v="0"/>
    <x v="1"/>
    <n v="0.2273"/>
    <n v="0.47"/>
    <n v="0.16420000000000001"/>
    <x v="3"/>
    <x v="21"/>
    <x v="7"/>
  </r>
  <r>
    <x v="47"/>
    <x v="2"/>
    <x v="0"/>
    <x v="0"/>
    <x v="0"/>
    <x v="0"/>
    <x v="0"/>
    <x v="2"/>
    <x v="0"/>
    <x v="1"/>
    <n v="0.19700000000000001"/>
    <n v="0.44"/>
    <n v="0.35820000000000002"/>
    <x v="3"/>
    <x v="34"/>
    <x v="36"/>
  </r>
  <r>
    <x v="48"/>
    <x v="2"/>
    <x v="0"/>
    <x v="0"/>
    <x v="0"/>
    <x v="1"/>
    <x v="0"/>
    <x v="2"/>
    <x v="0"/>
    <x v="2"/>
    <n v="0"/>
    <n v="0.44"/>
    <n v="0.41789999999999999"/>
    <x v="3"/>
    <x v="6"/>
    <x v="5"/>
  </r>
  <r>
    <x v="49"/>
    <x v="2"/>
    <x v="0"/>
    <x v="0"/>
    <x v="0"/>
    <x v="4"/>
    <x v="0"/>
    <x v="2"/>
    <x v="0"/>
    <x v="13"/>
    <n v="0.13639999999999999"/>
    <n v="0.47"/>
    <n v="0.3881"/>
    <x v="3"/>
    <x v="4"/>
    <x v="4"/>
  </r>
  <r>
    <x v="50"/>
    <x v="2"/>
    <x v="0"/>
    <x v="0"/>
    <x v="0"/>
    <x v="5"/>
    <x v="0"/>
    <x v="2"/>
    <x v="0"/>
    <x v="13"/>
    <n v="0.13639999999999999"/>
    <n v="0.47"/>
    <n v="0.28360000000000002"/>
    <x v="3"/>
    <x v="35"/>
    <x v="6"/>
  </r>
  <r>
    <x v="51"/>
    <x v="2"/>
    <x v="0"/>
    <x v="0"/>
    <x v="0"/>
    <x v="6"/>
    <x v="0"/>
    <x v="2"/>
    <x v="0"/>
    <x v="14"/>
    <n v="0.1061"/>
    <n v="0.5"/>
    <n v="0.3881"/>
    <x v="3"/>
    <x v="10"/>
    <x v="33"/>
  </r>
  <r>
    <x v="52"/>
    <x v="2"/>
    <x v="0"/>
    <x v="0"/>
    <x v="0"/>
    <x v="7"/>
    <x v="0"/>
    <x v="2"/>
    <x v="0"/>
    <x v="14"/>
    <n v="0.13639999999999999"/>
    <n v="0.5"/>
    <n v="0.19400000000000001"/>
    <x v="5"/>
    <x v="36"/>
    <x v="37"/>
  </r>
  <r>
    <x v="53"/>
    <x v="2"/>
    <x v="0"/>
    <x v="0"/>
    <x v="0"/>
    <x v="8"/>
    <x v="0"/>
    <x v="2"/>
    <x v="0"/>
    <x v="14"/>
    <n v="0.1212"/>
    <n v="0.5"/>
    <n v="0.28360000000000002"/>
    <x v="5"/>
    <x v="37"/>
    <x v="38"/>
  </r>
  <r>
    <x v="54"/>
    <x v="2"/>
    <x v="0"/>
    <x v="0"/>
    <x v="0"/>
    <x v="9"/>
    <x v="0"/>
    <x v="2"/>
    <x v="0"/>
    <x v="13"/>
    <n v="0.13639999999999999"/>
    <n v="0.43"/>
    <n v="0.3881"/>
    <x v="18"/>
    <x v="38"/>
    <x v="39"/>
  </r>
  <r>
    <x v="55"/>
    <x v="2"/>
    <x v="0"/>
    <x v="0"/>
    <x v="0"/>
    <x v="10"/>
    <x v="0"/>
    <x v="2"/>
    <x v="0"/>
    <x v="15"/>
    <n v="0.16669999999999999"/>
    <n v="0.43"/>
    <n v="0.25369999999999998"/>
    <x v="16"/>
    <x v="39"/>
    <x v="40"/>
  </r>
  <r>
    <x v="56"/>
    <x v="2"/>
    <x v="0"/>
    <x v="0"/>
    <x v="0"/>
    <x v="11"/>
    <x v="0"/>
    <x v="2"/>
    <x v="0"/>
    <x v="2"/>
    <n v="0.18179999999999999"/>
    <n v="0.4"/>
    <n v="0.32840000000000003"/>
    <x v="22"/>
    <x v="40"/>
    <x v="41"/>
  </r>
  <r>
    <x v="57"/>
    <x v="2"/>
    <x v="0"/>
    <x v="0"/>
    <x v="0"/>
    <x v="12"/>
    <x v="0"/>
    <x v="2"/>
    <x v="0"/>
    <x v="1"/>
    <n v="0.21210000000000001"/>
    <n v="0.35"/>
    <n v="0.29849999999999999"/>
    <x v="23"/>
    <x v="41"/>
    <x v="42"/>
  </r>
  <r>
    <x v="58"/>
    <x v="2"/>
    <x v="0"/>
    <x v="0"/>
    <x v="0"/>
    <x v="13"/>
    <x v="0"/>
    <x v="2"/>
    <x v="0"/>
    <x v="0"/>
    <n v="0"/>
    <n v="0.35"/>
    <n v="0.28360000000000002"/>
    <x v="1"/>
    <x v="42"/>
    <x v="42"/>
  </r>
  <r>
    <x v="59"/>
    <x v="2"/>
    <x v="0"/>
    <x v="0"/>
    <x v="0"/>
    <x v="14"/>
    <x v="0"/>
    <x v="2"/>
    <x v="0"/>
    <x v="12"/>
    <n v="0.2424"/>
    <n v="0.3"/>
    <n v="0.28360000000000002"/>
    <x v="16"/>
    <x v="43"/>
    <x v="43"/>
  </r>
  <r>
    <x v="60"/>
    <x v="2"/>
    <x v="0"/>
    <x v="0"/>
    <x v="0"/>
    <x v="15"/>
    <x v="0"/>
    <x v="2"/>
    <x v="0"/>
    <x v="12"/>
    <n v="0.2424"/>
    <n v="0.3"/>
    <n v="0.25369999999999998"/>
    <x v="24"/>
    <x v="29"/>
    <x v="44"/>
  </r>
  <r>
    <x v="61"/>
    <x v="2"/>
    <x v="0"/>
    <x v="0"/>
    <x v="0"/>
    <x v="16"/>
    <x v="0"/>
    <x v="2"/>
    <x v="0"/>
    <x v="12"/>
    <n v="0.2424"/>
    <n v="0.3"/>
    <n v="0.25369999999999998"/>
    <x v="14"/>
    <x v="28"/>
    <x v="31"/>
  </r>
  <r>
    <x v="62"/>
    <x v="2"/>
    <x v="0"/>
    <x v="0"/>
    <x v="0"/>
    <x v="17"/>
    <x v="0"/>
    <x v="2"/>
    <x v="0"/>
    <x v="0"/>
    <n v="0.2273"/>
    <n v="0.3"/>
    <n v="0.22389999999999999"/>
    <x v="16"/>
    <x v="44"/>
    <x v="45"/>
  </r>
  <r>
    <x v="63"/>
    <x v="2"/>
    <x v="0"/>
    <x v="0"/>
    <x v="0"/>
    <x v="18"/>
    <x v="0"/>
    <x v="2"/>
    <x v="0"/>
    <x v="0"/>
    <n v="0.2576"/>
    <n v="0.32"/>
    <n v="0.1045"/>
    <x v="14"/>
    <x v="45"/>
    <x v="45"/>
  </r>
  <r>
    <x v="64"/>
    <x v="2"/>
    <x v="0"/>
    <x v="0"/>
    <x v="0"/>
    <x v="19"/>
    <x v="0"/>
    <x v="2"/>
    <x v="0"/>
    <x v="2"/>
    <n v="0.2576"/>
    <n v="0.47"/>
    <n v="0"/>
    <x v="1"/>
    <x v="46"/>
    <x v="14"/>
  </r>
  <r>
    <x v="65"/>
    <x v="2"/>
    <x v="0"/>
    <x v="0"/>
    <x v="0"/>
    <x v="20"/>
    <x v="0"/>
    <x v="2"/>
    <x v="0"/>
    <x v="2"/>
    <n v="0"/>
    <n v="0.47"/>
    <n v="0.1045"/>
    <x v="0"/>
    <x v="47"/>
    <x v="46"/>
  </r>
  <r>
    <x v="66"/>
    <x v="2"/>
    <x v="0"/>
    <x v="0"/>
    <x v="0"/>
    <x v="21"/>
    <x v="0"/>
    <x v="2"/>
    <x v="0"/>
    <x v="15"/>
    <n v="0.19700000000000001"/>
    <n v="0.64"/>
    <n v="0.1343"/>
    <x v="0"/>
    <x v="47"/>
    <x v="46"/>
  </r>
  <r>
    <x v="67"/>
    <x v="2"/>
    <x v="0"/>
    <x v="0"/>
    <x v="0"/>
    <x v="22"/>
    <x v="0"/>
    <x v="2"/>
    <x v="0"/>
    <x v="14"/>
    <n v="0.1515"/>
    <n v="0.69"/>
    <n v="0.1343"/>
    <x v="3"/>
    <x v="32"/>
    <x v="25"/>
  </r>
  <r>
    <x v="68"/>
    <x v="2"/>
    <x v="0"/>
    <x v="0"/>
    <x v="0"/>
    <x v="23"/>
    <x v="0"/>
    <x v="2"/>
    <x v="0"/>
    <x v="15"/>
    <n v="0.21210000000000001"/>
    <n v="0.55000000000000004"/>
    <n v="0.1045"/>
    <x v="5"/>
    <x v="48"/>
    <x v="47"/>
  </r>
  <r>
    <x v="69"/>
    <x v="3"/>
    <x v="0"/>
    <x v="0"/>
    <x v="0"/>
    <x v="0"/>
    <x v="0"/>
    <x v="3"/>
    <x v="0"/>
    <x v="13"/>
    <n v="0"/>
    <n v="0.55000000000000004"/>
    <n v="0.1045"/>
    <x v="3"/>
    <x v="34"/>
    <x v="36"/>
  </r>
  <r>
    <x v="70"/>
    <x v="3"/>
    <x v="0"/>
    <x v="0"/>
    <x v="0"/>
    <x v="1"/>
    <x v="0"/>
    <x v="3"/>
    <x v="0"/>
    <x v="13"/>
    <n v="0.18179999999999999"/>
    <n v="0.59"/>
    <n v="0.1045"/>
    <x v="3"/>
    <x v="6"/>
    <x v="5"/>
  </r>
  <r>
    <x v="71"/>
    <x v="3"/>
    <x v="0"/>
    <x v="0"/>
    <x v="0"/>
    <x v="2"/>
    <x v="0"/>
    <x v="3"/>
    <x v="0"/>
    <x v="14"/>
    <n v="0.1515"/>
    <n v="0.63"/>
    <n v="0.1343"/>
    <x v="3"/>
    <x v="4"/>
    <x v="4"/>
  </r>
  <r>
    <x v="72"/>
    <x v="3"/>
    <x v="0"/>
    <x v="0"/>
    <x v="0"/>
    <x v="4"/>
    <x v="0"/>
    <x v="3"/>
    <x v="0"/>
    <x v="14"/>
    <n v="0.18179999999999999"/>
    <n v="0.63"/>
    <n v="8.9599999999999999E-2"/>
    <x v="3"/>
    <x v="6"/>
    <x v="5"/>
  </r>
  <r>
    <x v="73"/>
    <x v="3"/>
    <x v="0"/>
    <x v="0"/>
    <x v="0"/>
    <x v="5"/>
    <x v="0"/>
    <x v="3"/>
    <x v="0"/>
    <x v="16"/>
    <n v="0.1515"/>
    <n v="0.68"/>
    <n v="0.1045"/>
    <x v="3"/>
    <x v="22"/>
    <x v="48"/>
  </r>
  <r>
    <x v="74"/>
    <x v="3"/>
    <x v="0"/>
    <x v="0"/>
    <x v="0"/>
    <x v="6"/>
    <x v="0"/>
    <x v="3"/>
    <x v="0"/>
    <x v="16"/>
    <n v="0.1515"/>
    <n v="0.74"/>
    <n v="0.1045"/>
    <x v="3"/>
    <x v="49"/>
    <x v="9"/>
  </r>
  <r>
    <x v="75"/>
    <x v="3"/>
    <x v="0"/>
    <x v="0"/>
    <x v="0"/>
    <x v="7"/>
    <x v="0"/>
    <x v="3"/>
    <x v="0"/>
    <x v="16"/>
    <n v="0.1515"/>
    <n v="0.74"/>
    <n v="0.1343"/>
    <x v="4"/>
    <x v="50"/>
    <x v="12"/>
  </r>
  <r>
    <x v="76"/>
    <x v="3"/>
    <x v="0"/>
    <x v="0"/>
    <x v="0"/>
    <x v="8"/>
    <x v="0"/>
    <x v="3"/>
    <x v="0"/>
    <x v="14"/>
    <n v="0.1515"/>
    <n v="0.69"/>
    <n v="0.16420000000000001"/>
    <x v="4"/>
    <x v="51"/>
    <x v="49"/>
  </r>
  <r>
    <x v="77"/>
    <x v="3"/>
    <x v="0"/>
    <x v="0"/>
    <x v="0"/>
    <x v="9"/>
    <x v="0"/>
    <x v="3"/>
    <x v="0"/>
    <x v="13"/>
    <n v="0.1515"/>
    <n v="0.64"/>
    <n v="0.22389999999999999"/>
    <x v="4"/>
    <x v="52"/>
    <x v="50"/>
  </r>
  <r>
    <x v="78"/>
    <x v="3"/>
    <x v="0"/>
    <x v="0"/>
    <x v="0"/>
    <x v="10"/>
    <x v="0"/>
    <x v="3"/>
    <x v="1"/>
    <x v="13"/>
    <n v="0.13639999999999999"/>
    <n v="0.69"/>
    <n v="0.32840000000000003"/>
    <x v="2"/>
    <x v="53"/>
    <x v="51"/>
  </r>
  <r>
    <x v="79"/>
    <x v="3"/>
    <x v="0"/>
    <x v="0"/>
    <x v="0"/>
    <x v="11"/>
    <x v="0"/>
    <x v="3"/>
    <x v="0"/>
    <x v="1"/>
    <n v="0.21210000000000001"/>
    <n v="0.51"/>
    <n v="0.29849999999999999"/>
    <x v="18"/>
    <x v="54"/>
    <x v="52"/>
  </r>
  <r>
    <x v="80"/>
    <x v="3"/>
    <x v="0"/>
    <x v="0"/>
    <x v="0"/>
    <x v="12"/>
    <x v="0"/>
    <x v="3"/>
    <x v="0"/>
    <x v="1"/>
    <n v="0.2273"/>
    <n v="0.51"/>
    <n v="0.16420000000000001"/>
    <x v="6"/>
    <x v="43"/>
    <x v="53"/>
  </r>
  <r>
    <x v="81"/>
    <x v="3"/>
    <x v="0"/>
    <x v="0"/>
    <x v="0"/>
    <x v="13"/>
    <x v="0"/>
    <x v="3"/>
    <x v="0"/>
    <x v="0"/>
    <n v="0.2273"/>
    <n v="0.56000000000000005"/>
    <n v="0.19400000000000001"/>
    <x v="25"/>
    <x v="55"/>
    <x v="54"/>
  </r>
  <r>
    <x v="82"/>
    <x v="3"/>
    <x v="0"/>
    <x v="0"/>
    <x v="0"/>
    <x v="14"/>
    <x v="0"/>
    <x v="3"/>
    <x v="0"/>
    <x v="12"/>
    <n v="0.2576"/>
    <n v="0.52"/>
    <n v="0.22389999999999999"/>
    <x v="14"/>
    <x v="25"/>
    <x v="55"/>
  </r>
  <r>
    <x v="83"/>
    <x v="3"/>
    <x v="0"/>
    <x v="0"/>
    <x v="0"/>
    <x v="15"/>
    <x v="0"/>
    <x v="3"/>
    <x v="0"/>
    <x v="17"/>
    <n v="0.2727"/>
    <n v="0.52"/>
    <n v="0.25369999999999998"/>
    <x v="26"/>
    <x v="41"/>
    <x v="32"/>
  </r>
  <r>
    <x v="84"/>
    <x v="3"/>
    <x v="0"/>
    <x v="0"/>
    <x v="0"/>
    <x v="16"/>
    <x v="0"/>
    <x v="3"/>
    <x v="0"/>
    <x v="11"/>
    <n v="0.28789999999999999"/>
    <n v="0.49"/>
    <n v="0.25369999999999998"/>
    <x v="13"/>
    <x v="56"/>
    <x v="56"/>
  </r>
  <r>
    <x v="85"/>
    <x v="3"/>
    <x v="0"/>
    <x v="0"/>
    <x v="0"/>
    <x v="17"/>
    <x v="0"/>
    <x v="3"/>
    <x v="0"/>
    <x v="17"/>
    <n v="0.2727"/>
    <n v="0.48"/>
    <n v="0.22389999999999999"/>
    <x v="22"/>
    <x v="57"/>
    <x v="57"/>
  </r>
  <r>
    <x v="86"/>
    <x v="3"/>
    <x v="0"/>
    <x v="0"/>
    <x v="0"/>
    <x v="18"/>
    <x v="0"/>
    <x v="3"/>
    <x v="0"/>
    <x v="12"/>
    <n v="0.2576"/>
    <n v="0.48"/>
    <n v="0.19400000000000001"/>
    <x v="0"/>
    <x v="58"/>
    <x v="58"/>
  </r>
  <r>
    <x v="87"/>
    <x v="3"/>
    <x v="0"/>
    <x v="0"/>
    <x v="0"/>
    <x v="19"/>
    <x v="0"/>
    <x v="3"/>
    <x v="0"/>
    <x v="0"/>
    <n v="0.2576"/>
    <n v="0.48"/>
    <n v="0.1045"/>
    <x v="4"/>
    <x v="59"/>
    <x v="59"/>
  </r>
  <r>
    <x v="88"/>
    <x v="3"/>
    <x v="0"/>
    <x v="0"/>
    <x v="0"/>
    <x v="20"/>
    <x v="0"/>
    <x v="3"/>
    <x v="0"/>
    <x v="0"/>
    <n v="0.2576"/>
    <n v="0.48"/>
    <n v="0.1045"/>
    <x v="5"/>
    <x v="42"/>
    <x v="60"/>
  </r>
  <r>
    <x v="89"/>
    <x v="3"/>
    <x v="0"/>
    <x v="0"/>
    <x v="0"/>
    <x v="21"/>
    <x v="0"/>
    <x v="3"/>
    <x v="0"/>
    <x v="1"/>
    <n v="0.2727"/>
    <n v="0.64"/>
    <n v="0"/>
    <x v="3"/>
    <x v="41"/>
    <x v="61"/>
  </r>
  <r>
    <x v="90"/>
    <x v="3"/>
    <x v="0"/>
    <x v="0"/>
    <x v="0"/>
    <x v="22"/>
    <x v="0"/>
    <x v="3"/>
    <x v="0"/>
    <x v="1"/>
    <n v="0.2576"/>
    <n v="0.64"/>
    <n v="8.9599999999999999E-2"/>
    <x v="5"/>
    <x v="60"/>
    <x v="17"/>
  </r>
  <r>
    <x v="91"/>
    <x v="3"/>
    <x v="0"/>
    <x v="0"/>
    <x v="0"/>
    <x v="23"/>
    <x v="0"/>
    <x v="3"/>
    <x v="0"/>
    <x v="2"/>
    <n v="0.2273"/>
    <n v="0.69"/>
    <n v="8.9599999999999999E-2"/>
    <x v="4"/>
    <x v="33"/>
    <x v="62"/>
  </r>
  <r>
    <x v="92"/>
    <x v="4"/>
    <x v="0"/>
    <x v="0"/>
    <x v="0"/>
    <x v="0"/>
    <x v="0"/>
    <x v="4"/>
    <x v="0"/>
    <x v="2"/>
    <n v="0.2576"/>
    <n v="0.64"/>
    <n v="0"/>
    <x v="3"/>
    <x v="8"/>
    <x v="24"/>
  </r>
  <r>
    <x v="93"/>
    <x v="4"/>
    <x v="0"/>
    <x v="0"/>
    <x v="0"/>
    <x v="1"/>
    <x v="0"/>
    <x v="4"/>
    <x v="0"/>
    <x v="13"/>
    <n v="0.19700000000000001"/>
    <n v="0.74"/>
    <n v="8.9599999999999999E-2"/>
    <x v="3"/>
    <x v="8"/>
    <x v="24"/>
  </r>
  <r>
    <x v="94"/>
    <x v="4"/>
    <x v="0"/>
    <x v="0"/>
    <x v="0"/>
    <x v="2"/>
    <x v="0"/>
    <x v="4"/>
    <x v="0"/>
    <x v="13"/>
    <n v="0.19700000000000001"/>
    <n v="0.74"/>
    <n v="8.9599999999999999E-2"/>
    <x v="3"/>
    <x v="6"/>
    <x v="5"/>
  </r>
  <r>
    <x v="95"/>
    <x v="4"/>
    <x v="0"/>
    <x v="0"/>
    <x v="0"/>
    <x v="4"/>
    <x v="0"/>
    <x v="4"/>
    <x v="0"/>
    <x v="0"/>
    <n v="0.2273"/>
    <n v="0.48"/>
    <n v="0.22389999999999999"/>
    <x v="3"/>
    <x v="6"/>
    <x v="5"/>
  </r>
  <r>
    <x v="96"/>
    <x v="4"/>
    <x v="0"/>
    <x v="0"/>
    <x v="0"/>
    <x v="5"/>
    <x v="0"/>
    <x v="4"/>
    <x v="0"/>
    <x v="1"/>
    <n v="0.2273"/>
    <n v="0.47"/>
    <n v="0.16420000000000001"/>
    <x v="3"/>
    <x v="35"/>
    <x v="6"/>
  </r>
  <r>
    <x v="97"/>
    <x v="4"/>
    <x v="0"/>
    <x v="0"/>
    <x v="0"/>
    <x v="6"/>
    <x v="0"/>
    <x v="4"/>
    <x v="0"/>
    <x v="2"/>
    <n v="0.19700000000000001"/>
    <n v="0.47"/>
    <n v="0.22389999999999999"/>
    <x v="3"/>
    <x v="39"/>
    <x v="63"/>
  </r>
  <r>
    <x v="98"/>
    <x v="4"/>
    <x v="0"/>
    <x v="0"/>
    <x v="0"/>
    <x v="7"/>
    <x v="0"/>
    <x v="4"/>
    <x v="0"/>
    <x v="15"/>
    <n v="0.18179999999999999"/>
    <n v="0.43"/>
    <n v="0.19400000000000001"/>
    <x v="5"/>
    <x v="61"/>
    <x v="39"/>
  </r>
  <r>
    <x v="99"/>
    <x v="4"/>
    <x v="0"/>
    <x v="0"/>
    <x v="0"/>
    <x v="8"/>
    <x v="0"/>
    <x v="4"/>
    <x v="0"/>
    <x v="2"/>
    <n v="0.18179999999999999"/>
    <n v="0.4"/>
    <n v="0.29849999999999999"/>
    <x v="0"/>
    <x v="62"/>
    <x v="64"/>
  </r>
  <r>
    <x v="100"/>
    <x v="4"/>
    <x v="0"/>
    <x v="0"/>
    <x v="0"/>
    <x v="9"/>
    <x v="0"/>
    <x v="4"/>
    <x v="0"/>
    <x v="1"/>
    <n v="0.19700000000000001"/>
    <n v="0.37"/>
    <n v="0.32840000000000003"/>
    <x v="15"/>
    <x v="63"/>
    <x v="65"/>
  </r>
  <r>
    <x v="101"/>
    <x v="4"/>
    <x v="0"/>
    <x v="0"/>
    <x v="0"/>
    <x v="10"/>
    <x v="0"/>
    <x v="4"/>
    <x v="0"/>
    <x v="1"/>
    <n v="0.19700000000000001"/>
    <n v="0.37"/>
    <n v="0.32840000000000003"/>
    <x v="17"/>
    <x v="42"/>
    <x v="52"/>
  </r>
  <r>
    <x v="102"/>
    <x v="4"/>
    <x v="0"/>
    <x v="0"/>
    <x v="0"/>
    <x v="11"/>
    <x v="0"/>
    <x v="4"/>
    <x v="0"/>
    <x v="12"/>
    <n v="0.2273"/>
    <n v="0.33"/>
    <n v="0.32840000000000003"/>
    <x v="6"/>
    <x v="60"/>
    <x v="66"/>
  </r>
  <r>
    <x v="103"/>
    <x v="4"/>
    <x v="0"/>
    <x v="0"/>
    <x v="0"/>
    <x v="12"/>
    <x v="0"/>
    <x v="4"/>
    <x v="0"/>
    <x v="12"/>
    <n v="0.2273"/>
    <n v="0.33"/>
    <n v="0.32840000000000003"/>
    <x v="2"/>
    <x v="64"/>
    <x v="67"/>
  </r>
  <r>
    <x v="104"/>
    <x v="4"/>
    <x v="0"/>
    <x v="0"/>
    <x v="0"/>
    <x v="13"/>
    <x v="0"/>
    <x v="4"/>
    <x v="0"/>
    <x v="17"/>
    <n v="0.2576"/>
    <n v="0.3"/>
    <n v="0.29849999999999999"/>
    <x v="15"/>
    <x v="65"/>
    <x v="68"/>
  </r>
  <r>
    <x v="105"/>
    <x v="4"/>
    <x v="0"/>
    <x v="0"/>
    <x v="0"/>
    <x v="14"/>
    <x v="0"/>
    <x v="4"/>
    <x v="0"/>
    <x v="11"/>
    <n v="0.28789999999999999"/>
    <n v="0.28000000000000003"/>
    <n v="0.19400000000000001"/>
    <x v="22"/>
    <x v="15"/>
    <x v="69"/>
  </r>
  <r>
    <x v="106"/>
    <x v="4"/>
    <x v="0"/>
    <x v="0"/>
    <x v="0"/>
    <x v="15"/>
    <x v="0"/>
    <x v="4"/>
    <x v="0"/>
    <x v="11"/>
    <n v="0.28789999999999999"/>
    <n v="0.28000000000000003"/>
    <n v="0.19400000000000001"/>
    <x v="18"/>
    <x v="11"/>
    <x v="69"/>
  </r>
  <r>
    <x v="107"/>
    <x v="4"/>
    <x v="0"/>
    <x v="0"/>
    <x v="0"/>
    <x v="16"/>
    <x v="0"/>
    <x v="4"/>
    <x v="0"/>
    <x v="11"/>
    <n v="0.31819999999999998"/>
    <n v="0.28000000000000003"/>
    <n v="8.9599999999999999E-2"/>
    <x v="17"/>
    <x v="66"/>
    <x v="70"/>
  </r>
  <r>
    <x v="108"/>
    <x v="4"/>
    <x v="0"/>
    <x v="0"/>
    <x v="0"/>
    <x v="17"/>
    <x v="0"/>
    <x v="4"/>
    <x v="0"/>
    <x v="0"/>
    <n v="0.2273"/>
    <n v="0.38"/>
    <n v="0.19400000000000001"/>
    <x v="17"/>
    <x v="67"/>
    <x v="71"/>
  </r>
  <r>
    <x v="109"/>
    <x v="4"/>
    <x v="0"/>
    <x v="0"/>
    <x v="0"/>
    <x v="18"/>
    <x v="0"/>
    <x v="4"/>
    <x v="0"/>
    <x v="0"/>
    <n v="0.2424"/>
    <n v="0.38"/>
    <n v="0.1343"/>
    <x v="0"/>
    <x v="68"/>
    <x v="72"/>
  </r>
  <r>
    <x v="110"/>
    <x v="4"/>
    <x v="0"/>
    <x v="0"/>
    <x v="0"/>
    <x v="19"/>
    <x v="0"/>
    <x v="4"/>
    <x v="0"/>
    <x v="0"/>
    <n v="0.2576"/>
    <n v="0.38"/>
    <n v="0.1045"/>
    <x v="2"/>
    <x v="69"/>
    <x v="73"/>
  </r>
  <r>
    <x v="111"/>
    <x v="4"/>
    <x v="0"/>
    <x v="0"/>
    <x v="0"/>
    <x v="20"/>
    <x v="0"/>
    <x v="4"/>
    <x v="0"/>
    <x v="1"/>
    <n v="0.2273"/>
    <n v="0.47"/>
    <n v="0.16420000000000001"/>
    <x v="18"/>
    <x v="70"/>
    <x v="70"/>
  </r>
  <r>
    <x v="112"/>
    <x v="4"/>
    <x v="0"/>
    <x v="0"/>
    <x v="0"/>
    <x v="21"/>
    <x v="0"/>
    <x v="4"/>
    <x v="0"/>
    <x v="2"/>
    <n v="0.19700000000000001"/>
    <n v="0.51"/>
    <n v="0.19400000000000001"/>
    <x v="0"/>
    <x v="71"/>
    <x v="74"/>
  </r>
  <r>
    <x v="113"/>
    <x v="4"/>
    <x v="0"/>
    <x v="0"/>
    <x v="0"/>
    <x v="22"/>
    <x v="0"/>
    <x v="4"/>
    <x v="0"/>
    <x v="15"/>
    <n v="0.19700000000000001"/>
    <n v="0.55000000000000004"/>
    <n v="0.1343"/>
    <x v="5"/>
    <x v="40"/>
    <x v="51"/>
  </r>
  <r>
    <x v="114"/>
    <x v="4"/>
    <x v="0"/>
    <x v="0"/>
    <x v="0"/>
    <x v="23"/>
    <x v="0"/>
    <x v="4"/>
    <x v="0"/>
    <x v="2"/>
    <n v="0.2576"/>
    <n v="0.47"/>
    <n v="0"/>
    <x v="5"/>
    <x v="72"/>
    <x v="75"/>
  </r>
  <r>
    <x v="115"/>
    <x v="5"/>
    <x v="0"/>
    <x v="0"/>
    <x v="0"/>
    <x v="0"/>
    <x v="0"/>
    <x v="5"/>
    <x v="0"/>
    <x v="15"/>
    <n v="0.2424"/>
    <n v="0.55000000000000004"/>
    <n v="0"/>
    <x v="3"/>
    <x v="48"/>
    <x v="62"/>
  </r>
  <r>
    <x v="116"/>
    <x v="5"/>
    <x v="0"/>
    <x v="0"/>
    <x v="0"/>
    <x v="1"/>
    <x v="0"/>
    <x v="5"/>
    <x v="0"/>
    <x v="13"/>
    <n v="0.2273"/>
    <n v="0.64"/>
    <n v="0"/>
    <x v="3"/>
    <x v="22"/>
    <x v="48"/>
  </r>
  <r>
    <x v="117"/>
    <x v="5"/>
    <x v="0"/>
    <x v="0"/>
    <x v="0"/>
    <x v="2"/>
    <x v="0"/>
    <x v="5"/>
    <x v="0"/>
    <x v="13"/>
    <n v="0.2273"/>
    <n v="0.64"/>
    <n v="0"/>
    <x v="3"/>
    <x v="6"/>
    <x v="5"/>
  </r>
  <r>
    <x v="118"/>
    <x v="5"/>
    <x v="0"/>
    <x v="0"/>
    <x v="0"/>
    <x v="4"/>
    <x v="0"/>
    <x v="5"/>
    <x v="1"/>
    <x v="13"/>
    <n v="0.19700000000000001"/>
    <n v="0.64"/>
    <n v="8.9599999999999999E-2"/>
    <x v="3"/>
    <x v="4"/>
    <x v="4"/>
  </r>
  <r>
    <x v="119"/>
    <x v="5"/>
    <x v="0"/>
    <x v="0"/>
    <x v="0"/>
    <x v="5"/>
    <x v="0"/>
    <x v="5"/>
    <x v="1"/>
    <x v="14"/>
    <n v="0.18179999999999999"/>
    <n v="0.69"/>
    <n v="8.9599999999999999E-2"/>
    <x v="3"/>
    <x v="22"/>
    <x v="48"/>
  </r>
  <r>
    <x v="120"/>
    <x v="5"/>
    <x v="0"/>
    <x v="0"/>
    <x v="0"/>
    <x v="6"/>
    <x v="0"/>
    <x v="5"/>
    <x v="1"/>
    <x v="14"/>
    <n v="0.16669999999999999"/>
    <n v="0.63"/>
    <n v="0.1045"/>
    <x v="3"/>
    <x v="49"/>
    <x v="9"/>
  </r>
  <r>
    <x v="121"/>
    <x v="5"/>
    <x v="0"/>
    <x v="0"/>
    <x v="0"/>
    <x v="7"/>
    <x v="0"/>
    <x v="5"/>
    <x v="1"/>
    <x v="13"/>
    <n v="0.2273"/>
    <n v="0.59"/>
    <n v="0"/>
    <x v="3"/>
    <x v="73"/>
    <x v="76"/>
  </r>
  <r>
    <x v="122"/>
    <x v="5"/>
    <x v="0"/>
    <x v="0"/>
    <x v="0"/>
    <x v="8"/>
    <x v="0"/>
    <x v="5"/>
    <x v="0"/>
    <x v="13"/>
    <n v="0.2273"/>
    <n v="0.59"/>
    <n v="0"/>
    <x v="0"/>
    <x v="74"/>
    <x v="77"/>
  </r>
  <r>
    <x v="123"/>
    <x v="5"/>
    <x v="0"/>
    <x v="0"/>
    <x v="0"/>
    <x v="9"/>
    <x v="0"/>
    <x v="5"/>
    <x v="1"/>
    <x v="15"/>
    <n v="0.2424"/>
    <n v="0.51"/>
    <n v="0"/>
    <x v="15"/>
    <x v="75"/>
    <x v="78"/>
  </r>
  <r>
    <x v="124"/>
    <x v="5"/>
    <x v="0"/>
    <x v="0"/>
    <x v="0"/>
    <x v="10"/>
    <x v="0"/>
    <x v="5"/>
    <x v="0"/>
    <x v="2"/>
    <n v="0.2576"/>
    <n v="0.47"/>
    <n v="0"/>
    <x v="0"/>
    <x v="76"/>
    <x v="79"/>
  </r>
  <r>
    <x v="125"/>
    <x v="5"/>
    <x v="0"/>
    <x v="0"/>
    <x v="0"/>
    <x v="11"/>
    <x v="0"/>
    <x v="5"/>
    <x v="0"/>
    <x v="1"/>
    <n v="0.2576"/>
    <n v="0.44"/>
    <n v="8.9599999999999999E-2"/>
    <x v="4"/>
    <x v="77"/>
    <x v="29"/>
  </r>
  <r>
    <x v="126"/>
    <x v="5"/>
    <x v="0"/>
    <x v="0"/>
    <x v="0"/>
    <x v="12"/>
    <x v="0"/>
    <x v="5"/>
    <x v="0"/>
    <x v="12"/>
    <n v="0.28789999999999999"/>
    <n v="0.35"/>
    <n v="0"/>
    <x v="15"/>
    <x v="78"/>
    <x v="11"/>
  </r>
  <r>
    <x v="127"/>
    <x v="5"/>
    <x v="0"/>
    <x v="0"/>
    <x v="0"/>
    <x v="13"/>
    <x v="0"/>
    <x v="5"/>
    <x v="0"/>
    <x v="12"/>
    <n v="0.2727"/>
    <n v="0.35"/>
    <n v="0.1045"/>
    <x v="6"/>
    <x v="11"/>
    <x v="16"/>
  </r>
  <r>
    <x v="128"/>
    <x v="5"/>
    <x v="0"/>
    <x v="0"/>
    <x v="0"/>
    <x v="14"/>
    <x v="0"/>
    <x v="5"/>
    <x v="0"/>
    <x v="17"/>
    <n v="0.2727"/>
    <n v="0.36"/>
    <n v="0.16420000000000001"/>
    <x v="16"/>
    <x v="79"/>
    <x v="27"/>
  </r>
  <r>
    <x v="129"/>
    <x v="5"/>
    <x v="0"/>
    <x v="0"/>
    <x v="0"/>
    <x v="15"/>
    <x v="0"/>
    <x v="5"/>
    <x v="0"/>
    <x v="17"/>
    <n v="0.2727"/>
    <n v="0.36"/>
    <n v="0"/>
    <x v="1"/>
    <x v="25"/>
    <x v="69"/>
  </r>
  <r>
    <x v="130"/>
    <x v="5"/>
    <x v="0"/>
    <x v="0"/>
    <x v="0"/>
    <x v="16"/>
    <x v="0"/>
    <x v="5"/>
    <x v="0"/>
    <x v="12"/>
    <n v="0.2576"/>
    <n v="0.38"/>
    <n v="0.16420000000000001"/>
    <x v="6"/>
    <x v="64"/>
    <x v="80"/>
  </r>
  <r>
    <x v="131"/>
    <x v="5"/>
    <x v="0"/>
    <x v="0"/>
    <x v="0"/>
    <x v="17"/>
    <x v="0"/>
    <x v="5"/>
    <x v="0"/>
    <x v="1"/>
    <n v="0.2273"/>
    <n v="0.51"/>
    <n v="0.16420000000000001"/>
    <x v="14"/>
    <x v="80"/>
    <x v="81"/>
  </r>
  <r>
    <x v="132"/>
    <x v="5"/>
    <x v="0"/>
    <x v="0"/>
    <x v="0"/>
    <x v="18"/>
    <x v="0"/>
    <x v="5"/>
    <x v="0"/>
    <x v="1"/>
    <n v="0.2273"/>
    <n v="0.51"/>
    <n v="0.1343"/>
    <x v="2"/>
    <x v="81"/>
    <x v="82"/>
  </r>
  <r>
    <x v="133"/>
    <x v="5"/>
    <x v="0"/>
    <x v="0"/>
    <x v="0"/>
    <x v="19"/>
    <x v="0"/>
    <x v="5"/>
    <x v="0"/>
    <x v="1"/>
    <n v="0.2576"/>
    <n v="0.55000000000000004"/>
    <n v="8.9599999999999999E-2"/>
    <x v="0"/>
    <x v="63"/>
    <x v="59"/>
  </r>
  <r>
    <x v="134"/>
    <x v="5"/>
    <x v="0"/>
    <x v="0"/>
    <x v="0"/>
    <x v="20"/>
    <x v="0"/>
    <x v="5"/>
    <x v="0"/>
    <x v="2"/>
    <n v="0.21210000000000001"/>
    <n v="0.51"/>
    <n v="0.16420000000000001"/>
    <x v="0"/>
    <x v="43"/>
    <x v="83"/>
  </r>
  <r>
    <x v="135"/>
    <x v="5"/>
    <x v="0"/>
    <x v="0"/>
    <x v="0"/>
    <x v="21"/>
    <x v="0"/>
    <x v="5"/>
    <x v="1"/>
    <x v="1"/>
    <n v="0.21210000000000001"/>
    <n v="0.55000000000000004"/>
    <n v="0.22389999999999999"/>
    <x v="3"/>
    <x v="41"/>
    <x v="61"/>
  </r>
  <r>
    <x v="136"/>
    <x v="5"/>
    <x v="0"/>
    <x v="0"/>
    <x v="0"/>
    <x v="22"/>
    <x v="0"/>
    <x v="5"/>
    <x v="1"/>
    <x v="1"/>
    <n v="0.21210000000000001"/>
    <n v="0.51"/>
    <n v="0.28360000000000002"/>
    <x v="5"/>
    <x v="82"/>
    <x v="46"/>
  </r>
  <r>
    <x v="137"/>
    <x v="5"/>
    <x v="0"/>
    <x v="0"/>
    <x v="0"/>
    <x v="23"/>
    <x v="0"/>
    <x v="5"/>
    <x v="1"/>
    <x v="2"/>
    <n v="0.19700000000000001"/>
    <n v="0.59"/>
    <n v="0.19400000000000001"/>
    <x v="17"/>
    <x v="23"/>
    <x v="84"/>
  </r>
  <r>
    <x v="138"/>
    <x v="6"/>
    <x v="0"/>
    <x v="0"/>
    <x v="0"/>
    <x v="0"/>
    <x v="0"/>
    <x v="6"/>
    <x v="1"/>
    <x v="2"/>
    <n v="0.19700000000000001"/>
    <n v="0.64"/>
    <n v="0.19400000000000001"/>
    <x v="17"/>
    <x v="0"/>
    <x v="22"/>
  </r>
  <r>
    <x v="139"/>
    <x v="6"/>
    <x v="0"/>
    <x v="0"/>
    <x v="0"/>
    <x v="1"/>
    <x v="0"/>
    <x v="6"/>
    <x v="1"/>
    <x v="2"/>
    <n v="0.19700000000000001"/>
    <n v="0.69"/>
    <n v="0.22389999999999999"/>
    <x v="4"/>
    <x v="34"/>
    <x v="85"/>
  </r>
  <r>
    <x v="140"/>
    <x v="6"/>
    <x v="0"/>
    <x v="0"/>
    <x v="0"/>
    <x v="2"/>
    <x v="0"/>
    <x v="6"/>
    <x v="1"/>
    <x v="2"/>
    <n v="0.19700000000000001"/>
    <n v="0.69"/>
    <n v="0.22389999999999999"/>
    <x v="3"/>
    <x v="4"/>
    <x v="4"/>
  </r>
  <r>
    <x v="141"/>
    <x v="6"/>
    <x v="0"/>
    <x v="0"/>
    <x v="0"/>
    <x v="4"/>
    <x v="0"/>
    <x v="6"/>
    <x v="1"/>
    <x v="2"/>
    <n v="0.21210000000000001"/>
    <n v="0.69"/>
    <n v="0.1343"/>
    <x v="3"/>
    <x v="4"/>
    <x v="4"/>
  </r>
  <r>
    <x v="142"/>
    <x v="6"/>
    <x v="0"/>
    <x v="0"/>
    <x v="0"/>
    <x v="5"/>
    <x v="0"/>
    <x v="6"/>
    <x v="2"/>
    <x v="1"/>
    <n v="0.2727"/>
    <n v="0.55000000000000004"/>
    <n v="0"/>
    <x v="3"/>
    <x v="34"/>
    <x v="36"/>
  </r>
  <r>
    <x v="143"/>
    <x v="6"/>
    <x v="0"/>
    <x v="0"/>
    <x v="0"/>
    <x v="6"/>
    <x v="0"/>
    <x v="6"/>
    <x v="1"/>
    <x v="2"/>
    <n v="0.2576"/>
    <n v="0.69"/>
    <n v="0"/>
    <x v="1"/>
    <x v="16"/>
    <x v="19"/>
  </r>
  <r>
    <x v="144"/>
    <x v="6"/>
    <x v="0"/>
    <x v="0"/>
    <x v="0"/>
    <x v="7"/>
    <x v="0"/>
    <x v="6"/>
    <x v="0"/>
    <x v="2"/>
    <n v="0.21210000000000001"/>
    <n v="0.69"/>
    <n v="0.1343"/>
    <x v="1"/>
    <x v="83"/>
    <x v="11"/>
  </r>
  <r>
    <x v="145"/>
    <x v="6"/>
    <x v="0"/>
    <x v="0"/>
    <x v="0"/>
    <x v="8"/>
    <x v="0"/>
    <x v="6"/>
    <x v="0"/>
    <x v="2"/>
    <n v="0.19700000000000001"/>
    <n v="0.51"/>
    <n v="0.25369999999999998"/>
    <x v="20"/>
    <x v="84"/>
    <x v="86"/>
  </r>
  <r>
    <x v="146"/>
    <x v="6"/>
    <x v="0"/>
    <x v="0"/>
    <x v="0"/>
    <x v="9"/>
    <x v="0"/>
    <x v="6"/>
    <x v="0"/>
    <x v="2"/>
    <n v="0.18179999999999999"/>
    <n v="0.47"/>
    <n v="0.29849999999999999"/>
    <x v="14"/>
    <x v="85"/>
    <x v="87"/>
  </r>
  <r>
    <x v="147"/>
    <x v="6"/>
    <x v="0"/>
    <x v="0"/>
    <x v="0"/>
    <x v="10"/>
    <x v="0"/>
    <x v="6"/>
    <x v="0"/>
    <x v="1"/>
    <n v="0.19700000000000001"/>
    <n v="0.37"/>
    <n v="0.32840000000000003"/>
    <x v="19"/>
    <x v="12"/>
    <x v="55"/>
  </r>
  <r>
    <x v="148"/>
    <x v="6"/>
    <x v="0"/>
    <x v="0"/>
    <x v="0"/>
    <x v="11"/>
    <x v="0"/>
    <x v="6"/>
    <x v="1"/>
    <x v="2"/>
    <n v="0.19700000000000001"/>
    <n v="0.4"/>
    <n v="0.22389999999999999"/>
    <x v="21"/>
    <x v="41"/>
    <x v="16"/>
  </r>
  <r>
    <x v="149"/>
    <x v="6"/>
    <x v="0"/>
    <x v="0"/>
    <x v="0"/>
    <x v="12"/>
    <x v="0"/>
    <x v="6"/>
    <x v="1"/>
    <x v="2"/>
    <n v="0.19700000000000001"/>
    <n v="0.37"/>
    <n v="0.25369999999999998"/>
    <x v="14"/>
    <x v="54"/>
    <x v="29"/>
  </r>
  <r>
    <x v="150"/>
    <x v="6"/>
    <x v="0"/>
    <x v="0"/>
    <x v="0"/>
    <x v="13"/>
    <x v="0"/>
    <x v="6"/>
    <x v="1"/>
    <x v="2"/>
    <n v="0.18179999999999999"/>
    <n v="0.37"/>
    <n v="0.28360000000000002"/>
    <x v="14"/>
    <x v="27"/>
    <x v="88"/>
  </r>
  <r>
    <x v="151"/>
    <x v="6"/>
    <x v="0"/>
    <x v="0"/>
    <x v="0"/>
    <x v="14"/>
    <x v="0"/>
    <x v="6"/>
    <x v="1"/>
    <x v="2"/>
    <n v="0.19700000000000001"/>
    <n v="0.4"/>
    <n v="0.25369999999999998"/>
    <x v="18"/>
    <x v="30"/>
    <x v="89"/>
  </r>
  <r>
    <x v="152"/>
    <x v="6"/>
    <x v="0"/>
    <x v="0"/>
    <x v="0"/>
    <x v="15"/>
    <x v="0"/>
    <x v="6"/>
    <x v="1"/>
    <x v="2"/>
    <n v="0.21210000000000001"/>
    <n v="0.37"/>
    <n v="0.16420000000000001"/>
    <x v="14"/>
    <x v="36"/>
    <x v="44"/>
  </r>
  <r>
    <x v="153"/>
    <x v="6"/>
    <x v="0"/>
    <x v="0"/>
    <x v="0"/>
    <x v="16"/>
    <x v="0"/>
    <x v="6"/>
    <x v="1"/>
    <x v="2"/>
    <n v="0.21210000000000001"/>
    <n v="0.37"/>
    <n v="0.16420000000000001"/>
    <x v="2"/>
    <x v="70"/>
    <x v="90"/>
  </r>
  <r>
    <x v="154"/>
    <x v="6"/>
    <x v="0"/>
    <x v="0"/>
    <x v="0"/>
    <x v="17"/>
    <x v="0"/>
    <x v="6"/>
    <x v="1"/>
    <x v="2"/>
    <n v="0.2576"/>
    <n v="0.37"/>
    <n v="0"/>
    <x v="14"/>
    <x v="86"/>
    <x v="91"/>
  </r>
  <r>
    <x v="155"/>
    <x v="6"/>
    <x v="0"/>
    <x v="0"/>
    <x v="0"/>
    <x v="18"/>
    <x v="0"/>
    <x v="6"/>
    <x v="0"/>
    <x v="2"/>
    <n v="0.2273"/>
    <n v="0.4"/>
    <n v="8.9599999999999999E-2"/>
    <x v="18"/>
    <x v="75"/>
    <x v="92"/>
  </r>
  <r>
    <x v="156"/>
    <x v="6"/>
    <x v="0"/>
    <x v="0"/>
    <x v="0"/>
    <x v="19"/>
    <x v="0"/>
    <x v="6"/>
    <x v="0"/>
    <x v="13"/>
    <n v="0.19700000000000001"/>
    <n v="0.55000000000000004"/>
    <n v="8.9599999999999999E-2"/>
    <x v="0"/>
    <x v="50"/>
    <x v="76"/>
  </r>
  <r>
    <x v="157"/>
    <x v="6"/>
    <x v="0"/>
    <x v="0"/>
    <x v="0"/>
    <x v="20"/>
    <x v="0"/>
    <x v="6"/>
    <x v="0"/>
    <x v="15"/>
    <n v="0.21210000000000001"/>
    <n v="0.47"/>
    <n v="0.1045"/>
    <x v="5"/>
    <x v="54"/>
    <x v="41"/>
  </r>
  <r>
    <x v="158"/>
    <x v="6"/>
    <x v="0"/>
    <x v="0"/>
    <x v="0"/>
    <x v="21"/>
    <x v="0"/>
    <x v="6"/>
    <x v="0"/>
    <x v="15"/>
    <n v="0.19700000000000001"/>
    <n v="0.47"/>
    <n v="0.1343"/>
    <x v="3"/>
    <x v="87"/>
    <x v="21"/>
  </r>
  <r>
    <x v="159"/>
    <x v="6"/>
    <x v="0"/>
    <x v="0"/>
    <x v="0"/>
    <x v="22"/>
    <x v="0"/>
    <x v="6"/>
    <x v="1"/>
    <x v="15"/>
    <n v="0.19700000000000001"/>
    <n v="0.43"/>
    <n v="0.16420000000000001"/>
    <x v="4"/>
    <x v="60"/>
    <x v="9"/>
  </r>
  <r>
    <x v="160"/>
    <x v="6"/>
    <x v="0"/>
    <x v="0"/>
    <x v="0"/>
    <x v="23"/>
    <x v="0"/>
    <x v="6"/>
    <x v="1"/>
    <x v="15"/>
    <n v="0.19700000000000001"/>
    <n v="0.51"/>
    <n v="0.16420000000000001"/>
    <x v="5"/>
    <x v="88"/>
    <x v="93"/>
  </r>
  <r>
    <x v="161"/>
    <x v="7"/>
    <x v="0"/>
    <x v="0"/>
    <x v="0"/>
    <x v="0"/>
    <x v="0"/>
    <x v="0"/>
    <x v="1"/>
    <x v="15"/>
    <n v="0.19700000000000001"/>
    <n v="0.51"/>
    <n v="0.16420000000000001"/>
    <x v="5"/>
    <x v="9"/>
    <x v="94"/>
  </r>
  <r>
    <x v="162"/>
    <x v="7"/>
    <x v="0"/>
    <x v="0"/>
    <x v="0"/>
    <x v="1"/>
    <x v="0"/>
    <x v="0"/>
    <x v="1"/>
    <x v="15"/>
    <n v="0.21210000000000001"/>
    <n v="0.55000000000000004"/>
    <n v="8.9599999999999999E-2"/>
    <x v="5"/>
    <x v="89"/>
    <x v="0"/>
  </r>
  <r>
    <x v="163"/>
    <x v="7"/>
    <x v="0"/>
    <x v="0"/>
    <x v="0"/>
    <x v="2"/>
    <x v="0"/>
    <x v="0"/>
    <x v="1"/>
    <x v="15"/>
    <n v="0.2424"/>
    <n v="0.55000000000000004"/>
    <n v="0"/>
    <x v="0"/>
    <x v="0"/>
    <x v="0"/>
  </r>
  <r>
    <x v="164"/>
    <x v="7"/>
    <x v="0"/>
    <x v="0"/>
    <x v="0"/>
    <x v="3"/>
    <x v="0"/>
    <x v="0"/>
    <x v="2"/>
    <x v="15"/>
    <n v="0.19700000000000001"/>
    <n v="0.55000000000000004"/>
    <n v="0.16420000000000001"/>
    <x v="3"/>
    <x v="7"/>
    <x v="85"/>
  </r>
  <r>
    <x v="165"/>
    <x v="7"/>
    <x v="0"/>
    <x v="0"/>
    <x v="0"/>
    <x v="4"/>
    <x v="0"/>
    <x v="0"/>
    <x v="2"/>
    <x v="15"/>
    <n v="0.19700000000000001"/>
    <n v="0.55000000000000004"/>
    <n v="0.16420000000000001"/>
    <x v="3"/>
    <x v="4"/>
    <x v="4"/>
  </r>
  <r>
    <x v="166"/>
    <x v="7"/>
    <x v="0"/>
    <x v="0"/>
    <x v="0"/>
    <x v="5"/>
    <x v="0"/>
    <x v="0"/>
    <x v="1"/>
    <x v="13"/>
    <n v="0.16669999999999999"/>
    <n v="0.74"/>
    <n v="0.16420000000000001"/>
    <x v="3"/>
    <x v="34"/>
    <x v="36"/>
  </r>
  <r>
    <x v="167"/>
    <x v="7"/>
    <x v="0"/>
    <x v="0"/>
    <x v="0"/>
    <x v="6"/>
    <x v="0"/>
    <x v="0"/>
    <x v="1"/>
    <x v="13"/>
    <n v="0.16669999999999999"/>
    <n v="0.74"/>
    <n v="0.16420000000000001"/>
    <x v="3"/>
    <x v="6"/>
    <x v="5"/>
  </r>
  <r>
    <x v="168"/>
    <x v="7"/>
    <x v="0"/>
    <x v="0"/>
    <x v="0"/>
    <x v="7"/>
    <x v="0"/>
    <x v="0"/>
    <x v="1"/>
    <x v="13"/>
    <n v="0.18179999999999999"/>
    <n v="0.74"/>
    <n v="0.1045"/>
    <x v="5"/>
    <x v="21"/>
    <x v="23"/>
  </r>
  <r>
    <x v="169"/>
    <x v="7"/>
    <x v="0"/>
    <x v="0"/>
    <x v="0"/>
    <x v="8"/>
    <x v="0"/>
    <x v="0"/>
    <x v="2"/>
    <x v="13"/>
    <n v="0.18179999999999999"/>
    <n v="0.93"/>
    <n v="0.1045"/>
    <x v="3"/>
    <x v="89"/>
    <x v="93"/>
  </r>
  <r>
    <x v="170"/>
    <x v="7"/>
    <x v="0"/>
    <x v="0"/>
    <x v="0"/>
    <x v="9"/>
    <x v="0"/>
    <x v="0"/>
    <x v="2"/>
    <x v="13"/>
    <n v="0.18179999999999999"/>
    <n v="0.93"/>
    <n v="0.1045"/>
    <x v="3"/>
    <x v="32"/>
    <x v="25"/>
  </r>
  <r>
    <x v="171"/>
    <x v="7"/>
    <x v="0"/>
    <x v="0"/>
    <x v="0"/>
    <x v="10"/>
    <x v="0"/>
    <x v="0"/>
    <x v="1"/>
    <x v="15"/>
    <n v="0.19700000000000001"/>
    <n v="0.8"/>
    <n v="0.16420000000000001"/>
    <x v="2"/>
    <x v="90"/>
    <x v="42"/>
  </r>
  <r>
    <x v="172"/>
    <x v="7"/>
    <x v="0"/>
    <x v="0"/>
    <x v="0"/>
    <x v="11"/>
    <x v="0"/>
    <x v="0"/>
    <x v="1"/>
    <x v="2"/>
    <n v="0.18179999999999999"/>
    <n v="0.69"/>
    <n v="0.3881"/>
    <x v="4"/>
    <x v="91"/>
    <x v="69"/>
  </r>
  <r>
    <x v="173"/>
    <x v="7"/>
    <x v="0"/>
    <x v="0"/>
    <x v="0"/>
    <x v="12"/>
    <x v="0"/>
    <x v="0"/>
    <x v="1"/>
    <x v="2"/>
    <n v="0.18179999999999999"/>
    <n v="0.59"/>
    <n v="0.35820000000000002"/>
    <x v="1"/>
    <x v="92"/>
    <x v="95"/>
  </r>
  <r>
    <x v="174"/>
    <x v="7"/>
    <x v="0"/>
    <x v="0"/>
    <x v="0"/>
    <x v="13"/>
    <x v="0"/>
    <x v="0"/>
    <x v="0"/>
    <x v="2"/>
    <n v="0.18179999999999999"/>
    <n v="0.44"/>
    <n v="0.32840000000000003"/>
    <x v="18"/>
    <x v="73"/>
    <x v="96"/>
  </r>
  <r>
    <x v="175"/>
    <x v="7"/>
    <x v="0"/>
    <x v="0"/>
    <x v="0"/>
    <x v="14"/>
    <x v="0"/>
    <x v="0"/>
    <x v="0"/>
    <x v="2"/>
    <n v="0.16669999999999999"/>
    <n v="0.32"/>
    <n v="0.49249999999999999"/>
    <x v="6"/>
    <x v="93"/>
    <x v="76"/>
  </r>
  <r>
    <x v="176"/>
    <x v="7"/>
    <x v="0"/>
    <x v="0"/>
    <x v="0"/>
    <x v="15"/>
    <x v="0"/>
    <x v="0"/>
    <x v="0"/>
    <x v="2"/>
    <n v="0.16669999999999999"/>
    <n v="0.32"/>
    <n v="0.44779999999999998"/>
    <x v="2"/>
    <x v="94"/>
    <x v="30"/>
  </r>
  <r>
    <x v="177"/>
    <x v="7"/>
    <x v="0"/>
    <x v="0"/>
    <x v="0"/>
    <x v="16"/>
    <x v="0"/>
    <x v="0"/>
    <x v="0"/>
    <x v="15"/>
    <n v="0.13639999999999999"/>
    <n v="0.28999999999999998"/>
    <n v="0.44779999999999998"/>
    <x v="1"/>
    <x v="56"/>
    <x v="31"/>
  </r>
  <r>
    <x v="178"/>
    <x v="7"/>
    <x v="0"/>
    <x v="0"/>
    <x v="0"/>
    <x v="17"/>
    <x v="0"/>
    <x v="0"/>
    <x v="0"/>
    <x v="13"/>
    <n v="0.1212"/>
    <n v="0.37"/>
    <n v="0.55220000000000002"/>
    <x v="2"/>
    <x v="27"/>
    <x v="83"/>
  </r>
  <r>
    <x v="179"/>
    <x v="7"/>
    <x v="0"/>
    <x v="0"/>
    <x v="0"/>
    <x v="18"/>
    <x v="0"/>
    <x v="0"/>
    <x v="0"/>
    <x v="14"/>
    <n v="0.1212"/>
    <n v="0.39"/>
    <n v="0.29849999999999999"/>
    <x v="0"/>
    <x v="15"/>
    <x v="97"/>
  </r>
  <r>
    <x v="180"/>
    <x v="7"/>
    <x v="0"/>
    <x v="0"/>
    <x v="0"/>
    <x v="19"/>
    <x v="0"/>
    <x v="0"/>
    <x v="0"/>
    <x v="14"/>
    <n v="0.1212"/>
    <n v="0.36"/>
    <n v="0.25369999999999998"/>
    <x v="17"/>
    <x v="16"/>
    <x v="33"/>
  </r>
  <r>
    <x v="181"/>
    <x v="7"/>
    <x v="0"/>
    <x v="0"/>
    <x v="0"/>
    <x v="20"/>
    <x v="0"/>
    <x v="0"/>
    <x v="0"/>
    <x v="16"/>
    <n v="0.1212"/>
    <n v="0.36"/>
    <n v="0.25369999999999998"/>
    <x v="3"/>
    <x v="95"/>
    <x v="20"/>
  </r>
  <r>
    <x v="182"/>
    <x v="7"/>
    <x v="0"/>
    <x v="0"/>
    <x v="0"/>
    <x v="21"/>
    <x v="0"/>
    <x v="0"/>
    <x v="0"/>
    <x v="16"/>
    <n v="0.1061"/>
    <n v="0.39"/>
    <n v="0.35820000000000002"/>
    <x v="4"/>
    <x v="96"/>
    <x v="18"/>
  </r>
  <r>
    <x v="183"/>
    <x v="7"/>
    <x v="0"/>
    <x v="0"/>
    <x v="0"/>
    <x v="22"/>
    <x v="0"/>
    <x v="0"/>
    <x v="0"/>
    <x v="16"/>
    <n v="0.1061"/>
    <n v="0.36"/>
    <n v="0.3881"/>
    <x v="5"/>
    <x v="39"/>
    <x v="19"/>
  </r>
  <r>
    <x v="184"/>
    <x v="7"/>
    <x v="0"/>
    <x v="0"/>
    <x v="0"/>
    <x v="23"/>
    <x v="0"/>
    <x v="0"/>
    <x v="0"/>
    <x v="18"/>
    <n v="6.0600000000000001E-2"/>
    <n v="0.39"/>
    <n v="0.44779999999999998"/>
    <x v="3"/>
    <x v="97"/>
    <x v="34"/>
  </r>
  <r>
    <x v="185"/>
    <x v="8"/>
    <x v="0"/>
    <x v="0"/>
    <x v="0"/>
    <x v="0"/>
    <x v="0"/>
    <x v="1"/>
    <x v="0"/>
    <x v="18"/>
    <n v="7.5800000000000006E-2"/>
    <n v="0.42"/>
    <n v="0.3881"/>
    <x v="5"/>
    <x v="9"/>
    <x v="94"/>
  </r>
  <r>
    <x v="186"/>
    <x v="8"/>
    <x v="0"/>
    <x v="0"/>
    <x v="0"/>
    <x v="1"/>
    <x v="0"/>
    <x v="1"/>
    <x v="0"/>
    <x v="18"/>
    <n v="6.0600000000000001E-2"/>
    <n v="0.42"/>
    <n v="0.4627"/>
    <x v="3"/>
    <x v="98"/>
    <x v="47"/>
  </r>
  <r>
    <x v="187"/>
    <x v="8"/>
    <x v="0"/>
    <x v="0"/>
    <x v="0"/>
    <x v="2"/>
    <x v="0"/>
    <x v="1"/>
    <x v="0"/>
    <x v="18"/>
    <n v="6.0600000000000001E-2"/>
    <n v="0.46"/>
    <n v="0.4627"/>
    <x v="3"/>
    <x v="48"/>
    <x v="62"/>
  </r>
  <r>
    <x v="188"/>
    <x v="8"/>
    <x v="0"/>
    <x v="0"/>
    <x v="0"/>
    <x v="3"/>
    <x v="0"/>
    <x v="1"/>
    <x v="0"/>
    <x v="18"/>
    <n v="7.5800000000000006E-2"/>
    <n v="0.46"/>
    <n v="0.41789999999999999"/>
    <x v="3"/>
    <x v="22"/>
    <x v="48"/>
  </r>
  <r>
    <x v="189"/>
    <x v="8"/>
    <x v="0"/>
    <x v="0"/>
    <x v="0"/>
    <x v="4"/>
    <x v="0"/>
    <x v="1"/>
    <x v="0"/>
    <x v="19"/>
    <n v="9.0899999999999995E-2"/>
    <n v="0.53"/>
    <n v="0.19400000000000001"/>
    <x v="3"/>
    <x v="4"/>
    <x v="4"/>
  </r>
  <r>
    <x v="190"/>
    <x v="8"/>
    <x v="0"/>
    <x v="0"/>
    <x v="0"/>
    <x v="5"/>
    <x v="0"/>
    <x v="1"/>
    <x v="0"/>
    <x v="19"/>
    <n v="9.0899999999999995E-2"/>
    <n v="0.53"/>
    <n v="0.19400000000000001"/>
    <x v="3"/>
    <x v="4"/>
    <x v="4"/>
  </r>
  <r>
    <x v="191"/>
    <x v="8"/>
    <x v="0"/>
    <x v="0"/>
    <x v="0"/>
    <x v="6"/>
    <x v="0"/>
    <x v="1"/>
    <x v="0"/>
    <x v="18"/>
    <n v="9.0899999999999995E-2"/>
    <n v="0.49"/>
    <n v="0.28360000000000002"/>
    <x v="3"/>
    <x v="4"/>
    <x v="4"/>
  </r>
  <r>
    <x v="192"/>
    <x v="8"/>
    <x v="0"/>
    <x v="0"/>
    <x v="0"/>
    <x v="7"/>
    <x v="0"/>
    <x v="1"/>
    <x v="0"/>
    <x v="19"/>
    <n v="9.0899999999999995E-2"/>
    <n v="0.53"/>
    <n v="0.19400000000000001"/>
    <x v="5"/>
    <x v="34"/>
    <x v="24"/>
  </r>
  <r>
    <x v="193"/>
    <x v="8"/>
    <x v="0"/>
    <x v="0"/>
    <x v="0"/>
    <x v="8"/>
    <x v="0"/>
    <x v="1"/>
    <x v="0"/>
    <x v="18"/>
    <n v="9.0899999999999995E-2"/>
    <n v="0.49"/>
    <n v="0.28360000000000002"/>
    <x v="3"/>
    <x v="3"/>
    <x v="98"/>
  </r>
  <r>
    <x v="194"/>
    <x v="8"/>
    <x v="0"/>
    <x v="0"/>
    <x v="0"/>
    <x v="9"/>
    <x v="0"/>
    <x v="1"/>
    <x v="0"/>
    <x v="16"/>
    <n v="7.5800000000000006E-2"/>
    <n v="0.46"/>
    <n v="0.52239999999999998"/>
    <x v="3"/>
    <x v="23"/>
    <x v="75"/>
  </r>
  <r>
    <x v="195"/>
    <x v="8"/>
    <x v="0"/>
    <x v="0"/>
    <x v="0"/>
    <x v="10"/>
    <x v="0"/>
    <x v="1"/>
    <x v="0"/>
    <x v="14"/>
    <n v="0.1061"/>
    <n v="0.43"/>
    <n v="0.3881"/>
    <x v="3"/>
    <x v="47"/>
    <x v="99"/>
  </r>
  <r>
    <x v="196"/>
    <x v="8"/>
    <x v="0"/>
    <x v="0"/>
    <x v="0"/>
    <x v="11"/>
    <x v="0"/>
    <x v="1"/>
    <x v="0"/>
    <x v="13"/>
    <n v="0.1212"/>
    <n v="0.4"/>
    <n v="0.52239999999999998"/>
    <x v="4"/>
    <x v="12"/>
    <x v="99"/>
  </r>
  <r>
    <x v="197"/>
    <x v="8"/>
    <x v="0"/>
    <x v="0"/>
    <x v="0"/>
    <x v="12"/>
    <x v="0"/>
    <x v="1"/>
    <x v="0"/>
    <x v="15"/>
    <n v="0.13639999999999999"/>
    <n v="0.37"/>
    <n v="0.44779999999999998"/>
    <x v="17"/>
    <x v="55"/>
    <x v="56"/>
  </r>
  <r>
    <x v="198"/>
    <x v="8"/>
    <x v="0"/>
    <x v="0"/>
    <x v="0"/>
    <x v="13"/>
    <x v="0"/>
    <x v="1"/>
    <x v="0"/>
    <x v="2"/>
    <n v="0.16669999999999999"/>
    <n v="0.34"/>
    <n v="0.44779999999999998"/>
    <x v="15"/>
    <x v="94"/>
    <x v="28"/>
  </r>
  <r>
    <x v="199"/>
    <x v="8"/>
    <x v="0"/>
    <x v="0"/>
    <x v="0"/>
    <x v="14"/>
    <x v="0"/>
    <x v="1"/>
    <x v="0"/>
    <x v="1"/>
    <n v="0.18179999999999999"/>
    <n v="0.32"/>
    <n v="0.4627"/>
    <x v="1"/>
    <x v="27"/>
    <x v="44"/>
  </r>
  <r>
    <x v="200"/>
    <x v="8"/>
    <x v="0"/>
    <x v="0"/>
    <x v="0"/>
    <x v="15"/>
    <x v="0"/>
    <x v="1"/>
    <x v="0"/>
    <x v="1"/>
    <n v="0.19700000000000001"/>
    <n v="0.35"/>
    <n v="0.35820000000000002"/>
    <x v="2"/>
    <x v="99"/>
    <x v="100"/>
  </r>
  <r>
    <x v="201"/>
    <x v="8"/>
    <x v="0"/>
    <x v="0"/>
    <x v="0"/>
    <x v="16"/>
    <x v="0"/>
    <x v="1"/>
    <x v="0"/>
    <x v="2"/>
    <n v="0.16669999999999999"/>
    <n v="0.34"/>
    <n v="0.44779999999999998"/>
    <x v="23"/>
    <x v="55"/>
    <x v="101"/>
  </r>
  <r>
    <x v="202"/>
    <x v="8"/>
    <x v="0"/>
    <x v="0"/>
    <x v="0"/>
    <x v="17"/>
    <x v="0"/>
    <x v="1"/>
    <x v="0"/>
    <x v="15"/>
    <n v="0.1515"/>
    <n v="0.37"/>
    <n v="0.3881"/>
    <x v="0"/>
    <x v="79"/>
    <x v="69"/>
  </r>
  <r>
    <x v="203"/>
    <x v="8"/>
    <x v="0"/>
    <x v="0"/>
    <x v="0"/>
    <x v="18"/>
    <x v="0"/>
    <x v="1"/>
    <x v="0"/>
    <x v="13"/>
    <n v="0.13639999999999999"/>
    <n v="0.4"/>
    <n v="0.32840000000000003"/>
    <x v="17"/>
    <x v="100"/>
    <x v="61"/>
  </r>
  <r>
    <x v="204"/>
    <x v="8"/>
    <x v="0"/>
    <x v="0"/>
    <x v="0"/>
    <x v="19"/>
    <x v="0"/>
    <x v="1"/>
    <x v="0"/>
    <x v="13"/>
    <n v="0.13639999999999999"/>
    <n v="0.43"/>
    <n v="0.32840000000000003"/>
    <x v="5"/>
    <x v="71"/>
    <x v="102"/>
  </r>
  <r>
    <x v="205"/>
    <x v="8"/>
    <x v="0"/>
    <x v="0"/>
    <x v="0"/>
    <x v="20"/>
    <x v="0"/>
    <x v="1"/>
    <x v="0"/>
    <x v="14"/>
    <n v="0.1212"/>
    <n v="0.46"/>
    <n v="0.25369999999999998"/>
    <x v="3"/>
    <x v="101"/>
    <x v="103"/>
  </r>
  <r>
    <x v="206"/>
    <x v="8"/>
    <x v="0"/>
    <x v="0"/>
    <x v="0"/>
    <x v="21"/>
    <x v="0"/>
    <x v="1"/>
    <x v="0"/>
    <x v="14"/>
    <n v="0.1061"/>
    <n v="0.46"/>
    <n v="0.41789999999999999"/>
    <x v="5"/>
    <x v="23"/>
    <x v="25"/>
  </r>
  <r>
    <x v="207"/>
    <x v="8"/>
    <x v="0"/>
    <x v="0"/>
    <x v="0"/>
    <x v="22"/>
    <x v="0"/>
    <x v="1"/>
    <x v="0"/>
    <x v="14"/>
    <n v="0.1212"/>
    <n v="0.46"/>
    <n v="0.29849999999999999"/>
    <x v="2"/>
    <x v="3"/>
    <x v="93"/>
  </r>
  <r>
    <x v="208"/>
    <x v="8"/>
    <x v="0"/>
    <x v="0"/>
    <x v="0"/>
    <x v="23"/>
    <x v="0"/>
    <x v="1"/>
    <x v="0"/>
    <x v="16"/>
    <n v="0.13639999999999999"/>
    <n v="0.5"/>
    <n v="0.19400000000000001"/>
    <x v="3"/>
    <x v="8"/>
    <x v="24"/>
  </r>
  <r>
    <x v="209"/>
    <x v="9"/>
    <x v="0"/>
    <x v="0"/>
    <x v="0"/>
    <x v="0"/>
    <x v="0"/>
    <x v="2"/>
    <x v="0"/>
    <x v="16"/>
    <n v="0.1212"/>
    <n v="0.5"/>
    <n v="0.28360000000000002"/>
    <x v="4"/>
    <x v="35"/>
    <x v="36"/>
  </r>
  <r>
    <x v="210"/>
    <x v="9"/>
    <x v="0"/>
    <x v="0"/>
    <x v="0"/>
    <x v="1"/>
    <x v="0"/>
    <x v="2"/>
    <x v="0"/>
    <x v="16"/>
    <n v="0.1212"/>
    <n v="0.5"/>
    <n v="0.28360000000000002"/>
    <x v="5"/>
    <x v="5"/>
    <x v="4"/>
  </r>
  <r>
    <x v="211"/>
    <x v="9"/>
    <x v="0"/>
    <x v="0"/>
    <x v="0"/>
    <x v="2"/>
    <x v="0"/>
    <x v="2"/>
    <x v="0"/>
    <x v="16"/>
    <n v="0.1212"/>
    <n v="0.5"/>
    <n v="0.22389999999999999"/>
    <x v="3"/>
    <x v="35"/>
    <x v="6"/>
  </r>
  <r>
    <x v="212"/>
    <x v="9"/>
    <x v="0"/>
    <x v="0"/>
    <x v="0"/>
    <x v="3"/>
    <x v="0"/>
    <x v="2"/>
    <x v="0"/>
    <x v="16"/>
    <n v="0.1212"/>
    <n v="0.5"/>
    <n v="0.22389999999999999"/>
    <x v="3"/>
    <x v="4"/>
    <x v="4"/>
  </r>
  <r>
    <x v="213"/>
    <x v="9"/>
    <x v="0"/>
    <x v="0"/>
    <x v="0"/>
    <x v="4"/>
    <x v="0"/>
    <x v="2"/>
    <x v="0"/>
    <x v="18"/>
    <n v="0.1212"/>
    <n v="0.54"/>
    <n v="0.1343"/>
    <x v="5"/>
    <x v="6"/>
    <x v="6"/>
  </r>
  <r>
    <x v="214"/>
    <x v="9"/>
    <x v="0"/>
    <x v="0"/>
    <x v="0"/>
    <x v="5"/>
    <x v="0"/>
    <x v="2"/>
    <x v="0"/>
    <x v="18"/>
    <n v="0.1061"/>
    <n v="0.54"/>
    <n v="0.25369999999999998"/>
    <x v="3"/>
    <x v="35"/>
    <x v="6"/>
  </r>
  <r>
    <x v="215"/>
    <x v="9"/>
    <x v="0"/>
    <x v="0"/>
    <x v="0"/>
    <x v="6"/>
    <x v="0"/>
    <x v="2"/>
    <x v="0"/>
    <x v="16"/>
    <n v="0.1212"/>
    <n v="0.5"/>
    <n v="0.28360000000000002"/>
    <x v="3"/>
    <x v="17"/>
    <x v="35"/>
  </r>
  <r>
    <x v="216"/>
    <x v="9"/>
    <x v="0"/>
    <x v="0"/>
    <x v="0"/>
    <x v="7"/>
    <x v="0"/>
    <x v="2"/>
    <x v="0"/>
    <x v="16"/>
    <n v="0.1212"/>
    <n v="0.5"/>
    <n v="0.22389999999999999"/>
    <x v="4"/>
    <x v="102"/>
    <x v="43"/>
  </r>
  <r>
    <x v="217"/>
    <x v="9"/>
    <x v="0"/>
    <x v="0"/>
    <x v="0"/>
    <x v="8"/>
    <x v="0"/>
    <x v="2"/>
    <x v="1"/>
    <x v="16"/>
    <n v="0.1212"/>
    <n v="0.5"/>
    <n v="0.28360000000000002"/>
    <x v="17"/>
    <x v="103"/>
    <x v="104"/>
  </r>
  <r>
    <x v="218"/>
    <x v="9"/>
    <x v="0"/>
    <x v="0"/>
    <x v="0"/>
    <x v="9"/>
    <x v="0"/>
    <x v="2"/>
    <x v="1"/>
    <x v="14"/>
    <n v="0.1212"/>
    <n v="0.5"/>
    <n v="0.25369999999999998"/>
    <x v="4"/>
    <x v="50"/>
    <x v="12"/>
  </r>
  <r>
    <x v="219"/>
    <x v="9"/>
    <x v="0"/>
    <x v="0"/>
    <x v="0"/>
    <x v="10"/>
    <x v="0"/>
    <x v="2"/>
    <x v="1"/>
    <x v="14"/>
    <n v="0.1212"/>
    <n v="0.5"/>
    <n v="0.29849999999999999"/>
    <x v="3"/>
    <x v="17"/>
    <x v="35"/>
  </r>
  <r>
    <x v="220"/>
    <x v="9"/>
    <x v="0"/>
    <x v="0"/>
    <x v="0"/>
    <x v="11"/>
    <x v="0"/>
    <x v="2"/>
    <x v="1"/>
    <x v="13"/>
    <n v="0.13639999999999999"/>
    <n v="0.47"/>
    <n v="0.28360000000000002"/>
    <x v="4"/>
    <x v="95"/>
    <x v="33"/>
  </r>
  <r>
    <x v="221"/>
    <x v="9"/>
    <x v="0"/>
    <x v="0"/>
    <x v="0"/>
    <x v="12"/>
    <x v="0"/>
    <x v="2"/>
    <x v="1"/>
    <x v="2"/>
    <n v="0.18179999999999999"/>
    <n v="0.4"/>
    <n v="0.28360000000000002"/>
    <x v="2"/>
    <x v="12"/>
    <x v="46"/>
  </r>
  <r>
    <x v="222"/>
    <x v="9"/>
    <x v="0"/>
    <x v="0"/>
    <x v="0"/>
    <x v="13"/>
    <x v="0"/>
    <x v="2"/>
    <x v="1"/>
    <x v="2"/>
    <n v="0.18179999999999999"/>
    <n v="0.4"/>
    <n v="0.28360000000000002"/>
    <x v="17"/>
    <x v="54"/>
    <x v="60"/>
  </r>
  <r>
    <x v="223"/>
    <x v="9"/>
    <x v="0"/>
    <x v="0"/>
    <x v="0"/>
    <x v="14"/>
    <x v="0"/>
    <x v="2"/>
    <x v="1"/>
    <x v="2"/>
    <n v="0.19700000000000001"/>
    <n v="0.4"/>
    <n v="0.22389999999999999"/>
    <x v="3"/>
    <x v="12"/>
    <x v="105"/>
  </r>
  <r>
    <x v="224"/>
    <x v="9"/>
    <x v="0"/>
    <x v="0"/>
    <x v="0"/>
    <x v="15"/>
    <x v="0"/>
    <x v="2"/>
    <x v="1"/>
    <x v="2"/>
    <n v="0.19700000000000001"/>
    <n v="0.4"/>
    <n v="0.22389999999999999"/>
    <x v="4"/>
    <x v="30"/>
    <x v="79"/>
  </r>
  <r>
    <x v="225"/>
    <x v="9"/>
    <x v="0"/>
    <x v="0"/>
    <x v="0"/>
    <x v="16"/>
    <x v="0"/>
    <x v="2"/>
    <x v="0"/>
    <x v="2"/>
    <n v="0.21210000000000001"/>
    <n v="0.4"/>
    <n v="0.1343"/>
    <x v="17"/>
    <x v="14"/>
    <x v="30"/>
  </r>
  <r>
    <x v="226"/>
    <x v="9"/>
    <x v="0"/>
    <x v="0"/>
    <x v="0"/>
    <x v="17"/>
    <x v="0"/>
    <x v="2"/>
    <x v="0"/>
    <x v="2"/>
    <n v="0.2273"/>
    <n v="0.4"/>
    <n v="0.1045"/>
    <x v="17"/>
    <x v="104"/>
    <x v="106"/>
  </r>
  <r>
    <x v="227"/>
    <x v="9"/>
    <x v="0"/>
    <x v="0"/>
    <x v="0"/>
    <x v="18"/>
    <x v="0"/>
    <x v="2"/>
    <x v="0"/>
    <x v="2"/>
    <n v="0.19700000000000001"/>
    <n v="0.4"/>
    <n v="0.22389999999999999"/>
    <x v="5"/>
    <x v="105"/>
    <x v="107"/>
  </r>
  <r>
    <x v="228"/>
    <x v="9"/>
    <x v="0"/>
    <x v="0"/>
    <x v="0"/>
    <x v="19"/>
    <x v="0"/>
    <x v="2"/>
    <x v="0"/>
    <x v="13"/>
    <n v="0.16669999999999999"/>
    <n v="0.47"/>
    <n v="0.16420000000000001"/>
    <x v="0"/>
    <x v="50"/>
    <x v="76"/>
  </r>
  <r>
    <x v="229"/>
    <x v="9"/>
    <x v="0"/>
    <x v="0"/>
    <x v="0"/>
    <x v="20"/>
    <x v="0"/>
    <x v="2"/>
    <x v="0"/>
    <x v="13"/>
    <n v="0.16669999999999999"/>
    <n v="0.5"/>
    <n v="0.16420000000000001"/>
    <x v="5"/>
    <x v="26"/>
    <x v="30"/>
  </r>
  <r>
    <x v="230"/>
    <x v="9"/>
    <x v="0"/>
    <x v="0"/>
    <x v="0"/>
    <x v="21"/>
    <x v="0"/>
    <x v="2"/>
    <x v="0"/>
    <x v="14"/>
    <n v="0.13639999999999999"/>
    <n v="0.59"/>
    <n v="0.19400000000000001"/>
    <x v="5"/>
    <x v="53"/>
    <x v="103"/>
  </r>
  <r>
    <x v="231"/>
    <x v="9"/>
    <x v="0"/>
    <x v="0"/>
    <x v="0"/>
    <x v="22"/>
    <x v="0"/>
    <x v="2"/>
    <x v="0"/>
    <x v="14"/>
    <n v="0.1515"/>
    <n v="0.59"/>
    <n v="0.16420000000000001"/>
    <x v="4"/>
    <x v="97"/>
    <x v="108"/>
  </r>
  <r>
    <x v="232"/>
    <x v="9"/>
    <x v="0"/>
    <x v="0"/>
    <x v="0"/>
    <x v="23"/>
    <x v="0"/>
    <x v="2"/>
    <x v="0"/>
    <x v="14"/>
    <n v="0.1515"/>
    <n v="0.59"/>
    <n v="0.16420000000000001"/>
    <x v="3"/>
    <x v="72"/>
    <x v="109"/>
  </r>
  <r>
    <x v="233"/>
    <x v="10"/>
    <x v="0"/>
    <x v="0"/>
    <x v="0"/>
    <x v="0"/>
    <x v="0"/>
    <x v="3"/>
    <x v="0"/>
    <x v="14"/>
    <n v="0.16669999999999999"/>
    <n v="0.59"/>
    <n v="0.1045"/>
    <x v="4"/>
    <x v="3"/>
    <x v="47"/>
  </r>
  <r>
    <x v="234"/>
    <x v="10"/>
    <x v="0"/>
    <x v="0"/>
    <x v="0"/>
    <x v="1"/>
    <x v="0"/>
    <x v="3"/>
    <x v="0"/>
    <x v="14"/>
    <n v="0.1515"/>
    <n v="0.59"/>
    <n v="0.16420000000000001"/>
    <x v="3"/>
    <x v="35"/>
    <x v="6"/>
  </r>
  <r>
    <x v="235"/>
    <x v="10"/>
    <x v="0"/>
    <x v="0"/>
    <x v="0"/>
    <x v="2"/>
    <x v="0"/>
    <x v="3"/>
    <x v="1"/>
    <x v="13"/>
    <n v="0.1515"/>
    <n v="0.55000000000000004"/>
    <n v="0.19400000000000001"/>
    <x v="3"/>
    <x v="35"/>
    <x v="6"/>
  </r>
  <r>
    <x v="236"/>
    <x v="10"/>
    <x v="0"/>
    <x v="0"/>
    <x v="0"/>
    <x v="5"/>
    <x v="0"/>
    <x v="3"/>
    <x v="1"/>
    <x v="13"/>
    <n v="0.18179999999999999"/>
    <n v="0.55000000000000004"/>
    <n v="0.1343"/>
    <x v="3"/>
    <x v="8"/>
    <x v="24"/>
  </r>
  <r>
    <x v="237"/>
    <x v="10"/>
    <x v="0"/>
    <x v="0"/>
    <x v="0"/>
    <x v="6"/>
    <x v="0"/>
    <x v="3"/>
    <x v="1"/>
    <x v="13"/>
    <n v="0.18179999999999999"/>
    <n v="0.55000000000000004"/>
    <n v="0.1343"/>
    <x v="3"/>
    <x v="2"/>
    <x v="110"/>
  </r>
  <r>
    <x v="238"/>
    <x v="10"/>
    <x v="0"/>
    <x v="0"/>
    <x v="0"/>
    <x v="7"/>
    <x v="0"/>
    <x v="3"/>
    <x v="1"/>
    <x v="13"/>
    <n v="0.2273"/>
    <n v="0.55000000000000004"/>
    <n v="0"/>
    <x v="4"/>
    <x v="106"/>
    <x v="111"/>
  </r>
  <r>
    <x v="239"/>
    <x v="10"/>
    <x v="0"/>
    <x v="0"/>
    <x v="0"/>
    <x v="8"/>
    <x v="0"/>
    <x v="3"/>
    <x v="1"/>
    <x v="15"/>
    <n v="0.21210000000000001"/>
    <n v="0.51"/>
    <n v="8.9599999999999999E-2"/>
    <x v="0"/>
    <x v="107"/>
    <x v="112"/>
  </r>
  <r>
    <x v="240"/>
    <x v="10"/>
    <x v="0"/>
    <x v="0"/>
    <x v="0"/>
    <x v="9"/>
    <x v="0"/>
    <x v="3"/>
    <x v="1"/>
    <x v="15"/>
    <n v="0.19700000000000001"/>
    <n v="0.51"/>
    <n v="0.16420000000000001"/>
    <x v="0"/>
    <x v="69"/>
    <x v="113"/>
  </r>
  <r>
    <x v="241"/>
    <x v="10"/>
    <x v="0"/>
    <x v="0"/>
    <x v="0"/>
    <x v="10"/>
    <x v="0"/>
    <x v="3"/>
    <x v="1"/>
    <x v="2"/>
    <n v="0.21210000000000001"/>
    <n v="0.51"/>
    <n v="0.16420000000000001"/>
    <x v="0"/>
    <x v="82"/>
    <x v="60"/>
  </r>
  <r>
    <x v="242"/>
    <x v="10"/>
    <x v="0"/>
    <x v="0"/>
    <x v="0"/>
    <x v="11"/>
    <x v="0"/>
    <x v="3"/>
    <x v="1"/>
    <x v="2"/>
    <n v="0.21210000000000001"/>
    <n v="0.47"/>
    <n v="0.1343"/>
    <x v="17"/>
    <x v="17"/>
    <x v="17"/>
  </r>
  <r>
    <x v="243"/>
    <x v="10"/>
    <x v="0"/>
    <x v="0"/>
    <x v="0"/>
    <x v="12"/>
    <x v="0"/>
    <x v="3"/>
    <x v="1"/>
    <x v="2"/>
    <n v="0.2273"/>
    <n v="0.51"/>
    <n v="0.1045"/>
    <x v="4"/>
    <x v="11"/>
    <x v="52"/>
  </r>
  <r>
    <x v="244"/>
    <x v="10"/>
    <x v="0"/>
    <x v="0"/>
    <x v="0"/>
    <x v="13"/>
    <x v="0"/>
    <x v="3"/>
    <x v="1"/>
    <x v="2"/>
    <n v="0.2273"/>
    <n v="0.59"/>
    <n v="8.9599999999999999E-2"/>
    <x v="15"/>
    <x v="24"/>
    <x v="46"/>
  </r>
  <r>
    <x v="245"/>
    <x v="10"/>
    <x v="0"/>
    <x v="0"/>
    <x v="0"/>
    <x v="14"/>
    <x v="0"/>
    <x v="3"/>
    <x v="1"/>
    <x v="2"/>
    <n v="0.2273"/>
    <n v="0.59"/>
    <n v="8.9599999999999999E-2"/>
    <x v="0"/>
    <x v="91"/>
    <x v="55"/>
  </r>
  <r>
    <x v="246"/>
    <x v="10"/>
    <x v="0"/>
    <x v="0"/>
    <x v="0"/>
    <x v="15"/>
    <x v="0"/>
    <x v="3"/>
    <x v="1"/>
    <x v="13"/>
    <n v="0.19700000000000001"/>
    <n v="0.8"/>
    <n v="8.9599999999999999E-2"/>
    <x v="4"/>
    <x v="108"/>
    <x v="105"/>
  </r>
  <r>
    <x v="247"/>
    <x v="10"/>
    <x v="0"/>
    <x v="0"/>
    <x v="0"/>
    <x v="16"/>
    <x v="0"/>
    <x v="3"/>
    <x v="1"/>
    <x v="13"/>
    <n v="0.1515"/>
    <n v="0.86"/>
    <n v="0.22389999999999999"/>
    <x v="17"/>
    <x v="109"/>
    <x v="31"/>
  </r>
  <r>
    <x v="248"/>
    <x v="10"/>
    <x v="0"/>
    <x v="0"/>
    <x v="0"/>
    <x v="17"/>
    <x v="0"/>
    <x v="3"/>
    <x v="1"/>
    <x v="13"/>
    <n v="0.1515"/>
    <n v="0.86"/>
    <n v="0.22389999999999999"/>
    <x v="15"/>
    <x v="110"/>
    <x v="114"/>
  </r>
  <r>
    <x v="249"/>
    <x v="10"/>
    <x v="0"/>
    <x v="0"/>
    <x v="0"/>
    <x v="18"/>
    <x v="0"/>
    <x v="3"/>
    <x v="2"/>
    <x v="13"/>
    <n v="0.18179999999999999"/>
    <n v="0.93"/>
    <n v="0.1045"/>
    <x v="5"/>
    <x v="111"/>
    <x v="76"/>
  </r>
  <r>
    <x v="250"/>
    <x v="10"/>
    <x v="0"/>
    <x v="0"/>
    <x v="0"/>
    <x v="19"/>
    <x v="0"/>
    <x v="3"/>
    <x v="2"/>
    <x v="13"/>
    <n v="0.2273"/>
    <n v="0.93"/>
    <n v="0"/>
    <x v="3"/>
    <x v="82"/>
    <x v="41"/>
  </r>
  <r>
    <x v="251"/>
    <x v="10"/>
    <x v="0"/>
    <x v="0"/>
    <x v="0"/>
    <x v="20"/>
    <x v="0"/>
    <x v="3"/>
    <x v="2"/>
    <x v="13"/>
    <n v="0.1515"/>
    <n v="0.93"/>
    <n v="0.19400000000000001"/>
    <x v="3"/>
    <x v="1"/>
    <x v="2"/>
  </r>
  <r>
    <x v="252"/>
    <x v="10"/>
    <x v="0"/>
    <x v="0"/>
    <x v="0"/>
    <x v="21"/>
    <x v="0"/>
    <x v="3"/>
    <x v="2"/>
    <x v="13"/>
    <n v="0.19700000000000001"/>
    <n v="0.86"/>
    <n v="8.9599999999999999E-2"/>
    <x v="3"/>
    <x v="32"/>
    <x v="25"/>
  </r>
  <r>
    <x v="253"/>
    <x v="10"/>
    <x v="0"/>
    <x v="0"/>
    <x v="0"/>
    <x v="22"/>
    <x v="0"/>
    <x v="3"/>
    <x v="2"/>
    <x v="13"/>
    <n v="0.18179999999999999"/>
    <n v="0.93"/>
    <n v="0.1045"/>
    <x v="5"/>
    <x v="95"/>
    <x v="115"/>
  </r>
  <r>
    <x v="254"/>
    <x v="10"/>
    <x v="0"/>
    <x v="0"/>
    <x v="0"/>
    <x v="23"/>
    <x v="0"/>
    <x v="3"/>
    <x v="2"/>
    <x v="13"/>
    <n v="0.19700000000000001"/>
    <n v="0.93"/>
    <n v="8.9599999999999999E-2"/>
    <x v="5"/>
    <x v="72"/>
    <x v="75"/>
  </r>
  <r>
    <x v="255"/>
    <x v="11"/>
    <x v="0"/>
    <x v="0"/>
    <x v="0"/>
    <x v="0"/>
    <x v="0"/>
    <x v="4"/>
    <x v="1"/>
    <x v="13"/>
    <n v="0.19700000000000001"/>
    <n v="0.86"/>
    <n v="8.9599999999999999E-2"/>
    <x v="3"/>
    <x v="7"/>
    <x v="85"/>
  </r>
  <r>
    <x v="256"/>
    <x v="11"/>
    <x v="0"/>
    <x v="0"/>
    <x v="0"/>
    <x v="1"/>
    <x v="0"/>
    <x v="4"/>
    <x v="1"/>
    <x v="13"/>
    <n v="0.18179999999999999"/>
    <n v="0.86"/>
    <n v="0.1045"/>
    <x v="3"/>
    <x v="8"/>
    <x v="24"/>
  </r>
  <r>
    <x v="257"/>
    <x v="11"/>
    <x v="0"/>
    <x v="0"/>
    <x v="0"/>
    <x v="2"/>
    <x v="0"/>
    <x v="4"/>
    <x v="0"/>
    <x v="14"/>
    <n v="0.1515"/>
    <n v="0.86"/>
    <n v="0.1343"/>
    <x v="3"/>
    <x v="4"/>
    <x v="4"/>
  </r>
  <r>
    <x v="258"/>
    <x v="11"/>
    <x v="0"/>
    <x v="0"/>
    <x v="0"/>
    <x v="5"/>
    <x v="0"/>
    <x v="4"/>
    <x v="0"/>
    <x v="14"/>
    <n v="0.1515"/>
    <n v="0.86"/>
    <n v="0.16420000000000001"/>
    <x v="3"/>
    <x v="34"/>
    <x v="36"/>
  </r>
  <r>
    <x v="259"/>
    <x v="11"/>
    <x v="0"/>
    <x v="0"/>
    <x v="0"/>
    <x v="6"/>
    <x v="0"/>
    <x v="4"/>
    <x v="0"/>
    <x v="16"/>
    <n v="0.1515"/>
    <n v="0.93"/>
    <n v="0.1343"/>
    <x v="3"/>
    <x v="20"/>
    <x v="0"/>
  </r>
  <r>
    <x v="260"/>
    <x v="11"/>
    <x v="0"/>
    <x v="0"/>
    <x v="0"/>
    <x v="7"/>
    <x v="0"/>
    <x v="4"/>
    <x v="0"/>
    <x v="14"/>
    <n v="0.1515"/>
    <n v="0.69"/>
    <n v="0.1343"/>
    <x v="3"/>
    <x v="25"/>
    <x v="60"/>
  </r>
  <r>
    <x v="261"/>
    <x v="11"/>
    <x v="0"/>
    <x v="0"/>
    <x v="0"/>
    <x v="8"/>
    <x v="0"/>
    <x v="4"/>
    <x v="0"/>
    <x v="13"/>
    <n v="0.16669999999999999"/>
    <n v="0.59"/>
    <n v="0.16420000000000001"/>
    <x v="0"/>
    <x v="85"/>
    <x v="116"/>
  </r>
  <r>
    <x v="262"/>
    <x v="11"/>
    <x v="0"/>
    <x v="0"/>
    <x v="0"/>
    <x v="9"/>
    <x v="0"/>
    <x v="4"/>
    <x v="0"/>
    <x v="13"/>
    <n v="0.13639999999999999"/>
    <n v="0.59"/>
    <n v="0.32840000000000003"/>
    <x v="0"/>
    <x v="78"/>
    <x v="117"/>
  </r>
  <r>
    <x v="263"/>
    <x v="11"/>
    <x v="0"/>
    <x v="0"/>
    <x v="0"/>
    <x v="10"/>
    <x v="0"/>
    <x v="4"/>
    <x v="0"/>
    <x v="15"/>
    <n v="0.18179999999999999"/>
    <n v="0.55000000000000004"/>
    <n v="0.22389999999999999"/>
    <x v="3"/>
    <x v="87"/>
    <x v="21"/>
  </r>
  <r>
    <x v="264"/>
    <x v="11"/>
    <x v="0"/>
    <x v="0"/>
    <x v="0"/>
    <x v="11"/>
    <x v="0"/>
    <x v="4"/>
    <x v="0"/>
    <x v="2"/>
    <n v="0.18179999999999999"/>
    <n v="0.51"/>
    <n v="0.3881"/>
    <x v="0"/>
    <x v="1"/>
    <x v="17"/>
  </r>
  <r>
    <x v="265"/>
    <x v="11"/>
    <x v="0"/>
    <x v="0"/>
    <x v="0"/>
    <x v="12"/>
    <x v="0"/>
    <x v="4"/>
    <x v="0"/>
    <x v="2"/>
    <n v="0.1515"/>
    <n v="0.47"/>
    <n v="0.58209999999999995"/>
    <x v="0"/>
    <x v="15"/>
    <x v="97"/>
  </r>
  <r>
    <x v="266"/>
    <x v="11"/>
    <x v="0"/>
    <x v="0"/>
    <x v="0"/>
    <x v="13"/>
    <x v="0"/>
    <x v="4"/>
    <x v="0"/>
    <x v="1"/>
    <n v="0.19700000000000001"/>
    <n v="0.44"/>
    <n v="0.35820000000000002"/>
    <x v="3"/>
    <x v="47"/>
    <x v="99"/>
  </r>
  <r>
    <x v="267"/>
    <x v="11"/>
    <x v="0"/>
    <x v="0"/>
    <x v="0"/>
    <x v="14"/>
    <x v="0"/>
    <x v="4"/>
    <x v="0"/>
    <x v="2"/>
    <n v="0.18179999999999999"/>
    <n v="0.47"/>
    <n v="0.32840000000000003"/>
    <x v="3"/>
    <x v="100"/>
    <x v="40"/>
  </r>
  <r>
    <x v="268"/>
    <x v="11"/>
    <x v="0"/>
    <x v="0"/>
    <x v="0"/>
    <x v="15"/>
    <x v="0"/>
    <x v="4"/>
    <x v="0"/>
    <x v="2"/>
    <n v="0.16669999999999999"/>
    <n v="0.47"/>
    <n v="0.41789999999999999"/>
    <x v="5"/>
    <x v="41"/>
    <x v="99"/>
  </r>
  <r>
    <x v="269"/>
    <x v="11"/>
    <x v="0"/>
    <x v="0"/>
    <x v="0"/>
    <x v="16"/>
    <x v="0"/>
    <x v="4"/>
    <x v="0"/>
    <x v="1"/>
    <n v="0.19700000000000001"/>
    <n v="0.44"/>
    <n v="0.32840000000000003"/>
    <x v="2"/>
    <x v="36"/>
    <x v="118"/>
  </r>
  <r>
    <x v="270"/>
    <x v="11"/>
    <x v="0"/>
    <x v="0"/>
    <x v="0"/>
    <x v="17"/>
    <x v="0"/>
    <x v="4"/>
    <x v="0"/>
    <x v="2"/>
    <n v="0.18179999999999999"/>
    <n v="0.47"/>
    <n v="0.35820000000000002"/>
    <x v="3"/>
    <x v="112"/>
    <x v="119"/>
  </r>
  <r>
    <x v="271"/>
    <x v="11"/>
    <x v="0"/>
    <x v="0"/>
    <x v="0"/>
    <x v="18"/>
    <x v="0"/>
    <x v="4"/>
    <x v="0"/>
    <x v="2"/>
    <n v="0.1515"/>
    <n v="0.47"/>
    <n v="0.52239999999999998"/>
    <x v="4"/>
    <x v="113"/>
    <x v="120"/>
  </r>
  <r>
    <x v="272"/>
    <x v="11"/>
    <x v="0"/>
    <x v="0"/>
    <x v="0"/>
    <x v="19"/>
    <x v="0"/>
    <x v="4"/>
    <x v="0"/>
    <x v="15"/>
    <n v="0.1515"/>
    <n v="0.47"/>
    <n v="0.41789999999999999"/>
    <x v="5"/>
    <x v="70"/>
    <x v="56"/>
  </r>
  <r>
    <x v="273"/>
    <x v="11"/>
    <x v="0"/>
    <x v="0"/>
    <x v="0"/>
    <x v="20"/>
    <x v="0"/>
    <x v="4"/>
    <x v="0"/>
    <x v="13"/>
    <n v="0.13639999999999999"/>
    <n v="0.5"/>
    <n v="0.32840000000000003"/>
    <x v="4"/>
    <x v="25"/>
    <x v="10"/>
  </r>
  <r>
    <x v="274"/>
    <x v="11"/>
    <x v="0"/>
    <x v="0"/>
    <x v="0"/>
    <x v="21"/>
    <x v="0"/>
    <x v="4"/>
    <x v="0"/>
    <x v="13"/>
    <n v="0.13639999999999999"/>
    <n v="0.55000000000000004"/>
    <n v="0.32840000000000003"/>
    <x v="3"/>
    <x v="77"/>
    <x v="52"/>
  </r>
  <r>
    <x v="275"/>
    <x v="11"/>
    <x v="0"/>
    <x v="0"/>
    <x v="0"/>
    <x v="22"/>
    <x v="0"/>
    <x v="4"/>
    <x v="0"/>
    <x v="13"/>
    <n v="0.1212"/>
    <n v="0.55000000000000004"/>
    <n v="0.44779999999999998"/>
    <x v="5"/>
    <x v="1"/>
    <x v="63"/>
  </r>
  <r>
    <x v="276"/>
    <x v="11"/>
    <x v="0"/>
    <x v="0"/>
    <x v="0"/>
    <x v="23"/>
    <x v="0"/>
    <x v="4"/>
    <x v="0"/>
    <x v="14"/>
    <n v="0.1061"/>
    <n v="0.59"/>
    <n v="0.41789999999999999"/>
    <x v="5"/>
    <x v="23"/>
    <x v="25"/>
  </r>
  <r>
    <x v="277"/>
    <x v="12"/>
    <x v="0"/>
    <x v="0"/>
    <x v="0"/>
    <x v="0"/>
    <x v="0"/>
    <x v="5"/>
    <x v="0"/>
    <x v="14"/>
    <n v="0.1212"/>
    <n v="0.59"/>
    <n v="0.28360000000000002"/>
    <x v="5"/>
    <x v="8"/>
    <x v="85"/>
  </r>
  <r>
    <x v="278"/>
    <x v="12"/>
    <x v="0"/>
    <x v="0"/>
    <x v="0"/>
    <x v="1"/>
    <x v="0"/>
    <x v="5"/>
    <x v="0"/>
    <x v="14"/>
    <n v="0.1212"/>
    <n v="0.5"/>
    <n v="0.28360000000000002"/>
    <x v="3"/>
    <x v="6"/>
    <x v="5"/>
  </r>
  <r>
    <x v="279"/>
    <x v="12"/>
    <x v="0"/>
    <x v="0"/>
    <x v="0"/>
    <x v="2"/>
    <x v="0"/>
    <x v="5"/>
    <x v="0"/>
    <x v="14"/>
    <n v="0.1212"/>
    <n v="0.5"/>
    <n v="0.35820000000000002"/>
    <x v="3"/>
    <x v="6"/>
    <x v="5"/>
  </r>
  <r>
    <x v="280"/>
    <x v="12"/>
    <x v="0"/>
    <x v="0"/>
    <x v="0"/>
    <x v="3"/>
    <x v="0"/>
    <x v="5"/>
    <x v="0"/>
    <x v="14"/>
    <n v="0.1212"/>
    <n v="0.5"/>
    <n v="0.32840000000000003"/>
    <x v="3"/>
    <x v="35"/>
    <x v="6"/>
  </r>
  <r>
    <x v="281"/>
    <x v="12"/>
    <x v="0"/>
    <x v="0"/>
    <x v="0"/>
    <x v="4"/>
    <x v="0"/>
    <x v="5"/>
    <x v="0"/>
    <x v="14"/>
    <n v="0.1212"/>
    <n v="0.5"/>
    <n v="0.25369999999999998"/>
    <x v="3"/>
    <x v="22"/>
    <x v="48"/>
  </r>
  <r>
    <x v="282"/>
    <x v="12"/>
    <x v="0"/>
    <x v="0"/>
    <x v="0"/>
    <x v="5"/>
    <x v="0"/>
    <x v="5"/>
    <x v="0"/>
    <x v="14"/>
    <n v="0.1212"/>
    <n v="0.5"/>
    <n v="0.29849999999999999"/>
    <x v="3"/>
    <x v="35"/>
    <x v="6"/>
  </r>
  <r>
    <x v="283"/>
    <x v="12"/>
    <x v="0"/>
    <x v="0"/>
    <x v="0"/>
    <x v="6"/>
    <x v="0"/>
    <x v="5"/>
    <x v="0"/>
    <x v="16"/>
    <n v="0.1515"/>
    <n v="0.54"/>
    <n v="0.1343"/>
    <x v="3"/>
    <x v="95"/>
    <x v="20"/>
  </r>
  <r>
    <x v="284"/>
    <x v="12"/>
    <x v="0"/>
    <x v="0"/>
    <x v="0"/>
    <x v="7"/>
    <x v="0"/>
    <x v="5"/>
    <x v="0"/>
    <x v="16"/>
    <n v="0.1515"/>
    <n v="0.54"/>
    <n v="0.1343"/>
    <x v="3"/>
    <x v="109"/>
    <x v="44"/>
  </r>
  <r>
    <x v="285"/>
    <x v="12"/>
    <x v="0"/>
    <x v="0"/>
    <x v="0"/>
    <x v="8"/>
    <x v="0"/>
    <x v="5"/>
    <x v="0"/>
    <x v="14"/>
    <n v="0.13639999999999999"/>
    <n v="0.5"/>
    <n v="0.19400000000000001"/>
    <x v="2"/>
    <x v="114"/>
    <x v="121"/>
  </r>
  <r>
    <x v="286"/>
    <x v="12"/>
    <x v="0"/>
    <x v="0"/>
    <x v="0"/>
    <x v="9"/>
    <x v="0"/>
    <x v="5"/>
    <x v="0"/>
    <x v="14"/>
    <n v="0.1212"/>
    <n v="0.5"/>
    <n v="0.32840000000000003"/>
    <x v="4"/>
    <x v="115"/>
    <x v="119"/>
  </r>
  <r>
    <x v="287"/>
    <x v="12"/>
    <x v="0"/>
    <x v="0"/>
    <x v="0"/>
    <x v="10"/>
    <x v="0"/>
    <x v="5"/>
    <x v="1"/>
    <x v="13"/>
    <n v="0.13639999999999999"/>
    <n v="0.5"/>
    <n v="0.35820000000000002"/>
    <x v="4"/>
    <x v="49"/>
    <x v="103"/>
  </r>
  <r>
    <x v="288"/>
    <x v="12"/>
    <x v="0"/>
    <x v="0"/>
    <x v="0"/>
    <x v="11"/>
    <x v="0"/>
    <x v="5"/>
    <x v="1"/>
    <x v="2"/>
    <n v="0.16669999999999999"/>
    <n v="0.44"/>
    <n v="0.44779999999999998"/>
    <x v="17"/>
    <x v="39"/>
    <x v="18"/>
  </r>
  <r>
    <x v="289"/>
    <x v="12"/>
    <x v="0"/>
    <x v="0"/>
    <x v="0"/>
    <x v="12"/>
    <x v="0"/>
    <x v="5"/>
    <x v="0"/>
    <x v="2"/>
    <n v="0.16669999999999999"/>
    <n v="0.44"/>
    <n v="0.41789999999999999"/>
    <x v="0"/>
    <x v="47"/>
    <x v="46"/>
  </r>
  <r>
    <x v="290"/>
    <x v="12"/>
    <x v="0"/>
    <x v="0"/>
    <x v="0"/>
    <x v="13"/>
    <x v="0"/>
    <x v="5"/>
    <x v="0"/>
    <x v="1"/>
    <n v="0.19700000000000001"/>
    <n v="0.41"/>
    <n v="0.44779999999999998"/>
    <x v="4"/>
    <x v="38"/>
    <x v="56"/>
  </r>
  <r>
    <x v="291"/>
    <x v="12"/>
    <x v="0"/>
    <x v="0"/>
    <x v="0"/>
    <x v="14"/>
    <x v="0"/>
    <x v="5"/>
    <x v="0"/>
    <x v="1"/>
    <n v="0.19700000000000001"/>
    <n v="0.41"/>
    <n v="0.3881"/>
    <x v="0"/>
    <x v="87"/>
    <x v="51"/>
  </r>
  <r>
    <x v="292"/>
    <x v="12"/>
    <x v="0"/>
    <x v="0"/>
    <x v="0"/>
    <x v="15"/>
    <x v="0"/>
    <x v="5"/>
    <x v="0"/>
    <x v="0"/>
    <n v="0.21210000000000001"/>
    <n v="0.38"/>
    <n v="0.29849999999999999"/>
    <x v="2"/>
    <x v="11"/>
    <x v="122"/>
  </r>
  <r>
    <x v="293"/>
    <x v="12"/>
    <x v="0"/>
    <x v="0"/>
    <x v="0"/>
    <x v="16"/>
    <x v="0"/>
    <x v="5"/>
    <x v="0"/>
    <x v="0"/>
    <n v="0.21210000000000001"/>
    <n v="0.38"/>
    <n v="0.35820000000000002"/>
    <x v="4"/>
    <x v="83"/>
    <x v="53"/>
  </r>
  <r>
    <x v="294"/>
    <x v="12"/>
    <x v="0"/>
    <x v="0"/>
    <x v="0"/>
    <x v="17"/>
    <x v="0"/>
    <x v="5"/>
    <x v="0"/>
    <x v="2"/>
    <n v="0.18179999999999999"/>
    <n v="0.4"/>
    <n v="0.28360000000000002"/>
    <x v="17"/>
    <x v="81"/>
    <x v="123"/>
  </r>
  <r>
    <x v="295"/>
    <x v="12"/>
    <x v="0"/>
    <x v="0"/>
    <x v="0"/>
    <x v="18"/>
    <x v="0"/>
    <x v="5"/>
    <x v="0"/>
    <x v="2"/>
    <n v="0.18179999999999999"/>
    <n v="0.4"/>
    <n v="0.32840000000000003"/>
    <x v="0"/>
    <x v="116"/>
    <x v="124"/>
  </r>
  <r>
    <x v="296"/>
    <x v="12"/>
    <x v="0"/>
    <x v="0"/>
    <x v="0"/>
    <x v="19"/>
    <x v="0"/>
    <x v="5"/>
    <x v="0"/>
    <x v="13"/>
    <n v="0.1515"/>
    <n v="0.47"/>
    <n v="0.25369999999999998"/>
    <x v="5"/>
    <x v="52"/>
    <x v="111"/>
  </r>
  <r>
    <x v="297"/>
    <x v="12"/>
    <x v="0"/>
    <x v="0"/>
    <x v="0"/>
    <x v="20"/>
    <x v="0"/>
    <x v="5"/>
    <x v="0"/>
    <x v="13"/>
    <n v="0.1515"/>
    <n v="0.47"/>
    <n v="0.22389999999999999"/>
    <x v="3"/>
    <x v="27"/>
    <x v="37"/>
  </r>
  <r>
    <x v="298"/>
    <x v="12"/>
    <x v="0"/>
    <x v="0"/>
    <x v="0"/>
    <x v="21"/>
    <x v="0"/>
    <x v="5"/>
    <x v="0"/>
    <x v="14"/>
    <n v="0.1212"/>
    <n v="0.46"/>
    <n v="0.29849999999999999"/>
    <x v="3"/>
    <x v="71"/>
    <x v="1"/>
  </r>
  <r>
    <x v="299"/>
    <x v="12"/>
    <x v="0"/>
    <x v="0"/>
    <x v="0"/>
    <x v="22"/>
    <x v="0"/>
    <x v="5"/>
    <x v="0"/>
    <x v="14"/>
    <n v="0.1212"/>
    <n v="0.46"/>
    <n v="0.32840000000000003"/>
    <x v="3"/>
    <x v="10"/>
    <x v="33"/>
  </r>
  <r>
    <x v="300"/>
    <x v="12"/>
    <x v="0"/>
    <x v="0"/>
    <x v="0"/>
    <x v="23"/>
    <x v="0"/>
    <x v="5"/>
    <x v="0"/>
    <x v="16"/>
    <n v="0.13639999999999999"/>
    <n v="0.5"/>
    <n v="0.19400000000000001"/>
    <x v="5"/>
    <x v="88"/>
    <x v="93"/>
  </r>
  <r>
    <x v="301"/>
    <x v="13"/>
    <x v="0"/>
    <x v="0"/>
    <x v="0"/>
    <x v="0"/>
    <x v="0"/>
    <x v="6"/>
    <x v="0"/>
    <x v="16"/>
    <n v="0.13639999999999999"/>
    <n v="0.5"/>
    <n v="0.19400000000000001"/>
    <x v="3"/>
    <x v="88"/>
    <x v="8"/>
  </r>
  <r>
    <x v="302"/>
    <x v="13"/>
    <x v="0"/>
    <x v="0"/>
    <x v="0"/>
    <x v="1"/>
    <x v="0"/>
    <x v="6"/>
    <x v="0"/>
    <x v="18"/>
    <n v="0.1212"/>
    <n v="0.54"/>
    <n v="0.16420000000000001"/>
    <x v="3"/>
    <x v="34"/>
    <x v="36"/>
  </r>
  <r>
    <x v="303"/>
    <x v="13"/>
    <x v="0"/>
    <x v="0"/>
    <x v="0"/>
    <x v="2"/>
    <x v="0"/>
    <x v="6"/>
    <x v="0"/>
    <x v="18"/>
    <n v="0.1212"/>
    <n v="0.54"/>
    <n v="0.1343"/>
    <x v="3"/>
    <x v="4"/>
    <x v="4"/>
  </r>
  <r>
    <x v="304"/>
    <x v="13"/>
    <x v="0"/>
    <x v="0"/>
    <x v="0"/>
    <x v="3"/>
    <x v="0"/>
    <x v="6"/>
    <x v="0"/>
    <x v="18"/>
    <n v="0.13639999999999999"/>
    <n v="0.54"/>
    <n v="0.1045"/>
    <x v="3"/>
    <x v="4"/>
    <x v="4"/>
  </r>
  <r>
    <x v="305"/>
    <x v="13"/>
    <x v="0"/>
    <x v="0"/>
    <x v="0"/>
    <x v="5"/>
    <x v="0"/>
    <x v="6"/>
    <x v="0"/>
    <x v="18"/>
    <n v="0.13639999999999999"/>
    <n v="0.54"/>
    <n v="8.9599999999999999E-2"/>
    <x v="3"/>
    <x v="21"/>
    <x v="7"/>
  </r>
  <r>
    <x v="306"/>
    <x v="13"/>
    <x v="0"/>
    <x v="0"/>
    <x v="0"/>
    <x v="6"/>
    <x v="0"/>
    <x v="6"/>
    <x v="0"/>
    <x v="18"/>
    <n v="0.18179999999999999"/>
    <n v="0.54"/>
    <n v="0"/>
    <x v="3"/>
    <x v="19"/>
    <x v="22"/>
  </r>
  <r>
    <x v="307"/>
    <x v="13"/>
    <x v="0"/>
    <x v="0"/>
    <x v="0"/>
    <x v="7"/>
    <x v="0"/>
    <x v="6"/>
    <x v="0"/>
    <x v="18"/>
    <n v="0.1212"/>
    <n v="0.74"/>
    <n v="0.16420000000000001"/>
    <x v="3"/>
    <x v="14"/>
    <x v="27"/>
  </r>
  <r>
    <x v="308"/>
    <x v="13"/>
    <x v="0"/>
    <x v="0"/>
    <x v="0"/>
    <x v="8"/>
    <x v="0"/>
    <x v="6"/>
    <x v="0"/>
    <x v="16"/>
    <n v="0.16669999999999999"/>
    <n v="0.68"/>
    <n v="0"/>
    <x v="4"/>
    <x v="117"/>
    <x v="125"/>
  </r>
  <r>
    <x v="309"/>
    <x v="13"/>
    <x v="0"/>
    <x v="0"/>
    <x v="0"/>
    <x v="9"/>
    <x v="0"/>
    <x v="6"/>
    <x v="0"/>
    <x v="14"/>
    <n v="0.1515"/>
    <n v="0.69"/>
    <n v="0.1343"/>
    <x v="3"/>
    <x v="118"/>
    <x v="126"/>
  </r>
  <r>
    <x v="310"/>
    <x v="13"/>
    <x v="0"/>
    <x v="0"/>
    <x v="0"/>
    <x v="10"/>
    <x v="0"/>
    <x v="6"/>
    <x v="0"/>
    <x v="15"/>
    <n v="0.18179999999999999"/>
    <n v="0.55000000000000004"/>
    <n v="0.19400000000000001"/>
    <x v="17"/>
    <x v="71"/>
    <x v="40"/>
  </r>
  <r>
    <x v="311"/>
    <x v="13"/>
    <x v="0"/>
    <x v="0"/>
    <x v="0"/>
    <x v="11"/>
    <x v="0"/>
    <x v="6"/>
    <x v="0"/>
    <x v="15"/>
    <n v="0.16669999999999999"/>
    <n v="0.51"/>
    <n v="0.28360000000000002"/>
    <x v="15"/>
    <x v="12"/>
    <x v="26"/>
  </r>
  <r>
    <x v="312"/>
    <x v="13"/>
    <x v="0"/>
    <x v="0"/>
    <x v="0"/>
    <x v="12"/>
    <x v="0"/>
    <x v="6"/>
    <x v="0"/>
    <x v="2"/>
    <n v="0.19700000000000001"/>
    <n v="0.44"/>
    <n v="0.25369999999999998"/>
    <x v="4"/>
    <x v="79"/>
    <x v="42"/>
  </r>
  <r>
    <x v="313"/>
    <x v="13"/>
    <x v="0"/>
    <x v="0"/>
    <x v="0"/>
    <x v="13"/>
    <x v="0"/>
    <x v="6"/>
    <x v="0"/>
    <x v="1"/>
    <n v="0.19700000000000001"/>
    <n v="0.37"/>
    <n v="0.3881"/>
    <x v="17"/>
    <x v="26"/>
    <x v="43"/>
  </r>
  <r>
    <x v="314"/>
    <x v="13"/>
    <x v="0"/>
    <x v="0"/>
    <x v="0"/>
    <x v="14"/>
    <x v="0"/>
    <x v="6"/>
    <x v="0"/>
    <x v="1"/>
    <n v="0.21210000000000001"/>
    <n v="0.41"/>
    <n v="0.28360000000000002"/>
    <x v="2"/>
    <x v="79"/>
    <x v="37"/>
  </r>
  <r>
    <x v="315"/>
    <x v="13"/>
    <x v="0"/>
    <x v="0"/>
    <x v="0"/>
    <x v="15"/>
    <x v="0"/>
    <x v="6"/>
    <x v="0"/>
    <x v="0"/>
    <n v="0.2424"/>
    <n v="0.38"/>
    <n v="0.16420000000000001"/>
    <x v="14"/>
    <x v="79"/>
    <x v="118"/>
  </r>
  <r>
    <x v="316"/>
    <x v="13"/>
    <x v="0"/>
    <x v="0"/>
    <x v="0"/>
    <x v="16"/>
    <x v="0"/>
    <x v="6"/>
    <x v="0"/>
    <x v="1"/>
    <n v="0.2424"/>
    <n v="0.41"/>
    <n v="0.1045"/>
    <x v="0"/>
    <x v="61"/>
    <x v="127"/>
  </r>
  <r>
    <x v="317"/>
    <x v="13"/>
    <x v="0"/>
    <x v="0"/>
    <x v="0"/>
    <x v="17"/>
    <x v="0"/>
    <x v="6"/>
    <x v="0"/>
    <x v="1"/>
    <n v="0.2273"/>
    <n v="0.41"/>
    <n v="0.16420000000000001"/>
    <x v="17"/>
    <x v="119"/>
    <x v="128"/>
  </r>
  <r>
    <x v="318"/>
    <x v="13"/>
    <x v="0"/>
    <x v="0"/>
    <x v="0"/>
    <x v="18"/>
    <x v="0"/>
    <x v="6"/>
    <x v="0"/>
    <x v="2"/>
    <n v="0.2576"/>
    <n v="0.47"/>
    <n v="0"/>
    <x v="2"/>
    <x v="120"/>
    <x v="119"/>
  </r>
  <r>
    <x v="319"/>
    <x v="13"/>
    <x v="0"/>
    <x v="0"/>
    <x v="0"/>
    <x v="19"/>
    <x v="0"/>
    <x v="6"/>
    <x v="0"/>
    <x v="13"/>
    <n v="0.19700000000000001"/>
    <n v="0.59"/>
    <n v="8.9599999999999999E-2"/>
    <x v="0"/>
    <x v="121"/>
    <x v="101"/>
  </r>
  <r>
    <x v="320"/>
    <x v="13"/>
    <x v="0"/>
    <x v="0"/>
    <x v="0"/>
    <x v="20"/>
    <x v="0"/>
    <x v="6"/>
    <x v="0"/>
    <x v="15"/>
    <n v="0.2424"/>
    <n v="0.59"/>
    <n v="0"/>
    <x v="3"/>
    <x v="56"/>
    <x v="118"/>
  </r>
  <r>
    <x v="321"/>
    <x v="13"/>
    <x v="0"/>
    <x v="0"/>
    <x v="0"/>
    <x v="21"/>
    <x v="0"/>
    <x v="6"/>
    <x v="0"/>
    <x v="13"/>
    <n v="0.2273"/>
    <n v="0.69"/>
    <n v="0"/>
    <x v="17"/>
    <x v="41"/>
    <x v="46"/>
  </r>
  <r>
    <x v="322"/>
    <x v="13"/>
    <x v="0"/>
    <x v="0"/>
    <x v="0"/>
    <x v="22"/>
    <x v="0"/>
    <x v="6"/>
    <x v="1"/>
    <x v="13"/>
    <n v="0.2273"/>
    <n v="0.69"/>
    <n v="0"/>
    <x v="4"/>
    <x v="60"/>
    <x v="9"/>
  </r>
  <r>
    <x v="323"/>
    <x v="13"/>
    <x v="0"/>
    <x v="0"/>
    <x v="0"/>
    <x v="23"/>
    <x v="0"/>
    <x v="6"/>
    <x v="1"/>
    <x v="15"/>
    <n v="0.2424"/>
    <n v="0.55000000000000004"/>
    <n v="0"/>
    <x v="5"/>
    <x v="16"/>
    <x v="110"/>
  </r>
  <r>
    <x v="324"/>
    <x v="14"/>
    <x v="0"/>
    <x v="0"/>
    <x v="0"/>
    <x v="0"/>
    <x v="0"/>
    <x v="0"/>
    <x v="0"/>
    <x v="15"/>
    <n v="0.2424"/>
    <n v="0.55000000000000004"/>
    <n v="0"/>
    <x v="0"/>
    <x v="18"/>
    <x v="20"/>
  </r>
  <r>
    <x v="325"/>
    <x v="14"/>
    <x v="0"/>
    <x v="0"/>
    <x v="0"/>
    <x v="1"/>
    <x v="0"/>
    <x v="0"/>
    <x v="1"/>
    <x v="13"/>
    <n v="0.19700000000000001"/>
    <n v="0.59"/>
    <n v="8.9599999999999999E-2"/>
    <x v="4"/>
    <x v="72"/>
    <x v="25"/>
  </r>
  <r>
    <x v="326"/>
    <x v="14"/>
    <x v="0"/>
    <x v="0"/>
    <x v="0"/>
    <x v="2"/>
    <x v="0"/>
    <x v="0"/>
    <x v="1"/>
    <x v="13"/>
    <n v="0.19700000000000001"/>
    <n v="0.59"/>
    <n v="8.9599999999999999E-2"/>
    <x v="3"/>
    <x v="98"/>
    <x v="47"/>
  </r>
  <r>
    <x v="327"/>
    <x v="14"/>
    <x v="0"/>
    <x v="0"/>
    <x v="0"/>
    <x v="3"/>
    <x v="0"/>
    <x v="0"/>
    <x v="1"/>
    <x v="13"/>
    <n v="0.2273"/>
    <n v="0.59"/>
    <n v="0"/>
    <x v="5"/>
    <x v="7"/>
    <x v="7"/>
  </r>
  <r>
    <x v="328"/>
    <x v="14"/>
    <x v="0"/>
    <x v="0"/>
    <x v="0"/>
    <x v="4"/>
    <x v="0"/>
    <x v="0"/>
    <x v="1"/>
    <x v="13"/>
    <n v="0.2273"/>
    <n v="0.59"/>
    <n v="0"/>
    <x v="3"/>
    <x v="34"/>
    <x v="36"/>
  </r>
  <r>
    <x v="329"/>
    <x v="14"/>
    <x v="0"/>
    <x v="0"/>
    <x v="0"/>
    <x v="5"/>
    <x v="0"/>
    <x v="0"/>
    <x v="0"/>
    <x v="13"/>
    <n v="0.2273"/>
    <n v="0.59"/>
    <n v="0"/>
    <x v="3"/>
    <x v="4"/>
    <x v="4"/>
  </r>
  <r>
    <x v="330"/>
    <x v="14"/>
    <x v="0"/>
    <x v="0"/>
    <x v="0"/>
    <x v="6"/>
    <x v="0"/>
    <x v="0"/>
    <x v="0"/>
    <x v="14"/>
    <n v="0.16669999999999999"/>
    <n v="0.63"/>
    <n v="0.1045"/>
    <x v="5"/>
    <x v="6"/>
    <x v="6"/>
  </r>
  <r>
    <x v="331"/>
    <x v="14"/>
    <x v="0"/>
    <x v="0"/>
    <x v="0"/>
    <x v="7"/>
    <x v="0"/>
    <x v="0"/>
    <x v="0"/>
    <x v="14"/>
    <n v="0.21210000000000001"/>
    <n v="0.63"/>
    <n v="0"/>
    <x v="5"/>
    <x v="33"/>
    <x v="98"/>
  </r>
  <r>
    <x v="332"/>
    <x v="14"/>
    <x v="0"/>
    <x v="0"/>
    <x v="0"/>
    <x v="8"/>
    <x v="0"/>
    <x v="0"/>
    <x v="0"/>
    <x v="14"/>
    <n v="0.1515"/>
    <n v="0.63"/>
    <n v="0.1343"/>
    <x v="5"/>
    <x v="97"/>
    <x v="84"/>
  </r>
  <r>
    <x v="333"/>
    <x v="14"/>
    <x v="0"/>
    <x v="0"/>
    <x v="0"/>
    <x v="9"/>
    <x v="0"/>
    <x v="0"/>
    <x v="0"/>
    <x v="13"/>
    <n v="0.18179999999999999"/>
    <n v="0.64"/>
    <n v="0.1343"/>
    <x v="4"/>
    <x v="17"/>
    <x v="63"/>
  </r>
  <r>
    <x v="334"/>
    <x v="14"/>
    <x v="0"/>
    <x v="0"/>
    <x v="0"/>
    <x v="10"/>
    <x v="0"/>
    <x v="0"/>
    <x v="0"/>
    <x v="15"/>
    <n v="0.19700000000000001"/>
    <n v="0.59"/>
    <n v="0.16420000000000001"/>
    <x v="4"/>
    <x v="77"/>
    <x v="29"/>
  </r>
  <r>
    <x v="335"/>
    <x v="14"/>
    <x v="0"/>
    <x v="0"/>
    <x v="0"/>
    <x v="11"/>
    <x v="0"/>
    <x v="0"/>
    <x v="0"/>
    <x v="2"/>
    <n v="0.19700000000000001"/>
    <n v="0.55000000000000004"/>
    <n v="0.22389999999999999"/>
    <x v="25"/>
    <x v="25"/>
    <x v="44"/>
  </r>
  <r>
    <x v="336"/>
    <x v="14"/>
    <x v="0"/>
    <x v="0"/>
    <x v="0"/>
    <x v="12"/>
    <x v="0"/>
    <x v="0"/>
    <x v="0"/>
    <x v="0"/>
    <n v="0.2273"/>
    <n v="0.48"/>
    <n v="0.22389999999999999"/>
    <x v="13"/>
    <x v="64"/>
    <x v="70"/>
  </r>
  <r>
    <x v="337"/>
    <x v="14"/>
    <x v="0"/>
    <x v="0"/>
    <x v="0"/>
    <x v="13"/>
    <x v="0"/>
    <x v="0"/>
    <x v="0"/>
    <x v="17"/>
    <n v="0.2576"/>
    <n v="0.38"/>
    <n v="0.29849999999999999"/>
    <x v="27"/>
    <x v="122"/>
    <x v="129"/>
  </r>
  <r>
    <x v="338"/>
    <x v="14"/>
    <x v="0"/>
    <x v="0"/>
    <x v="0"/>
    <x v="14"/>
    <x v="0"/>
    <x v="0"/>
    <x v="0"/>
    <x v="11"/>
    <n v="0.28789999999999999"/>
    <n v="0.39"/>
    <n v="0.28360000000000002"/>
    <x v="7"/>
    <x v="50"/>
    <x v="130"/>
  </r>
  <r>
    <x v="339"/>
    <x v="14"/>
    <x v="0"/>
    <x v="0"/>
    <x v="0"/>
    <x v="15"/>
    <x v="0"/>
    <x v="0"/>
    <x v="1"/>
    <x v="3"/>
    <n v="0.31819999999999998"/>
    <n v="0.36"/>
    <n v="0.19400000000000001"/>
    <x v="27"/>
    <x v="123"/>
    <x v="131"/>
  </r>
  <r>
    <x v="340"/>
    <x v="14"/>
    <x v="0"/>
    <x v="0"/>
    <x v="0"/>
    <x v="16"/>
    <x v="0"/>
    <x v="0"/>
    <x v="1"/>
    <x v="10"/>
    <n v="0.33329999999999999"/>
    <n v="0.34"/>
    <n v="0.19400000000000001"/>
    <x v="28"/>
    <x v="73"/>
    <x v="116"/>
  </r>
  <r>
    <x v="341"/>
    <x v="14"/>
    <x v="0"/>
    <x v="0"/>
    <x v="0"/>
    <x v="17"/>
    <x v="0"/>
    <x v="0"/>
    <x v="1"/>
    <x v="3"/>
    <n v="0.30299999999999999"/>
    <n v="0.36"/>
    <n v="0.28360000000000002"/>
    <x v="8"/>
    <x v="25"/>
    <x v="56"/>
  </r>
  <r>
    <x v="342"/>
    <x v="14"/>
    <x v="0"/>
    <x v="0"/>
    <x v="0"/>
    <x v="18"/>
    <x v="0"/>
    <x v="0"/>
    <x v="1"/>
    <x v="11"/>
    <n v="0.28789999999999999"/>
    <n v="0.45"/>
    <n v="0.25369999999999998"/>
    <x v="13"/>
    <x v="94"/>
    <x v="11"/>
  </r>
  <r>
    <x v="343"/>
    <x v="14"/>
    <x v="0"/>
    <x v="0"/>
    <x v="0"/>
    <x v="19"/>
    <x v="0"/>
    <x v="0"/>
    <x v="1"/>
    <x v="3"/>
    <n v="0.30299999999999999"/>
    <n v="0.39"/>
    <n v="0.25369999999999998"/>
    <x v="24"/>
    <x v="91"/>
    <x v="30"/>
  </r>
  <r>
    <x v="344"/>
    <x v="14"/>
    <x v="0"/>
    <x v="0"/>
    <x v="0"/>
    <x v="20"/>
    <x v="0"/>
    <x v="0"/>
    <x v="1"/>
    <x v="3"/>
    <n v="0.30299999999999999"/>
    <n v="0.39"/>
    <n v="0.25369999999999998"/>
    <x v="15"/>
    <x v="96"/>
    <x v="102"/>
  </r>
  <r>
    <x v="345"/>
    <x v="14"/>
    <x v="0"/>
    <x v="0"/>
    <x v="0"/>
    <x v="21"/>
    <x v="0"/>
    <x v="0"/>
    <x v="1"/>
    <x v="3"/>
    <n v="0.30299999999999999"/>
    <n v="0.39"/>
    <n v="0.22389999999999999"/>
    <x v="15"/>
    <x v="82"/>
    <x v="52"/>
  </r>
  <r>
    <x v="346"/>
    <x v="14"/>
    <x v="0"/>
    <x v="0"/>
    <x v="0"/>
    <x v="22"/>
    <x v="0"/>
    <x v="0"/>
    <x v="1"/>
    <x v="11"/>
    <n v="0.31819999999999998"/>
    <n v="0.42"/>
    <n v="0.1045"/>
    <x v="3"/>
    <x v="16"/>
    <x v="132"/>
  </r>
  <r>
    <x v="347"/>
    <x v="14"/>
    <x v="0"/>
    <x v="0"/>
    <x v="0"/>
    <x v="23"/>
    <x v="0"/>
    <x v="0"/>
    <x v="0"/>
    <x v="11"/>
    <n v="0.28789999999999999"/>
    <n v="0.45"/>
    <n v="0.28360000000000002"/>
    <x v="2"/>
    <x v="87"/>
    <x v="40"/>
  </r>
  <r>
    <x v="348"/>
    <x v="15"/>
    <x v="0"/>
    <x v="0"/>
    <x v="0"/>
    <x v="0"/>
    <x v="0"/>
    <x v="1"/>
    <x v="0"/>
    <x v="12"/>
    <n v="0.30299999999999999"/>
    <n v="0.56000000000000005"/>
    <n v="0"/>
    <x v="15"/>
    <x v="39"/>
    <x v="21"/>
  </r>
  <r>
    <x v="349"/>
    <x v="15"/>
    <x v="0"/>
    <x v="0"/>
    <x v="0"/>
    <x v="1"/>
    <x v="0"/>
    <x v="1"/>
    <x v="0"/>
    <x v="12"/>
    <n v="0.2727"/>
    <n v="0.56000000000000005"/>
    <n v="0.1343"/>
    <x v="17"/>
    <x v="23"/>
    <x v="84"/>
  </r>
  <r>
    <x v="350"/>
    <x v="15"/>
    <x v="0"/>
    <x v="0"/>
    <x v="0"/>
    <x v="2"/>
    <x v="0"/>
    <x v="1"/>
    <x v="0"/>
    <x v="12"/>
    <n v="0.28789999999999999"/>
    <n v="0.56000000000000005"/>
    <n v="8.9599999999999999E-2"/>
    <x v="0"/>
    <x v="0"/>
    <x v="0"/>
  </r>
  <r>
    <x v="351"/>
    <x v="15"/>
    <x v="0"/>
    <x v="0"/>
    <x v="0"/>
    <x v="3"/>
    <x v="0"/>
    <x v="1"/>
    <x v="0"/>
    <x v="1"/>
    <n v="0.2727"/>
    <n v="0.69"/>
    <n v="0"/>
    <x v="14"/>
    <x v="8"/>
    <x v="93"/>
  </r>
  <r>
    <x v="352"/>
    <x v="15"/>
    <x v="0"/>
    <x v="0"/>
    <x v="0"/>
    <x v="4"/>
    <x v="0"/>
    <x v="1"/>
    <x v="0"/>
    <x v="12"/>
    <n v="0.2576"/>
    <n v="0.56000000000000005"/>
    <n v="0.16420000000000001"/>
    <x v="3"/>
    <x v="4"/>
    <x v="4"/>
  </r>
  <r>
    <x v="353"/>
    <x v="15"/>
    <x v="0"/>
    <x v="0"/>
    <x v="0"/>
    <x v="5"/>
    <x v="0"/>
    <x v="1"/>
    <x v="1"/>
    <x v="12"/>
    <n v="0.2576"/>
    <n v="0.56000000000000005"/>
    <n v="0.16420000000000001"/>
    <x v="5"/>
    <x v="4"/>
    <x v="5"/>
  </r>
  <r>
    <x v="354"/>
    <x v="15"/>
    <x v="0"/>
    <x v="0"/>
    <x v="0"/>
    <x v="6"/>
    <x v="0"/>
    <x v="1"/>
    <x v="1"/>
    <x v="12"/>
    <n v="0.2576"/>
    <n v="0.56000000000000005"/>
    <n v="0.16420000000000001"/>
    <x v="3"/>
    <x v="4"/>
    <x v="4"/>
  </r>
  <r>
    <x v="355"/>
    <x v="15"/>
    <x v="0"/>
    <x v="0"/>
    <x v="0"/>
    <x v="7"/>
    <x v="0"/>
    <x v="1"/>
    <x v="1"/>
    <x v="0"/>
    <n v="0.21210000000000001"/>
    <n v="0.56000000000000005"/>
    <n v="0.29849999999999999"/>
    <x v="3"/>
    <x v="35"/>
    <x v="6"/>
  </r>
  <r>
    <x v="356"/>
    <x v="15"/>
    <x v="0"/>
    <x v="0"/>
    <x v="0"/>
    <x v="8"/>
    <x v="0"/>
    <x v="1"/>
    <x v="0"/>
    <x v="1"/>
    <n v="0.21210000000000001"/>
    <n v="0.55000000000000004"/>
    <n v="0.28360000000000002"/>
    <x v="3"/>
    <x v="72"/>
    <x v="109"/>
  </r>
  <r>
    <x v="357"/>
    <x v="15"/>
    <x v="0"/>
    <x v="0"/>
    <x v="0"/>
    <x v="9"/>
    <x v="0"/>
    <x v="1"/>
    <x v="0"/>
    <x v="1"/>
    <n v="0.21210000000000001"/>
    <n v="0.51"/>
    <n v="0.25369999999999998"/>
    <x v="0"/>
    <x v="31"/>
    <x v="2"/>
  </r>
  <r>
    <x v="358"/>
    <x v="15"/>
    <x v="0"/>
    <x v="0"/>
    <x v="0"/>
    <x v="10"/>
    <x v="0"/>
    <x v="1"/>
    <x v="0"/>
    <x v="1"/>
    <n v="0.21210000000000001"/>
    <n v="0.51"/>
    <n v="0.28360000000000002"/>
    <x v="1"/>
    <x v="13"/>
    <x v="67"/>
  </r>
  <r>
    <x v="359"/>
    <x v="15"/>
    <x v="0"/>
    <x v="0"/>
    <x v="0"/>
    <x v="11"/>
    <x v="0"/>
    <x v="1"/>
    <x v="0"/>
    <x v="0"/>
    <n v="0.2273"/>
    <n v="0.44"/>
    <n v="0.25369999999999998"/>
    <x v="29"/>
    <x v="14"/>
    <x v="15"/>
  </r>
  <r>
    <x v="360"/>
    <x v="15"/>
    <x v="0"/>
    <x v="0"/>
    <x v="0"/>
    <x v="12"/>
    <x v="0"/>
    <x v="1"/>
    <x v="0"/>
    <x v="0"/>
    <n v="0.21210000000000001"/>
    <n v="0.41"/>
    <n v="0.28360000000000002"/>
    <x v="8"/>
    <x v="102"/>
    <x v="133"/>
  </r>
  <r>
    <x v="361"/>
    <x v="15"/>
    <x v="0"/>
    <x v="0"/>
    <x v="0"/>
    <x v="13"/>
    <x v="0"/>
    <x v="1"/>
    <x v="0"/>
    <x v="12"/>
    <n v="0.2273"/>
    <n v="0.35"/>
    <n v="0.29849999999999999"/>
    <x v="29"/>
    <x v="73"/>
    <x v="130"/>
  </r>
  <r>
    <x v="362"/>
    <x v="15"/>
    <x v="0"/>
    <x v="0"/>
    <x v="0"/>
    <x v="14"/>
    <x v="0"/>
    <x v="1"/>
    <x v="0"/>
    <x v="17"/>
    <n v="0.2727"/>
    <n v="0.36"/>
    <n v="0.25369999999999998"/>
    <x v="30"/>
    <x v="94"/>
    <x v="134"/>
  </r>
  <r>
    <x v="363"/>
    <x v="15"/>
    <x v="0"/>
    <x v="0"/>
    <x v="0"/>
    <x v="15"/>
    <x v="0"/>
    <x v="1"/>
    <x v="0"/>
    <x v="12"/>
    <n v="0.2424"/>
    <n v="0.38"/>
    <n v="0.25369999999999998"/>
    <x v="10"/>
    <x v="78"/>
    <x v="135"/>
  </r>
  <r>
    <x v="364"/>
    <x v="15"/>
    <x v="0"/>
    <x v="0"/>
    <x v="0"/>
    <x v="16"/>
    <x v="0"/>
    <x v="1"/>
    <x v="0"/>
    <x v="0"/>
    <n v="0.2273"/>
    <n v="0.38"/>
    <n v="0.22389999999999999"/>
    <x v="30"/>
    <x v="99"/>
    <x v="111"/>
  </r>
  <r>
    <x v="365"/>
    <x v="15"/>
    <x v="0"/>
    <x v="0"/>
    <x v="0"/>
    <x v="17"/>
    <x v="0"/>
    <x v="1"/>
    <x v="0"/>
    <x v="1"/>
    <n v="0.21210000000000001"/>
    <n v="0.37"/>
    <n v="0.25369999999999998"/>
    <x v="29"/>
    <x v="70"/>
    <x v="136"/>
  </r>
  <r>
    <x v="366"/>
    <x v="15"/>
    <x v="0"/>
    <x v="0"/>
    <x v="0"/>
    <x v="18"/>
    <x v="0"/>
    <x v="1"/>
    <x v="0"/>
    <x v="2"/>
    <n v="0.21210000000000001"/>
    <n v="0.4"/>
    <n v="0.16420000000000001"/>
    <x v="16"/>
    <x v="90"/>
    <x v="16"/>
  </r>
  <r>
    <x v="367"/>
    <x v="15"/>
    <x v="0"/>
    <x v="0"/>
    <x v="0"/>
    <x v="19"/>
    <x v="0"/>
    <x v="1"/>
    <x v="0"/>
    <x v="15"/>
    <n v="0.19700000000000001"/>
    <n v="0.47"/>
    <n v="0.1343"/>
    <x v="24"/>
    <x v="12"/>
    <x v="42"/>
  </r>
  <r>
    <x v="368"/>
    <x v="15"/>
    <x v="0"/>
    <x v="0"/>
    <x v="0"/>
    <x v="20"/>
    <x v="0"/>
    <x v="1"/>
    <x v="0"/>
    <x v="15"/>
    <n v="0.19700000000000001"/>
    <n v="0.47"/>
    <n v="0.16420000000000001"/>
    <x v="18"/>
    <x v="54"/>
    <x v="52"/>
  </r>
  <r>
    <x v="369"/>
    <x v="15"/>
    <x v="0"/>
    <x v="0"/>
    <x v="0"/>
    <x v="21"/>
    <x v="0"/>
    <x v="1"/>
    <x v="0"/>
    <x v="15"/>
    <n v="0.19700000000000001"/>
    <n v="0.51"/>
    <n v="0.16420000000000001"/>
    <x v="15"/>
    <x v="97"/>
    <x v="20"/>
  </r>
  <r>
    <x v="370"/>
    <x v="15"/>
    <x v="0"/>
    <x v="0"/>
    <x v="0"/>
    <x v="22"/>
    <x v="0"/>
    <x v="1"/>
    <x v="1"/>
    <x v="2"/>
    <n v="0.21210000000000001"/>
    <n v="0.49"/>
    <n v="0.1343"/>
    <x v="4"/>
    <x v="23"/>
    <x v="137"/>
  </r>
  <r>
    <x v="371"/>
    <x v="15"/>
    <x v="0"/>
    <x v="0"/>
    <x v="0"/>
    <x v="23"/>
    <x v="0"/>
    <x v="1"/>
    <x v="1"/>
    <x v="2"/>
    <n v="0.2273"/>
    <n v="0.4"/>
    <n v="0.1045"/>
    <x v="3"/>
    <x v="72"/>
    <x v="109"/>
  </r>
  <r>
    <x v="372"/>
    <x v="16"/>
    <x v="0"/>
    <x v="0"/>
    <x v="0"/>
    <x v="0"/>
    <x v="1"/>
    <x v="2"/>
    <x v="1"/>
    <x v="2"/>
    <n v="0.19700000000000001"/>
    <n v="0.47"/>
    <n v="0.22389999999999999"/>
    <x v="5"/>
    <x v="20"/>
    <x v="22"/>
  </r>
  <r>
    <x v="373"/>
    <x v="16"/>
    <x v="0"/>
    <x v="0"/>
    <x v="0"/>
    <x v="1"/>
    <x v="1"/>
    <x v="2"/>
    <x v="1"/>
    <x v="2"/>
    <n v="0.19700000000000001"/>
    <n v="0.44"/>
    <n v="0.19400000000000001"/>
    <x v="5"/>
    <x v="89"/>
    <x v="0"/>
  </r>
  <r>
    <x v="374"/>
    <x v="16"/>
    <x v="0"/>
    <x v="0"/>
    <x v="0"/>
    <x v="2"/>
    <x v="1"/>
    <x v="2"/>
    <x v="1"/>
    <x v="15"/>
    <n v="0.16669999999999999"/>
    <n v="0.43"/>
    <n v="0.25369999999999998"/>
    <x v="3"/>
    <x v="21"/>
    <x v="7"/>
  </r>
  <r>
    <x v="375"/>
    <x v="16"/>
    <x v="0"/>
    <x v="0"/>
    <x v="0"/>
    <x v="3"/>
    <x v="1"/>
    <x v="2"/>
    <x v="1"/>
    <x v="15"/>
    <n v="0.18179999999999999"/>
    <n v="0.43"/>
    <n v="0.19400000000000001"/>
    <x v="3"/>
    <x v="6"/>
    <x v="5"/>
  </r>
  <r>
    <x v="376"/>
    <x v="16"/>
    <x v="0"/>
    <x v="0"/>
    <x v="0"/>
    <x v="4"/>
    <x v="1"/>
    <x v="2"/>
    <x v="1"/>
    <x v="15"/>
    <n v="0.19700000000000001"/>
    <n v="0.43"/>
    <n v="0.1343"/>
    <x v="5"/>
    <x v="6"/>
    <x v="6"/>
  </r>
  <r>
    <x v="377"/>
    <x v="16"/>
    <x v="0"/>
    <x v="0"/>
    <x v="0"/>
    <x v="5"/>
    <x v="1"/>
    <x v="2"/>
    <x v="1"/>
    <x v="15"/>
    <n v="0.19700000000000001"/>
    <n v="0.43"/>
    <n v="0.16420000000000001"/>
    <x v="3"/>
    <x v="4"/>
    <x v="4"/>
  </r>
  <r>
    <x v="378"/>
    <x v="16"/>
    <x v="0"/>
    <x v="0"/>
    <x v="0"/>
    <x v="6"/>
    <x v="1"/>
    <x v="2"/>
    <x v="1"/>
    <x v="15"/>
    <n v="0.18179999999999999"/>
    <n v="0.43"/>
    <n v="0.19400000000000001"/>
    <x v="3"/>
    <x v="34"/>
    <x v="36"/>
  </r>
  <r>
    <x v="379"/>
    <x v="16"/>
    <x v="0"/>
    <x v="0"/>
    <x v="0"/>
    <x v="7"/>
    <x v="1"/>
    <x v="2"/>
    <x v="1"/>
    <x v="13"/>
    <n v="0.18179999999999999"/>
    <n v="0.5"/>
    <n v="0.1343"/>
    <x v="17"/>
    <x v="33"/>
    <x v="3"/>
  </r>
  <r>
    <x v="380"/>
    <x v="16"/>
    <x v="0"/>
    <x v="0"/>
    <x v="0"/>
    <x v="8"/>
    <x v="1"/>
    <x v="2"/>
    <x v="1"/>
    <x v="13"/>
    <n v="0.1515"/>
    <n v="0.47"/>
    <n v="0.22389999999999999"/>
    <x v="0"/>
    <x v="10"/>
    <x v="63"/>
  </r>
  <r>
    <x v="381"/>
    <x v="16"/>
    <x v="0"/>
    <x v="0"/>
    <x v="0"/>
    <x v="9"/>
    <x v="1"/>
    <x v="2"/>
    <x v="1"/>
    <x v="13"/>
    <n v="0.1515"/>
    <n v="0.47"/>
    <n v="0.22389999999999999"/>
    <x v="1"/>
    <x v="87"/>
    <x v="105"/>
  </r>
  <r>
    <x v="382"/>
    <x v="16"/>
    <x v="0"/>
    <x v="0"/>
    <x v="0"/>
    <x v="10"/>
    <x v="1"/>
    <x v="2"/>
    <x v="1"/>
    <x v="13"/>
    <n v="0.1515"/>
    <n v="0.5"/>
    <n v="0.25369999999999998"/>
    <x v="18"/>
    <x v="54"/>
    <x v="52"/>
  </r>
  <r>
    <x v="383"/>
    <x v="16"/>
    <x v="0"/>
    <x v="0"/>
    <x v="0"/>
    <x v="11"/>
    <x v="1"/>
    <x v="2"/>
    <x v="1"/>
    <x v="13"/>
    <n v="0.1515"/>
    <n v="0.55000000000000004"/>
    <n v="0.19400000000000001"/>
    <x v="14"/>
    <x v="11"/>
    <x v="37"/>
  </r>
  <r>
    <x v="384"/>
    <x v="16"/>
    <x v="0"/>
    <x v="0"/>
    <x v="0"/>
    <x v="12"/>
    <x v="1"/>
    <x v="2"/>
    <x v="1"/>
    <x v="15"/>
    <n v="0.19700000000000001"/>
    <n v="0.47"/>
    <n v="0.1343"/>
    <x v="22"/>
    <x v="14"/>
    <x v="138"/>
  </r>
  <r>
    <x v="385"/>
    <x v="16"/>
    <x v="0"/>
    <x v="0"/>
    <x v="0"/>
    <x v="13"/>
    <x v="1"/>
    <x v="2"/>
    <x v="1"/>
    <x v="15"/>
    <n v="0.19700000000000001"/>
    <n v="0.47"/>
    <n v="0.1343"/>
    <x v="23"/>
    <x v="122"/>
    <x v="15"/>
  </r>
  <r>
    <x v="386"/>
    <x v="16"/>
    <x v="0"/>
    <x v="0"/>
    <x v="0"/>
    <x v="14"/>
    <x v="1"/>
    <x v="2"/>
    <x v="1"/>
    <x v="15"/>
    <n v="0.21210000000000001"/>
    <n v="0.43"/>
    <n v="0.1045"/>
    <x v="6"/>
    <x v="64"/>
    <x v="80"/>
  </r>
  <r>
    <x v="387"/>
    <x v="16"/>
    <x v="0"/>
    <x v="0"/>
    <x v="0"/>
    <x v="15"/>
    <x v="1"/>
    <x v="2"/>
    <x v="1"/>
    <x v="2"/>
    <n v="0.21210000000000001"/>
    <n v="0.47"/>
    <n v="0.16420000000000001"/>
    <x v="27"/>
    <x v="109"/>
    <x v="15"/>
  </r>
  <r>
    <x v="388"/>
    <x v="16"/>
    <x v="0"/>
    <x v="0"/>
    <x v="0"/>
    <x v="16"/>
    <x v="1"/>
    <x v="2"/>
    <x v="1"/>
    <x v="2"/>
    <n v="0.21210000000000001"/>
    <n v="0.47"/>
    <n v="0.16420000000000001"/>
    <x v="15"/>
    <x v="83"/>
    <x v="100"/>
  </r>
  <r>
    <x v="389"/>
    <x v="16"/>
    <x v="0"/>
    <x v="0"/>
    <x v="0"/>
    <x v="17"/>
    <x v="1"/>
    <x v="2"/>
    <x v="0"/>
    <x v="2"/>
    <n v="0.19700000000000001"/>
    <n v="0.51"/>
    <n v="0.19400000000000001"/>
    <x v="17"/>
    <x v="28"/>
    <x v="68"/>
  </r>
  <r>
    <x v="390"/>
    <x v="16"/>
    <x v="0"/>
    <x v="0"/>
    <x v="0"/>
    <x v="18"/>
    <x v="1"/>
    <x v="2"/>
    <x v="1"/>
    <x v="15"/>
    <n v="0.16669999999999999"/>
    <n v="0.55000000000000004"/>
    <n v="0.25369999999999998"/>
    <x v="18"/>
    <x v="66"/>
    <x v="101"/>
  </r>
  <r>
    <x v="391"/>
    <x v="16"/>
    <x v="0"/>
    <x v="0"/>
    <x v="0"/>
    <x v="19"/>
    <x v="1"/>
    <x v="2"/>
    <x v="2"/>
    <x v="15"/>
    <n v="0.18179999999999999"/>
    <n v="0.59"/>
    <n v="0.19400000000000001"/>
    <x v="4"/>
    <x v="29"/>
    <x v="122"/>
  </r>
  <r>
    <x v="392"/>
    <x v="16"/>
    <x v="0"/>
    <x v="0"/>
    <x v="0"/>
    <x v="20"/>
    <x v="1"/>
    <x v="2"/>
    <x v="2"/>
    <x v="13"/>
    <n v="0.1515"/>
    <n v="0.8"/>
    <n v="0.19400000000000001"/>
    <x v="17"/>
    <x v="31"/>
    <x v="63"/>
  </r>
  <r>
    <x v="393"/>
    <x v="16"/>
    <x v="0"/>
    <x v="0"/>
    <x v="0"/>
    <x v="21"/>
    <x v="1"/>
    <x v="2"/>
    <x v="2"/>
    <x v="13"/>
    <n v="0.1515"/>
    <n v="0.8"/>
    <n v="0.19400000000000001"/>
    <x v="0"/>
    <x v="9"/>
    <x v="110"/>
  </r>
  <r>
    <x v="394"/>
    <x v="16"/>
    <x v="0"/>
    <x v="0"/>
    <x v="0"/>
    <x v="22"/>
    <x v="1"/>
    <x v="2"/>
    <x v="2"/>
    <x v="14"/>
    <n v="0.1212"/>
    <n v="0.93"/>
    <n v="0.25369999999999998"/>
    <x v="3"/>
    <x v="0"/>
    <x v="3"/>
  </r>
  <r>
    <x v="395"/>
    <x v="16"/>
    <x v="0"/>
    <x v="0"/>
    <x v="0"/>
    <x v="23"/>
    <x v="1"/>
    <x v="2"/>
    <x v="2"/>
    <x v="13"/>
    <n v="0.13639999999999999"/>
    <n v="0.86"/>
    <n v="0.28360000000000002"/>
    <x v="5"/>
    <x v="35"/>
    <x v="48"/>
  </r>
  <r>
    <x v="396"/>
    <x v="17"/>
    <x v="0"/>
    <x v="0"/>
    <x v="0"/>
    <x v="12"/>
    <x v="0"/>
    <x v="3"/>
    <x v="1"/>
    <x v="2"/>
    <n v="0.18179999999999999"/>
    <n v="0.86"/>
    <n v="0.32840000000000003"/>
    <x v="3"/>
    <x v="35"/>
    <x v="6"/>
  </r>
  <r>
    <x v="397"/>
    <x v="17"/>
    <x v="0"/>
    <x v="0"/>
    <x v="0"/>
    <x v="13"/>
    <x v="0"/>
    <x v="3"/>
    <x v="1"/>
    <x v="2"/>
    <n v="0.19700000000000001"/>
    <n v="0.86"/>
    <n v="0.22389999999999999"/>
    <x v="3"/>
    <x v="97"/>
    <x v="34"/>
  </r>
  <r>
    <x v="398"/>
    <x v="17"/>
    <x v="0"/>
    <x v="0"/>
    <x v="0"/>
    <x v="14"/>
    <x v="0"/>
    <x v="3"/>
    <x v="1"/>
    <x v="1"/>
    <n v="0.2273"/>
    <n v="0.8"/>
    <n v="0.16420000000000001"/>
    <x v="4"/>
    <x v="16"/>
    <x v="20"/>
  </r>
  <r>
    <x v="399"/>
    <x v="17"/>
    <x v="0"/>
    <x v="0"/>
    <x v="0"/>
    <x v="15"/>
    <x v="0"/>
    <x v="3"/>
    <x v="1"/>
    <x v="1"/>
    <n v="0.2273"/>
    <n v="0.87"/>
    <n v="0.16420000000000001"/>
    <x v="0"/>
    <x v="1"/>
    <x v="17"/>
  </r>
  <r>
    <x v="400"/>
    <x v="17"/>
    <x v="0"/>
    <x v="0"/>
    <x v="0"/>
    <x v="16"/>
    <x v="0"/>
    <x v="3"/>
    <x v="1"/>
    <x v="1"/>
    <n v="0.2273"/>
    <n v="0.87"/>
    <n v="0.19400000000000001"/>
    <x v="3"/>
    <x v="124"/>
    <x v="42"/>
  </r>
  <r>
    <x v="401"/>
    <x v="17"/>
    <x v="0"/>
    <x v="0"/>
    <x v="0"/>
    <x v="17"/>
    <x v="0"/>
    <x v="3"/>
    <x v="1"/>
    <x v="1"/>
    <n v="0.2273"/>
    <n v="0.82"/>
    <n v="0.19400000000000001"/>
    <x v="5"/>
    <x v="125"/>
    <x v="139"/>
  </r>
  <r>
    <x v="402"/>
    <x v="17"/>
    <x v="0"/>
    <x v="0"/>
    <x v="0"/>
    <x v="18"/>
    <x v="0"/>
    <x v="3"/>
    <x v="1"/>
    <x v="1"/>
    <n v="0.2273"/>
    <n v="0.8"/>
    <n v="0.16420000000000001"/>
    <x v="5"/>
    <x v="126"/>
    <x v="140"/>
  </r>
  <r>
    <x v="403"/>
    <x v="17"/>
    <x v="0"/>
    <x v="0"/>
    <x v="0"/>
    <x v="19"/>
    <x v="0"/>
    <x v="3"/>
    <x v="1"/>
    <x v="1"/>
    <n v="0.2273"/>
    <n v="0.8"/>
    <n v="0.1343"/>
    <x v="5"/>
    <x v="52"/>
    <x v="111"/>
  </r>
  <r>
    <x v="404"/>
    <x v="17"/>
    <x v="0"/>
    <x v="0"/>
    <x v="0"/>
    <x v="20"/>
    <x v="0"/>
    <x v="3"/>
    <x v="1"/>
    <x v="1"/>
    <n v="0.2727"/>
    <n v="0.87"/>
    <n v="0"/>
    <x v="3"/>
    <x v="93"/>
    <x v="56"/>
  </r>
  <r>
    <x v="405"/>
    <x v="17"/>
    <x v="0"/>
    <x v="0"/>
    <x v="0"/>
    <x v="21"/>
    <x v="0"/>
    <x v="3"/>
    <x v="1"/>
    <x v="1"/>
    <n v="0.2424"/>
    <n v="0.93"/>
    <n v="0.1045"/>
    <x v="3"/>
    <x v="40"/>
    <x v="102"/>
  </r>
  <r>
    <x v="406"/>
    <x v="17"/>
    <x v="0"/>
    <x v="0"/>
    <x v="0"/>
    <x v="22"/>
    <x v="0"/>
    <x v="3"/>
    <x v="1"/>
    <x v="1"/>
    <n v="0.2576"/>
    <n v="0.93"/>
    <n v="8.9599999999999999E-2"/>
    <x v="3"/>
    <x v="39"/>
    <x v="63"/>
  </r>
  <r>
    <x v="407"/>
    <x v="17"/>
    <x v="0"/>
    <x v="0"/>
    <x v="0"/>
    <x v="23"/>
    <x v="0"/>
    <x v="3"/>
    <x v="1"/>
    <x v="1"/>
    <n v="0.2727"/>
    <n v="0.93"/>
    <n v="0"/>
    <x v="5"/>
    <x v="23"/>
    <x v="25"/>
  </r>
  <r>
    <x v="408"/>
    <x v="18"/>
    <x v="0"/>
    <x v="0"/>
    <x v="0"/>
    <x v="0"/>
    <x v="0"/>
    <x v="4"/>
    <x v="1"/>
    <x v="1"/>
    <n v="0.2727"/>
    <n v="0.93"/>
    <n v="0"/>
    <x v="3"/>
    <x v="35"/>
    <x v="6"/>
  </r>
  <r>
    <x v="409"/>
    <x v="18"/>
    <x v="0"/>
    <x v="0"/>
    <x v="0"/>
    <x v="1"/>
    <x v="0"/>
    <x v="4"/>
    <x v="2"/>
    <x v="1"/>
    <n v="0.2273"/>
    <n v="0.93"/>
    <n v="0.1343"/>
    <x v="5"/>
    <x v="8"/>
    <x v="85"/>
  </r>
  <r>
    <x v="410"/>
    <x v="18"/>
    <x v="0"/>
    <x v="0"/>
    <x v="0"/>
    <x v="2"/>
    <x v="0"/>
    <x v="4"/>
    <x v="2"/>
    <x v="1"/>
    <n v="0.2273"/>
    <n v="0.93"/>
    <n v="0.1343"/>
    <x v="3"/>
    <x v="35"/>
    <x v="6"/>
  </r>
  <r>
    <x v="411"/>
    <x v="18"/>
    <x v="0"/>
    <x v="0"/>
    <x v="0"/>
    <x v="4"/>
    <x v="0"/>
    <x v="4"/>
    <x v="2"/>
    <x v="1"/>
    <n v="0.2273"/>
    <n v="0.93"/>
    <n v="0.1343"/>
    <x v="5"/>
    <x v="4"/>
    <x v="5"/>
  </r>
  <r>
    <x v="412"/>
    <x v="18"/>
    <x v="0"/>
    <x v="0"/>
    <x v="0"/>
    <x v="5"/>
    <x v="0"/>
    <x v="4"/>
    <x v="1"/>
    <x v="1"/>
    <n v="0.2576"/>
    <n v="0.93"/>
    <n v="8.9599999999999999E-2"/>
    <x v="3"/>
    <x v="7"/>
    <x v="85"/>
  </r>
  <r>
    <x v="413"/>
    <x v="18"/>
    <x v="0"/>
    <x v="0"/>
    <x v="0"/>
    <x v="6"/>
    <x v="0"/>
    <x v="4"/>
    <x v="1"/>
    <x v="1"/>
    <n v="0.2576"/>
    <n v="0.93"/>
    <n v="8.9599999999999999E-2"/>
    <x v="3"/>
    <x v="1"/>
    <x v="2"/>
  </r>
  <r>
    <x v="414"/>
    <x v="18"/>
    <x v="0"/>
    <x v="0"/>
    <x v="0"/>
    <x v="7"/>
    <x v="0"/>
    <x v="4"/>
    <x v="1"/>
    <x v="0"/>
    <n v="0.2576"/>
    <n v="0.92"/>
    <n v="0.1045"/>
    <x v="5"/>
    <x v="121"/>
    <x v="127"/>
  </r>
  <r>
    <x v="415"/>
    <x v="18"/>
    <x v="0"/>
    <x v="0"/>
    <x v="0"/>
    <x v="8"/>
    <x v="0"/>
    <x v="4"/>
    <x v="1"/>
    <x v="0"/>
    <n v="0.2576"/>
    <n v="0.93"/>
    <n v="0.1045"/>
    <x v="5"/>
    <x v="127"/>
    <x v="141"/>
  </r>
  <r>
    <x v="416"/>
    <x v="18"/>
    <x v="0"/>
    <x v="0"/>
    <x v="0"/>
    <x v="9"/>
    <x v="0"/>
    <x v="4"/>
    <x v="1"/>
    <x v="0"/>
    <n v="0.2576"/>
    <n v="0.93"/>
    <n v="0.1045"/>
    <x v="4"/>
    <x v="128"/>
    <x v="142"/>
  </r>
  <r>
    <x v="417"/>
    <x v="18"/>
    <x v="0"/>
    <x v="0"/>
    <x v="0"/>
    <x v="10"/>
    <x v="0"/>
    <x v="4"/>
    <x v="1"/>
    <x v="12"/>
    <n v="0.2727"/>
    <n v="0.93"/>
    <n v="0.1343"/>
    <x v="5"/>
    <x v="24"/>
    <x v="105"/>
  </r>
  <r>
    <x v="418"/>
    <x v="18"/>
    <x v="0"/>
    <x v="0"/>
    <x v="0"/>
    <x v="11"/>
    <x v="0"/>
    <x v="4"/>
    <x v="1"/>
    <x v="17"/>
    <n v="0.30299999999999999"/>
    <n v="0.87"/>
    <n v="8.9599999999999999E-2"/>
    <x v="2"/>
    <x v="12"/>
    <x v="46"/>
  </r>
  <r>
    <x v="419"/>
    <x v="18"/>
    <x v="0"/>
    <x v="0"/>
    <x v="0"/>
    <x v="12"/>
    <x v="0"/>
    <x v="4"/>
    <x v="1"/>
    <x v="11"/>
    <n v="0.31819999999999998"/>
    <n v="0.81"/>
    <n v="8.9599999999999999E-2"/>
    <x v="2"/>
    <x v="65"/>
    <x v="27"/>
  </r>
  <r>
    <x v="420"/>
    <x v="18"/>
    <x v="0"/>
    <x v="0"/>
    <x v="0"/>
    <x v="13"/>
    <x v="0"/>
    <x v="4"/>
    <x v="0"/>
    <x v="9"/>
    <n v="0.40910000000000002"/>
    <n v="0.62"/>
    <n v="0.28360000000000002"/>
    <x v="16"/>
    <x v="28"/>
    <x v="53"/>
  </r>
  <r>
    <x v="421"/>
    <x v="18"/>
    <x v="0"/>
    <x v="0"/>
    <x v="0"/>
    <x v="14"/>
    <x v="0"/>
    <x v="4"/>
    <x v="0"/>
    <x v="9"/>
    <n v="0.40910000000000002"/>
    <n v="0.57999999999999996"/>
    <n v="0.25369999999999998"/>
    <x v="18"/>
    <x v="56"/>
    <x v="28"/>
  </r>
  <r>
    <x v="422"/>
    <x v="18"/>
    <x v="0"/>
    <x v="0"/>
    <x v="0"/>
    <x v="15"/>
    <x v="0"/>
    <x v="4"/>
    <x v="0"/>
    <x v="9"/>
    <n v="0.40910000000000002"/>
    <n v="0.54"/>
    <n v="0.28360000000000002"/>
    <x v="17"/>
    <x v="78"/>
    <x v="100"/>
  </r>
  <r>
    <x v="423"/>
    <x v="18"/>
    <x v="0"/>
    <x v="0"/>
    <x v="0"/>
    <x v="16"/>
    <x v="0"/>
    <x v="4"/>
    <x v="0"/>
    <x v="4"/>
    <n v="0.39389999999999997"/>
    <n v="0.57999999999999996"/>
    <n v="0.3881"/>
    <x v="22"/>
    <x v="111"/>
    <x v="133"/>
  </r>
  <r>
    <x v="424"/>
    <x v="18"/>
    <x v="0"/>
    <x v="0"/>
    <x v="0"/>
    <x v="17"/>
    <x v="0"/>
    <x v="4"/>
    <x v="0"/>
    <x v="5"/>
    <n v="0.33329999999999999"/>
    <n v="0.56999999999999995"/>
    <n v="0.32840000000000003"/>
    <x v="18"/>
    <x v="84"/>
    <x v="141"/>
  </r>
  <r>
    <x v="425"/>
    <x v="18"/>
    <x v="0"/>
    <x v="0"/>
    <x v="0"/>
    <x v="18"/>
    <x v="0"/>
    <x v="4"/>
    <x v="0"/>
    <x v="10"/>
    <n v="0.31819999999999998"/>
    <n v="0.61"/>
    <n v="0.28360000000000002"/>
    <x v="2"/>
    <x v="117"/>
    <x v="143"/>
  </r>
  <r>
    <x v="426"/>
    <x v="18"/>
    <x v="0"/>
    <x v="0"/>
    <x v="0"/>
    <x v="19"/>
    <x v="0"/>
    <x v="4"/>
    <x v="0"/>
    <x v="3"/>
    <n v="0.28789999999999999"/>
    <n v="0.56999999999999995"/>
    <n v="0.41789999999999999"/>
    <x v="17"/>
    <x v="123"/>
    <x v="59"/>
  </r>
  <r>
    <x v="427"/>
    <x v="18"/>
    <x v="0"/>
    <x v="0"/>
    <x v="0"/>
    <x v="20"/>
    <x v="0"/>
    <x v="4"/>
    <x v="0"/>
    <x v="3"/>
    <n v="0.30299999999999999"/>
    <n v="0.49"/>
    <n v="0.29849999999999999"/>
    <x v="4"/>
    <x v="64"/>
    <x v="31"/>
  </r>
  <r>
    <x v="428"/>
    <x v="18"/>
    <x v="0"/>
    <x v="0"/>
    <x v="0"/>
    <x v="21"/>
    <x v="0"/>
    <x v="4"/>
    <x v="0"/>
    <x v="3"/>
    <n v="0.28789999999999999"/>
    <n v="0.49"/>
    <n v="0.41789999999999999"/>
    <x v="17"/>
    <x v="11"/>
    <x v="29"/>
  </r>
  <r>
    <x v="429"/>
    <x v="18"/>
    <x v="0"/>
    <x v="0"/>
    <x v="0"/>
    <x v="22"/>
    <x v="0"/>
    <x v="4"/>
    <x v="0"/>
    <x v="11"/>
    <n v="0.30299999999999999"/>
    <n v="0.52"/>
    <n v="0.16420000000000001"/>
    <x v="15"/>
    <x v="42"/>
    <x v="29"/>
  </r>
  <r>
    <x v="430"/>
    <x v="18"/>
    <x v="0"/>
    <x v="0"/>
    <x v="0"/>
    <x v="23"/>
    <x v="0"/>
    <x v="4"/>
    <x v="0"/>
    <x v="11"/>
    <n v="0.2727"/>
    <n v="0.52"/>
    <n v="0.4627"/>
    <x v="5"/>
    <x v="2"/>
    <x v="20"/>
  </r>
  <r>
    <x v="431"/>
    <x v="19"/>
    <x v="0"/>
    <x v="0"/>
    <x v="0"/>
    <x v="0"/>
    <x v="0"/>
    <x v="5"/>
    <x v="0"/>
    <x v="12"/>
    <n v="0.2273"/>
    <n v="0.56000000000000005"/>
    <n v="0.3881"/>
    <x v="2"/>
    <x v="21"/>
    <x v="3"/>
  </r>
  <r>
    <x v="432"/>
    <x v="19"/>
    <x v="0"/>
    <x v="0"/>
    <x v="0"/>
    <x v="1"/>
    <x v="0"/>
    <x v="5"/>
    <x v="0"/>
    <x v="12"/>
    <n v="0.2727"/>
    <n v="0.56000000000000005"/>
    <n v="0"/>
    <x v="4"/>
    <x v="35"/>
    <x v="36"/>
  </r>
  <r>
    <x v="433"/>
    <x v="19"/>
    <x v="0"/>
    <x v="0"/>
    <x v="0"/>
    <x v="2"/>
    <x v="0"/>
    <x v="5"/>
    <x v="0"/>
    <x v="12"/>
    <n v="0.2727"/>
    <n v="0.56000000000000005"/>
    <n v="0"/>
    <x v="3"/>
    <x v="6"/>
    <x v="5"/>
  </r>
  <r>
    <x v="434"/>
    <x v="19"/>
    <x v="0"/>
    <x v="0"/>
    <x v="0"/>
    <x v="3"/>
    <x v="0"/>
    <x v="5"/>
    <x v="0"/>
    <x v="12"/>
    <n v="0.2576"/>
    <n v="0.56000000000000005"/>
    <n v="0.16420000000000001"/>
    <x v="3"/>
    <x v="4"/>
    <x v="4"/>
  </r>
  <r>
    <x v="435"/>
    <x v="19"/>
    <x v="0"/>
    <x v="0"/>
    <x v="0"/>
    <x v="4"/>
    <x v="0"/>
    <x v="5"/>
    <x v="0"/>
    <x v="12"/>
    <n v="0.2576"/>
    <n v="0.56000000000000005"/>
    <n v="0.16420000000000001"/>
    <x v="3"/>
    <x v="4"/>
    <x v="4"/>
  </r>
  <r>
    <x v="436"/>
    <x v="19"/>
    <x v="0"/>
    <x v="0"/>
    <x v="0"/>
    <x v="5"/>
    <x v="0"/>
    <x v="5"/>
    <x v="0"/>
    <x v="0"/>
    <n v="0.2273"/>
    <n v="0.6"/>
    <n v="0.22389999999999999"/>
    <x v="3"/>
    <x v="8"/>
    <x v="24"/>
  </r>
  <r>
    <x v="437"/>
    <x v="19"/>
    <x v="0"/>
    <x v="0"/>
    <x v="0"/>
    <x v="6"/>
    <x v="0"/>
    <x v="5"/>
    <x v="0"/>
    <x v="1"/>
    <n v="0.21210000000000001"/>
    <n v="0.6"/>
    <n v="0.22389999999999999"/>
    <x v="3"/>
    <x v="96"/>
    <x v="17"/>
  </r>
  <r>
    <x v="438"/>
    <x v="19"/>
    <x v="0"/>
    <x v="0"/>
    <x v="0"/>
    <x v="7"/>
    <x v="0"/>
    <x v="5"/>
    <x v="0"/>
    <x v="1"/>
    <n v="0.21210000000000001"/>
    <n v="0.55000000000000004"/>
    <n v="0.22389999999999999"/>
    <x v="5"/>
    <x v="129"/>
    <x v="129"/>
  </r>
  <r>
    <x v="439"/>
    <x v="19"/>
    <x v="0"/>
    <x v="0"/>
    <x v="0"/>
    <x v="8"/>
    <x v="0"/>
    <x v="5"/>
    <x v="0"/>
    <x v="1"/>
    <n v="0.21210000000000001"/>
    <n v="0.55000000000000004"/>
    <n v="0.28360000000000002"/>
    <x v="4"/>
    <x v="130"/>
    <x v="144"/>
  </r>
  <r>
    <x v="440"/>
    <x v="19"/>
    <x v="0"/>
    <x v="0"/>
    <x v="0"/>
    <x v="9"/>
    <x v="0"/>
    <x v="5"/>
    <x v="1"/>
    <x v="0"/>
    <n v="0.2273"/>
    <n v="0.52"/>
    <n v="0.22389999999999999"/>
    <x v="0"/>
    <x v="131"/>
    <x v="145"/>
  </r>
  <r>
    <x v="441"/>
    <x v="19"/>
    <x v="0"/>
    <x v="0"/>
    <x v="0"/>
    <x v="10"/>
    <x v="0"/>
    <x v="5"/>
    <x v="0"/>
    <x v="12"/>
    <n v="0.2273"/>
    <n v="0.48"/>
    <n v="0.29849999999999999"/>
    <x v="5"/>
    <x v="90"/>
    <x v="52"/>
  </r>
  <r>
    <x v="442"/>
    <x v="19"/>
    <x v="0"/>
    <x v="0"/>
    <x v="0"/>
    <x v="11"/>
    <x v="0"/>
    <x v="5"/>
    <x v="1"/>
    <x v="17"/>
    <n v="0.2727"/>
    <n v="0.45"/>
    <n v="0.16420000000000001"/>
    <x v="2"/>
    <x v="36"/>
    <x v="118"/>
  </r>
  <r>
    <x v="443"/>
    <x v="19"/>
    <x v="0"/>
    <x v="0"/>
    <x v="0"/>
    <x v="12"/>
    <x v="0"/>
    <x v="5"/>
    <x v="1"/>
    <x v="11"/>
    <n v="0.33329999999999999"/>
    <n v="0.42"/>
    <n v="0"/>
    <x v="18"/>
    <x v="99"/>
    <x v="11"/>
  </r>
  <r>
    <x v="444"/>
    <x v="19"/>
    <x v="0"/>
    <x v="0"/>
    <x v="0"/>
    <x v="13"/>
    <x v="0"/>
    <x v="5"/>
    <x v="1"/>
    <x v="17"/>
    <n v="0.28789999999999999"/>
    <n v="0.45"/>
    <n v="0.1045"/>
    <x v="6"/>
    <x v="132"/>
    <x v="95"/>
  </r>
  <r>
    <x v="445"/>
    <x v="19"/>
    <x v="0"/>
    <x v="0"/>
    <x v="0"/>
    <x v="14"/>
    <x v="0"/>
    <x v="5"/>
    <x v="1"/>
    <x v="11"/>
    <n v="0.30299999999999999"/>
    <n v="0.45"/>
    <n v="0.1343"/>
    <x v="15"/>
    <x v="102"/>
    <x v="117"/>
  </r>
  <r>
    <x v="446"/>
    <x v="19"/>
    <x v="0"/>
    <x v="0"/>
    <x v="0"/>
    <x v="15"/>
    <x v="0"/>
    <x v="5"/>
    <x v="1"/>
    <x v="3"/>
    <n v="0.31819999999999998"/>
    <n v="0.45"/>
    <n v="0.19400000000000001"/>
    <x v="1"/>
    <x v="133"/>
    <x v="27"/>
  </r>
  <r>
    <x v="447"/>
    <x v="19"/>
    <x v="0"/>
    <x v="0"/>
    <x v="0"/>
    <x v="16"/>
    <x v="0"/>
    <x v="5"/>
    <x v="1"/>
    <x v="11"/>
    <n v="0.30299999999999999"/>
    <n v="0.49"/>
    <n v="0.1343"/>
    <x v="1"/>
    <x v="93"/>
    <x v="134"/>
  </r>
  <r>
    <x v="448"/>
    <x v="19"/>
    <x v="0"/>
    <x v="0"/>
    <x v="0"/>
    <x v="17"/>
    <x v="0"/>
    <x v="5"/>
    <x v="1"/>
    <x v="11"/>
    <n v="0.31819999999999998"/>
    <n v="0.49"/>
    <n v="0.1045"/>
    <x v="1"/>
    <x v="134"/>
    <x v="146"/>
  </r>
  <r>
    <x v="449"/>
    <x v="19"/>
    <x v="0"/>
    <x v="0"/>
    <x v="0"/>
    <x v="18"/>
    <x v="0"/>
    <x v="5"/>
    <x v="1"/>
    <x v="12"/>
    <n v="0.2576"/>
    <n v="0.56000000000000005"/>
    <n v="0.19400000000000001"/>
    <x v="5"/>
    <x v="103"/>
    <x v="147"/>
  </r>
  <r>
    <x v="450"/>
    <x v="19"/>
    <x v="0"/>
    <x v="0"/>
    <x v="0"/>
    <x v="19"/>
    <x v="0"/>
    <x v="5"/>
    <x v="0"/>
    <x v="12"/>
    <n v="0.2273"/>
    <n v="0.56000000000000005"/>
    <n v="0.32840000000000003"/>
    <x v="15"/>
    <x v="44"/>
    <x v="148"/>
  </r>
  <r>
    <x v="451"/>
    <x v="19"/>
    <x v="0"/>
    <x v="0"/>
    <x v="0"/>
    <x v="20"/>
    <x v="0"/>
    <x v="5"/>
    <x v="1"/>
    <x v="12"/>
    <n v="0.2424"/>
    <n v="0.6"/>
    <n v="0.28360000000000002"/>
    <x v="4"/>
    <x v="125"/>
    <x v="149"/>
  </r>
  <r>
    <x v="452"/>
    <x v="19"/>
    <x v="0"/>
    <x v="0"/>
    <x v="0"/>
    <x v="21"/>
    <x v="0"/>
    <x v="5"/>
    <x v="1"/>
    <x v="0"/>
    <n v="0.2273"/>
    <n v="0.6"/>
    <n v="0.25369999999999998"/>
    <x v="0"/>
    <x v="25"/>
    <x v="52"/>
  </r>
  <r>
    <x v="453"/>
    <x v="19"/>
    <x v="0"/>
    <x v="0"/>
    <x v="0"/>
    <x v="22"/>
    <x v="0"/>
    <x v="5"/>
    <x v="1"/>
    <x v="0"/>
    <n v="0.21210000000000001"/>
    <n v="0.65"/>
    <n v="0.28360000000000002"/>
    <x v="3"/>
    <x v="90"/>
    <x v="10"/>
  </r>
  <r>
    <x v="454"/>
    <x v="19"/>
    <x v="0"/>
    <x v="0"/>
    <x v="0"/>
    <x v="23"/>
    <x v="0"/>
    <x v="5"/>
    <x v="1"/>
    <x v="0"/>
    <n v="0.21210000000000001"/>
    <n v="0.65"/>
    <n v="0.32840000000000003"/>
    <x v="0"/>
    <x v="95"/>
    <x v="35"/>
  </r>
  <r>
    <x v="455"/>
    <x v="20"/>
    <x v="0"/>
    <x v="0"/>
    <x v="0"/>
    <x v="0"/>
    <x v="0"/>
    <x v="6"/>
    <x v="1"/>
    <x v="0"/>
    <n v="0.2273"/>
    <n v="0.7"/>
    <n v="0.25369999999999998"/>
    <x v="5"/>
    <x v="32"/>
    <x v="137"/>
  </r>
  <r>
    <x v="456"/>
    <x v="20"/>
    <x v="0"/>
    <x v="0"/>
    <x v="0"/>
    <x v="1"/>
    <x v="0"/>
    <x v="6"/>
    <x v="1"/>
    <x v="0"/>
    <n v="0.2273"/>
    <n v="0.7"/>
    <n v="0.25369999999999998"/>
    <x v="3"/>
    <x v="8"/>
    <x v="24"/>
  </r>
  <r>
    <x v="457"/>
    <x v="20"/>
    <x v="0"/>
    <x v="0"/>
    <x v="0"/>
    <x v="2"/>
    <x v="0"/>
    <x v="6"/>
    <x v="2"/>
    <x v="0"/>
    <n v="0.2424"/>
    <n v="0.75"/>
    <n v="0.16420000000000001"/>
    <x v="3"/>
    <x v="6"/>
    <x v="5"/>
  </r>
  <r>
    <x v="458"/>
    <x v="20"/>
    <x v="0"/>
    <x v="0"/>
    <x v="0"/>
    <x v="3"/>
    <x v="0"/>
    <x v="6"/>
    <x v="2"/>
    <x v="1"/>
    <n v="0.21210000000000001"/>
    <n v="0.8"/>
    <n v="0.29849999999999999"/>
    <x v="3"/>
    <x v="4"/>
    <x v="4"/>
  </r>
  <r>
    <x v="459"/>
    <x v="20"/>
    <x v="0"/>
    <x v="0"/>
    <x v="0"/>
    <x v="4"/>
    <x v="0"/>
    <x v="6"/>
    <x v="1"/>
    <x v="1"/>
    <n v="0.2576"/>
    <n v="0.87"/>
    <n v="8.9599999999999999E-2"/>
    <x v="3"/>
    <x v="4"/>
    <x v="4"/>
  </r>
  <r>
    <x v="460"/>
    <x v="20"/>
    <x v="0"/>
    <x v="0"/>
    <x v="0"/>
    <x v="5"/>
    <x v="0"/>
    <x v="6"/>
    <x v="0"/>
    <x v="0"/>
    <n v="0.19700000000000001"/>
    <n v="0.6"/>
    <n v="0.41789999999999999"/>
    <x v="5"/>
    <x v="22"/>
    <x v="36"/>
  </r>
  <r>
    <x v="461"/>
    <x v="20"/>
    <x v="0"/>
    <x v="0"/>
    <x v="0"/>
    <x v="6"/>
    <x v="0"/>
    <x v="6"/>
    <x v="0"/>
    <x v="1"/>
    <n v="0.21210000000000001"/>
    <n v="0.55000000000000004"/>
    <n v="0.25369999999999998"/>
    <x v="3"/>
    <x v="2"/>
    <x v="110"/>
  </r>
  <r>
    <x v="462"/>
    <x v="20"/>
    <x v="0"/>
    <x v="0"/>
    <x v="0"/>
    <x v="7"/>
    <x v="0"/>
    <x v="6"/>
    <x v="0"/>
    <x v="2"/>
    <n v="0.18179999999999999"/>
    <n v="0.51"/>
    <n v="0.28360000000000002"/>
    <x v="4"/>
    <x v="43"/>
    <x v="118"/>
  </r>
  <r>
    <x v="463"/>
    <x v="20"/>
    <x v="0"/>
    <x v="0"/>
    <x v="0"/>
    <x v="8"/>
    <x v="0"/>
    <x v="6"/>
    <x v="0"/>
    <x v="2"/>
    <n v="0.18179999999999999"/>
    <n v="0.47"/>
    <n v="0.32840000000000003"/>
    <x v="18"/>
    <x v="135"/>
    <x v="112"/>
  </r>
  <r>
    <x v="464"/>
    <x v="20"/>
    <x v="0"/>
    <x v="0"/>
    <x v="0"/>
    <x v="9"/>
    <x v="0"/>
    <x v="6"/>
    <x v="0"/>
    <x v="2"/>
    <n v="0.18179999999999999"/>
    <n v="0.51"/>
    <n v="0.35820000000000002"/>
    <x v="18"/>
    <x v="136"/>
    <x v="150"/>
  </r>
  <r>
    <x v="465"/>
    <x v="20"/>
    <x v="0"/>
    <x v="0"/>
    <x v="0"/>
    <x v="10"/>
    <x v="0"/>
    <x v="6"/>
    <x v="0"/>
    <x v="2"/>
    <n v="0.16669999999999999"/>
    <n v="0.47"/>
    <n v="0.4627"/>
    <x v="15"/>
    <x v="77"/>
    <x v="55"/>
  </r>
  <r>
    <x v="466"/>
    <x v="20"/>
    <x v="0"/>
    <x v="0"/>
    <x v="0"/>
    <x v="11"/>
    <x v="0"/>
    <x v="6"/>
    <x v="0"/>
    <x v="1"/>
    <n v="0.18179999999999999"/>
    <n v="0.41"/>
    <n v="0.4627"/>
    <x v="15"/>
    <x v="42"/>
    <x v="29"/>
  </r>
  <r>
    <x v="467"/>
    <x v="20"/>
    <x v="0"/>
    <x v="0"/>
    <x v="0"/>
    <x v="12"/>
    <x v="0"/>
    <x v="6"/>
    <x v="0"/>
    <x v="1"/>
    <n v="0.18179999999999999"/>
    <n v="0.27"/>
    <n v="0.58209999999999995"/>
    <x v="16"/>
    <x v="28"/>
    <x v="53"/>
  </r>
  <r>
    <x v="468"/>
    <x v="20"/>
    <x v="0"/>
    <x v="0"/>
    <x v="0"/>
    <x v="13"/>
    <x v="0"/>
    <x v="6"/>
    <x v="0"/>
    <x v="2"/>
    <n v="0.1515"/>
    <n v="0.21"/>
    <n v="0.58209999999999995"/>
    <x v="1"/>
    <x v="65"/>
    <x v="88"/>
  </r>
  <r>
    <x v="469"/>
    <x v="20"/>
    <x v="0"/>
    <x v="0"/>
    <x v="0"/>
    <x v="14"/>
    <x v="0"/>
    <x v="6"/>
    <x v="0"/>
    <x v="2"/>
    <n v="0.1515"/>
    <n v="0.25"/>
    <n v="0.52239999999999998"/>
    <x v="15"/>
    <x v="90"/>
    <x v="69"/>
  </r>
  <r>
    <x v="470"/>
    <x v="20"/>
    <x v="0"/>
    <x v="0"/>
    <x v="0"/>
    <x v="15"/>
    <x v="0"/>
    <x v="6"/>
    <x v="0"/>
    <x v="13"/>
    <n v="0.1212"/>
    <n v="0.26"/>
    <n v="0.44779999999999998"/>
    <x v="17"/>
    <x v="124"/>
    <x v="32"/>
  </r>
  <r>
    <x v="471"/>
    <x v="20"/>
    <x v="0"/>
    <x v="0"/>
    <x v="0"/>
    <x v="16"/>
    <x v="0"/>
    <x v="6"/>
    <x v="0"/>
    <x v="13"/>
    <n v="0.13639999999999999"/>
    <n v="0.26"/>
    <n v="0.35820000000000002"/>
    <x v="3"/>
    <x v="106"/>
    <x v="54"/>
  </r>
  <r>
    <x v="472"/>
    <x v="20"/>
    <x v="0"/>
    <x v="0"/>
    <x v="0"/>
    <x v="17"/>
    <x v="0"/>
    <x v="6"/>
    <x v="0"/>
    <x v="14"/>
    <n v="0.1212"/>
    <n v="0.28000000000000003"/>
    <n v="0.35820000000000002"/>
    <x v="22"/>
    <x v="137"/>
    <x v="143"/>
  </r>
  <r>
    <x v="473"/>
    <x v="20"/>
    <x v="0"/>
    <x v="0"/>
    <x v="0"/>
    <x v="18"/>
    <x v="0"/>
    <x v="6"/>
    <x v="0"/>
    <x v="16"/>
    <n v="0.1212"/>
    <n v="0.3"/>
    <n v="0.25369999999999998"/>
    <x v="5"/>
    <x v="138"/>
    <x v="151"/>
  </r>
  <r>
    <x v="474"/>
    <x v="20"/>
    <x v="0"/>
    <x v="0"/>
    <x v="0"/>
    <x v="19"/>
    <x v="0"/>
    <x v="6"/>
    <x v="0"/>
    <x v="16"/>
    <n v="0.1061"/>
    <n v="0.3"/>
    <n v="0.32840000000000003"/>
    <x v="0"/>
    <x v="139"/>
    <x v="152"/>
  </r>
  <r>
    <x v="475"/>
    <x v="20"/>
    <x v="0"/>
    <x v="0"/>
    <x v="0"/>
    <x v="20"/>
    <x v="0"/>
    <x v="6"/>
    <x v="0"/>
    <x v="18"/>
    <n v="7.5800000000000006E-2"/>
    <n v="0.33"/>
    <n v="0.41789999999999999"/>
    <x v="5"/>
    <x v="15"/>
    <x v="26"/>
  </r>
  <r>
    <x v="476"/>
    <x v="20"/>
    <x v="0"/>
    <x v="0"/>
    <x v="0"/>
    <x v="21"/>
    <x v="0"/>
    <x v="6"/>
    <x v="0"/>
    <x v="19"/>
    <n v="7.5800000000000006E-2"/>
    <n v="0.38"/>
    <n v="0.28360000000000002"/>
    <x v="3"/>
    <x v="40"/>
    <x v="102"/>
  </r>
  <r>
    <x v="477"/>
    <x v="20"/>
    <x v="0"/>
    <x v="0"/>
    <x v="0"/>
    <x v="22"/>
    <x v="0"/>
    <x v="6"/>
    <x v="0"/>
    <x v="20"/>
    <n v="3.0300000000000001E-2"/>
    <n v="0.41"/>
    <n v="0.3881"/>
    <x v="5"/>
    <x v="39"/>
    <x v="19"/>
  </r>
  <r>
    <x v="478"/>
    <x v="20"/>
    <x v="0"/>
    <x v="0"/>
    <x v="0"/>
    <x v="23"/>
    <x v="0"/>
    <x v="6"/>
    <x v="0"/>
    <x v="20"/>
    <n v="4.5499999999999999E-2"/>
    <n v="0.38"/>
    <n v="0.32840000000000003"/>
    <x v="3"/>
    <x v="2"/>
    <x v="110"/>
  </r>
  <r>
    <x v="479"/>
    <x v="21"/>
    <x v="0"/>
    <x v="0"/>
    <x v="0"/>
    <x v="0"/>
    <x v="0"/>
    <x v="0"/>
    <x v="0"/>
    <x v="21"/>
    <n v="3.0300000000000001E-2"/>
    <n v="0.45"/>
    <n v="0.25369999999999998"/>
    <x v="3"/>
    <x v="0"/>
    <x v="3"/>
  </r>
  <r>
    <x v="480"/>
    <x v="21"/>
    <x v="0"/>
    <x v="0"/>
    <x v="0"/>
    <x v="1"/>
    <x v="0"/>
    <x v="0"/>
    <x v="1"/>
    <x v="21"/>
    <n v="0"/>
    <n v="0.41"/>
    <n v="0.3881"/>
    <x v="0"/>
    <x v="33"/>
    <x v="47"/>
  </r>
  <r>
    <x v="481"/>
    <x v="21"/>
    <x v="0"/>
    <x v="0"/>
    <x v="0"/>
    <x v="2"/>
    <x v="0"/>
    <x v="0"/>
    <x v="1"/>
    <x v="21"/>
    <n v="3.0300000000000001E-2"/>
    <n v="0.41"/>
    <n v="0.25369999999999998"/>
    <x v="3"/>
    <x v="48"/>
    <x v="62"/>
  </r>
  <r>
    <x v="482"/>
    <x v="21"/>
    <x v="0"/>
    <x v="0"/>
    <x v="0"/>
    <x v="3"/>
    <x v="0"/>
    <x v="0"/>
    <x v="1"/>
    <x v="21"/>
    <n v="3.0300000000000001E-2"/>
    <n v="0.41"/>
    <n v="0.28360000000000002"/>
    <x v="5"/>
    <x v="8"/>
    <x v="85"/>
  </r>
  <r>
    <x v="483"/>
    <x v="21"/>
    <x v="0"/>
    <x v="0"/>
    <x v="0"/>
    <x v="4"/>
    <x v="0"/>
    <x v="0"/>
    <x v="1"/>
    <x v="22"/>
    <n v="1.52E-2"/>
    <n v="0.48"/>
    <n v="0.29849999999999999"/>
    <x v="3"/>
    <x v="35"/>
    <x v="6"/>
  </r>
  <r>
    <x v="484"/>
    <x v="21"/>
    <x v="0"/>
    <x v="0"/>
    <x v="0"/>
    <x v="6"/>
    <x v="0"/>
    <x v="0"/>
    <x v="1"/>
    <x v="22"/>
    <n v="3.0300000000000001E-2"/>
    <n v="0.44"/>
    <n v="0.22389999999999999"/>
    <x v="3"/>
    <x v="6"/>
    <x v="5"/>
  </r>
  <r>
    <x v="485"/>
    <x v="21"/>
    <x v="0"/>
    <x v="0"/>
    <x v="0"/>
    <x v="7"/>
    <x v="0"/>
    <x v="0"/>
    <x v="0"/>
    <x v="22"/>
    <n v="1.52E-2"/>
    <n v="0.44"/>
    <n v="0.28360000000000002"/>
    <x v="3"/>
    <x v="21"/>
    <x v="7"/>
  </r>
  <r>
    <x v="486"/>
    <x v="21"/>
    <x v="0"/>
    <x v="0"/>
    <x v="0"/>
    <x v="8"/>
    <x v="0"/>
    <x v="0"/>
    <x v="0"/>
    <x v="22"/>
    <n v="0"/>
    <n v="0.44"/>
    <n v="0.32840000000000003"/>
    <x v="5"/>
    <x v="16"/>
    <x v="110"/>
  </r>
  <r>
    <x v="487"/>
    <x v="21"/>
    <x v="0"/>
    <x v="0"/>
    <x v="0"/>
    <x v="9"/>
    <x v="0"/>
    <x v="0"/>
    <x v="0"/>
    <x v="21"/>
    <n v="3.0300000000000001E-2"/>
    <n v="0.41"/>
    <n v="0.25369999999999998"/>
    <x v="0"/>
    <x v="53"/>
    <x v="1"/>
  </r>
  <r>
    <x v="488"/>
    <x v="21"/>
    <x v="0"/>
    <x v="0"/>
    <x v="0"/>
    <x v="10"/>
    <x v="0"/>
    <x v="0"/>
    <x v="1"/>
    <x v="21"/>
    <n v="6.0600000000000001E-2"/>
    <n v="0.41"/>
    <n v="0.16420000000000001"/>
    <x v="0"/>
    <x v="54"/>
    <x v="26"/>
  </r>
  <r>
    <x v="489"/>
    <x v="21"/>
    <x v="0"/>
    <x v="0"/>
    <x v="0"/>
    <x v="11"/>
    <x v="0"/>
    <x v="0"/>
    <x v="1"/>
    <x v="20"/>
    <n v="7.5800000000000006E-2"/>
    <n v="0.38"/>
    <n v="0.1343"/>
    <x v="17"/>
    <x v="79"/>
    <x v="55"/>
  </r>
  <r>
    <x v="490"/>
    <x v="21"/>
    <x v="0"/>
    <x v="0"/>
    <x v="0"/>
    <x v="12"/>
    <x v="0"/>
    <x v="0"/>
    <x v="1"/>
    <x v="20"/>
    <n v="0.1061"/>
    <n v="0.38"/>
    <n v="0.1045"/>
    <x v="22"/>
    <x v="91"/>
    <x v="27"/>
  </r>
  <r>
    <x v="491"/>
    <x v="21"/>
    <x v="0"/>
    <x v="0"/>
    <x v="0"/>
    <x v="13"/>
    <x v="0"/>
    <x v="0"/>
    <x v="0"/>
    <x v="19"/>
    <n v="0.16669999999999999"/>
    <n v="0.35"/>
    <n v="0"/>
    <x v="6"/>
    <x v="109"/>
    <x v="11"/>
  </r>
  <r>
    <x v="492"/>
    <x v="21"/>
    <x v="0"/>
    <x v="0"/>
    <x v="0"/>
    <x v="14"/>
    <x v="0"/>
    <x v="0"/>
    <x v="0"/>
    <x v="18"/>
    <n v="0.13639999999999999"/>
    <n v="0.33"/>
    <n v="0.1045"/>
    <x v="16"/>
    <x v="27"/>
    <x v="28"/>
  </r>
  <r>
    <x v="493"/>
    <x v="21"/>
    <x v="0"/>
    <x v="0"/>
    <x v="0"/>
    <x v="15"/>
    <x v="0"/>
    <x v="0"/>
    <x v="0"/>
    <x v="16"/>
    <n v="0.1515"/>
    <n v="0.28000000000000003"/>
    <n v="0"/>
    <x v="22"/>
    <x v="139"/>
    <x v="153"/>
  </r>
  <r>
    <x v="494"/>
    <x v="21"/>
    <x v="0"/>
    <x v="0"/>
    <x v="0"/>
    <x v="16"/>
    <x v="0"/>
    <x v="0"/>
    <x v="0"/>
    <x v="16"/>
    <n v="0.13639999999999999"/>
    <n v="0.28000000000000003"/>
    <n v="0.19400000000000001"/>
    <x v="16"/>
    <x v="109"/>
    <x v="56"/>
  </r>
  <r>
    <x v="495"/>
    <x v="21"/>
    <x v="0"/>
    <x v="0"/>
    <x v="0"/>
    <x v="17"/>
    <x v="0"/>
    <x v="0"/>
    <x v="0"/>
    <x v="16"/>
    <n v="0.19700000000000001"/>
    <n v="0.28000000000000003"/>
    <n v="0"/>
    <x v="1"/>
    <x v="79"/>
    <x v="16"/>
  </r>
  <r>
    <x v="496"/>
    <x v="21"/>
    <x v="0"/>
    <x v="0"/>
    <x v="0"/>
    <x v="18"/>
    <x v="0"/>
    <x v="0"/>
    <x v="0"/>
    <x v="19"/>
    <n v="9.0899999999999995E-2"/>
    <n v="0.35"/>
    <n v="0.19400000000000001"/>
    <x v="3"/>
    <x v="25"/>
    <x v="60"/>
  </r>
  <r>
    <x v="497"/>
    <x v="21"/>
    <x v="0"/>
    <x v="0"/>
    <x v="0"/>
    <x v="19"/>
    <x v="0"/>
    <x v="0"/>
    <x v="0"/>
    <x v="19"/>
    <n v="0.1061"/>
    <n v="0.35"/>
    <n v="0.1343"/>
    <x v="15"/>
    <x v="42"/>
    <x v="29"/>
  </r>
  <r>
    <x v="498"/>
    <x v="21"/>
    <x v="0"/>
    <x v="0"/>
    <x v="0"/>
    <x v="20"/>
    <x v="0"/>
    <x v="0"/>
    <x v="0"/>
    <x v="20"/>
    <n v="7.5800000000000006E-2"/>
    <n v="0.45"/>
    <n v="0.16420000000000001"/>
    <x v="5"/>
    <x v="100"/>
    <x v="79"/>
  </r>
  <r>
    <x v="499"/>
    <x v="21"/>
    <x v="0"/>
    <x v="0"/>
    <x v="0"/>
    <x v="21"/>
    <x v="0"/>
    <x v="0"/>
    <x v="0"/>
    <x v="20"/>
    <n v="0.1061"/>
    <n v="0.41"/>
    <n v="8.9599999999999999E-2"/>
    <x v="3"/>
    <x v="87"/>
    <x v="21"/>
  </r>
  <r>
    <x v="500"/>
    <x v="21"/>
    <x v="0"/>
    <x v="0"/>
    <x v="0"/>
    <x v="22"/>
    <x v="0"/>
    <x v="0"/>
    <x v="0"/>
    <x v="20"/>
    <n v="0.1515"/>
    <n v="0.49"/>
    <n v="0"/>
    <x v="18"/>
    <x v="140"/>
    <x v="33"/>
  </r>
  <r>
    <x v="501"/>
    <x v="21"/>
    <x v="0"/>
    <x v="0"/>
    <x v="0"/>
    <x v="23"/>
    <x v="0"/>
    <x v="0"/>
    <x v="0"/>
    <x v="21"/>
    <n v="7.5800000000000006E-2"/>
    <n v="0.56999999999999995"/>
    <n v="0.1045"/>
    <x v="4"/>
    <x v="17"/>
    <x v="63"/>
  </r>
  <r>
    <x v="502"/>
    <x v="22"/>
    <x v="0"/>
    <x v="0"/>
    <x v="0"/>
    <x v="0"/>
    <x v="0"/>
    <x v="1"/>
    <x v="0"/>
    <x v="21"/>
    <n v="7.5800000000000006E-2"/>
    <n v="0.56999999999999995"/>
    <n v="0.1045"/>
    <x v="4"/>
    <x v="32"/>
    <x v="34"/>
  </r>
  <r>
    <x v="503"/>
    <x v="22"/>
    <x v="0"/>
    <x v="0"/>
    <x v="0"/>
    <x v="1"/>
    <x v="0"/>
    <x v="1"/>
    <x v="0"/>
    <x v="21"/>
    <n v="7.5800000000000006E-2"/>
    <n v="0.56999999999999995"/>
    <n v="0.1045"/>
    <x v="5"/>
    <x v="98"/>
    <x v="3"/>
  </r>
  <r>
    <x v="504"/>
    <x v="22"/>
    <x v="0"/>
    <x v="0"/>
    <x v="0"/>
    <x v="2"/>
    <x v="0"/>
    <x v="1"/>
    <x v="0"/>
    <x v="22"/>
    <n v="6.0600000000000001E-2"/>
    <n v="0.62"/>
    <n v="0.1343"/>
    <x v="0"/>
    <x v="89"/>
    <x v="109"/>
  </r>
  <r>
    <x v="505"/>
    <x v="22"/>
    <x v="0"/>
    <x v="0"/>
    <x v="0"/>
    <x v="3"/>
    <x v="0"/>
    <x v="1"/>
    <x v="0"/>
    <x v="22"/>
    <n v="6.0600000000000001E-2"/>
    <n v="0.62"/>
    <n v="0.1343"/>
    <x v="5"/>
    <x v="22"/>
    <x v="36"/>
  </r>
  <r>
    <x v="506"/>
    <x v="22"/>
    <x v="0"/>
    <x v="0"/>
    <x v="0"/>
    <x v="5"/>
    <x v="0"/>
    <x v="1"/>
    <x v="1"/>
    <x v="21"/>
    <n v="7.5800000000000006E-2"/>
    <n v="0.56999999999999995"/>
    <n v="0.1045"/>
    <x v="3"/>
    <x v="35"/>
    <x v="6"/>
  </r>
  <r>
    <x v="507"/>
    <x v="22"/>
    <x v="0"/>
    <x v="0"/>
    <x v="0"/>
    <x v="6"/>
    <x v="0"/>
    <x v="1"/>
    <x v="1"/>
    <x v="21"/>
    <n v="7.5800000000000006E-2"/>
    <n v="0.56999999999999995"/>
    <n v="0.1045"/>
    <x v="3"/>
    <x v="4"/>
    <x v="4"/>
  </r>
  <r>
    <x v="508"/>
    <x v="22"/>
    <x v="0"/>
    <x v="0"/>
    <x v="0"/>
    <x v="7"/>
    <x v="0"/>
    <x v="1"/>
    <x v="0"/>
    <x v="19"/>
    <n v="0.1061"/>
    <n v="0.57999999999999996"/>
    <n v="0.16420000000000001"/>
    <x v="5"/>
    <x v="4"/>
    <x v="5"/>
  </r>
  <r>
    <x v="509"/>
    <x v="22"/>
    <x v="0"/>
    <x v="0"/>
    <x v="0"/>
    <x v="8"/>
    <x v="0"/>
    <x v="1"/>
    <x v="0"/>
    <x v="20"/>
    <n v="7.5800000000000006E-2"/>
    <n v="0.62"/>
    <n v="0.16420000000000001"/>
    <x v="4"/>
    <x v="19"/>
    <x v="75"/>
  </r>
  <r>
    <x v="510"/>
    <x v="22"/>
    <x v="0"/>
    <x v="0"/>
    <x v="0"/>
    <x v="9"/>
    <x v="0"/>
    <x v="1"/>
    <x v="0"/>
    <x v="18"/>
    <n v="7.5800000000000006E-2"/>
    <n v="0.54"/>
    <n v="0.35820000000000002"/>
    <x v="0"/>
    <x v="18"/>
    <x v="20"/>
  </r>
  <r>
    <x v="511"/>
    <x v="22"/>
    <x v="0"/>
    <x v="0"/>
    <x v="0"/>
    <x v="10"/>
    <x v="0"/>
    <x v="1"/>
    <x v="0"/>
    <x v="14"/>
    <n v="0.1061"/>
    <n v="0.46"/>
    <n v="0.3881"/>
    <x v="18"/>
    <x v="82"/>
    <x v="154"/>
  </r>
  <r>
    <x v="512"/>
    <x v="22"/>
    <x v="0"/>
    <x v="0"/>
    <x v="0"/>
    <x v="11"/>
    <x v="0"/>
    <x v="1"/>
    <x v="0"/>
    <x v="14"/>
    <n v="0.13639999999999999"/>
    <n v="0.43"/>
    <n v="0.22389999999999999"/>
    <x v="30"/>
    <x v="99"/>
    <x v="111"/>
  </r>
  <r>
    <x v="513"/>
    <x v="22"/>
    <x v="0"/>
    <x v="0"/>
    <x v="0"/>
    <x v="12"/>
    <x v="0"/>
    <x v="1"/>
    <x v="0"/>
    <x v="13"/>
    <n v="0.1212"/>
    <n v="0.37"/>
    <n v="0.4627"/>
    <x v="31"/>
    <x v="50"/>
    <x v="155"/>
  </r>
  <r>
    <x v="514"/>
    <x v="22"/>
    <x v="0"/>
    <x v="0"/>
    <x v="0"/>
    <x v="13"/>
    <x v="0"/>
    <x v="1"/>
    <x v="0"/>
    <x v="14"/>
    <n v="0.1061"/>
    <n v="0.33"/>
    <n v="0.3881"/>
    <x v="6"/>
    <x v="102"/>
    <x v="90"/>
  </r>
  <r>
    <x v="515"/>
    <x v="22"/>
    <x v="0"/>
    <x v="0"/>
    <x v="0"/>
    <x v="14"/>
    <x v="0"/>
    <x v="1"/>
    <x v="0"/>
    <x v="13"/>
    <n v="0.13639999999999999"/>
    <n v="0.28000000000000003"/>
    <n v="0.35820000000000002"/>
    <x v="26"/>
    <x v="139"/>
    <x v="14"/>
  </r>
  <r>
    <x v="516"/>
    <x v="22"/>
    <x v="0"/>
    <x v="0"/>
    <x v="0"/>
    <x v="15"/>
    <x v="0"/>
    <x v="1"/>
    <x v="0"/>
    <x v="13"/>
    <n v="0.13639999999999999"/>
    <n v="0.28000000000000003"/>
    <n v="0.35820000000000002"/>
    <x v="23"/>
    <x v="27"/>
    <x v="43"/>
  </r>
  <r>
    <x v="517"/>
    <x v="22"/>
    <x v="0"/>
    <x v="0"/>
    <x v="0"/>
    <x v="16"/>
    <x v="0"/>
    <x v="1"/>
    <x v="0"/>
    <x v="13"/>
    <n v="0.13639999999999999"/>
    <n v="0.26"/>
    <n v="0.32840000000000003"/>
    <x v="14"/>
    <x v="90"/>
    <x v="32"/>
  </r>
  <r>
    <x v="518"/>
    <x v="22"/>
    <x v="0"/>
    <x v="0"/>
    <x v="0"/>
    <x v="17"/>
    <x v="0"/>
    <x v="1"/>
    <x v="0"/>
    <x v="14"/>
    <n v="0.1061"/>
    <n v="0.26"/>
    <n v="0.3881"/>
    <x v="2"/>
    <x v="54"/>
    <x v="97"/>
  </r>
  <r>
    <x v="519"/>
    <x v="22"/>
    <x v="0"/>
    <x v="0"/>
    <x v="0"/>
    <x v="18"/>
    <x v="0"/>
    <x v="1"/>
    <x v="0"/>
    <x v="16"/>
    <n v="0.1212"/>
    <n v="0.3"/>
    <n v="0.25369999999999998"/>
    <x v="2"/>
    <x v="100"/>
    <x v="99"/>
  </r>
  <r>
    <x v="520"/>
    <x v="22"/>
    <x v="0"/>
    <x v="0"/>
    <x v="0"/>
    <x v="19"/>
    <x v="0"/>
    <x v="1"/>
    <x v="0"/>
    <x v="16"/>
    <n v="0.1212"/>
    <n v="0.3"/>
    <n v="0.28360000000000002"/>
    <x v="2"/>
    <x v="108"/>
    <x v="89"/>
  </r>
  <r>
    <x v="521"/>
    <x v="22"/>
    <x v="0"/>
    <x v="0"/>
    <x v="0"/>
    <x v="20"/>
    <x v="0"/>
    <x v="1"/>
    <x v="0"/>
    <x v="18"/>
    <n v="0.1061"/>
    <n v="0.36"/>
    <n v="0.25369999999999998"/>
    <x v="17"/>
    <x v="17"/>
    <x v="17"/>
  </r>
  <r>
    <x v="522"/>
    <x v="22"/>
    <x v="0"/>
    <x v="0"/>
    <x v="0"/>
    <x v="21"/>
    <x v="0"/>
    <x v="1"/>
    <x v="0"/>
    <x v="18"/>
    <n v="0.1061"/>
    <n v="0.36"/>
    <n v="0.19400000000000001"/>
    <x v="2"/>
    <x v="32"/>
    <x v="94"/>
  </r>
  <r>
    <x v="523"/>
    <x v="22"/>
    <x v="0"/>
    <x v="0"/>
    <x v="0"/>
    <x v="22"/>
    <x v="0"/>
    <x v="1"/>
    <x v="0"/>
    <x v="19"/>
    <n v="9.0899999999999995E-2"/>
    <n v="0.38"/>
    <n v="0.19400000000000001"/>
    <x v="2"/>
    <x v="140"/>
    <x v="20"/>
  </r>
  <r>
    <x v="524"/>
    <x v="22"/>
    <x v="0"/>
    <x v="0"/>
    <x v="0"/>
    <x v="23"/>
    <x v="0"/>
    <x v="1"/>
    <x v="0"/>
    <x v="20"/>
    <n v="6.0600000000000001E-2"/>
    <n v="0.41"/>
    <n v="0.22389999999999999"/>
    <x v="17"/>
    <x v="19"/>
    <x v="137"/>
  </r>
  <r>
    <x v="525"/>
    <x v="23"/>
    <x v="0"/>
    <x v="0"/>
    <x v="0"/>
    <x v="0"/>
    <x v="0"/>
    <x v="2"/>
    <x v="0"/>
    <x v="20"/>
    <n v="6.0600000000000001E-2"/>
    <n v="0.41"/>
    <n v="0.19400000000000001"/>
    <x v="3"/>
    <x v="7"/>
    <x v="85"/>
  </r>
  <r>
    <x v="526"/>
    <x v="23"/>
    <x v="0"/>
    <x v="0"/>
    <x v="0"/>
    <x v="1"/>
    <x v="0"/>
    <x v="2"/>
    <x v="0"/>
    <x v="21"/>
    <n v="4.5499999999999999E-2"/>
    <n v="0.45"/>
    <n v="0.19400000000000001"/>
    <x v="3"/>
    <x v="4"/>
    <x v="4"/>
  </r>
  <r>
    <x v="527"/>
    <x v="23"/>
    <x v="0"/>
    <x v="0"/>
    <x v="0"/>
    <x v="3"/>
    <x v="0"/>
    <x v="2"/>
    <x v="0"/>
    <x v="21"/>
    <n v="3.0300000000000001E-2"/>
    <n v="0.45"/>
    <n v="0.25369999999999998"/>
    <x v="3"/>
    <x v="4"/>
    <x v="4"/>
  </r>
  <r>
    <x v="528"/>
    <x v="23"/>
    <x v="0"/>
    <x v="0"/>
    <x v="0"/>
    <x v="4"/>
    <x v="0"/>
    <x v="2"/>
    <x v="0"/>
    <x v="22"/>
    <n v="6.0600000000000001E-2"/>
    <n v="0.48"/>
    <n v="0.1343"/>
    <x v="3"/>
    <x v="4"/>
    <x v="4"/>
  </r>
  <r>
    <x v="529"/>
    <x v="23"/>
    <x v="0"/>
    <x v="0"/>
    <x v="0"/>
    <x v="5"/>
    <x v="0"/>
    <x v="2"/>
    <x v="0"/>
    <x v="22"/>
    <n v="6.0600000000000001E-2"/>
    <n v="0.48"/>
    <n v="0.1343"/>
    <x v="3"/>
    <x v="34"/>
    <x v="36"/>
  </r>
  <r>
    <x v="530"/>
    <x v="23"/>
    <x v="0"/>
    <x v="0"/>
    <x v="0"/>
    <x v="6"/>
    <x v="0"/>
    <x v="2"/>
    <x v="0"/>
    <x v="22"/>
    <n v="7.5800000000000006E-2"/>
    <n v="0.48"/>
    <n v="8.9599999999999999E-2"/>
    <x v="3"/>
    <x v="89"/>
    <x v="93"/>
  </r>
  <r>
    <x v="531"/>
    <x v="23"/>
    <x v="0"/>
    <x v="0"/>
    <x v="0"/>
    <x v="7"/>
    <x v="0"/>
    <x v="2"/>
    <x v="0"/>
    <x v="22"/>
    <n v="0.1212"/>
    <n v="0.48"/>
    <n v="0"/>
    <x v="2"/>
    <x v="55"/>
    <x v="11"/>
  </r>
  <r>
    <x v="532"/>
    <x v="23"/>
    <x v="0"/>
    <x v="0"/>
    <x v="0"/>
    <x v="8"/>
    <x v="0"/>
    <x v="2"/>
    <x v="0"/>
    <x v="21"/>
    <n v="0.13639999999999999"/>
    <n v="0.49"/>
    <n v="0"/>
    <x v="15"/>
    <x v="141"/>
    <x v="156"/>
  </r>
  <r>
    <x v="533"/>
    <x v="23"/>
    <x v="0"/>
    <x v="0"/>
    <x v="0"/>
    <x v="9"/>
    <x v="0"/>
    <x v="2"/>
    <x v="0"/>
    <x v="20"/>
    <n v="0.1515"/>
    <n v="0.41"/>
    <n v="0"/>
    <x v="17"/>
    <x v="52"/>
    <x v="96"/>
  </r>
  <r>
    <x v="534"/>
    <x v="23"/>
    <x v="0"/>
    <x v="0"/>
    <x v="0"/>
    <x v="10"/>
    <x v="0"/>
    <x v="2"/>
    <x v="0"/>
    <x v="18"/>
    <n v="0.13639999999999999"/>
    <n v="0.42"/>
    <n v="0"/>
    <x v="15"/>
    <x v="60"/>
    <x v="1"/>
  </r>
  <r>
    <x v="535"/>
    <x v="23"/>
    <x v="0"/>
    <x v="0"/>
    <x v="0"/>
    <x v="11"/>
    <x v="0"/>
    <x v="2"/>
    <x v="0"/>
    <x v="18"/>
    <n v="0.1212"/>
    <n v="0.46"/>
    <n v="0.1343"/>
    <x v="0"/>
    <x v="30"/>
    <x v="66"/>
  </r>
  <r>
    <x v="536"/>
    <x v="23"/>
    <x v="0"/>
    <x v="0"/>
    <x v="0"/>
    <x v="12"/>
    <x v="0"/>
    <x v="2"/>
    <x v="1"/>
    <x v="16"/>
    <n v="0.13639999999999999"/>
    <n v="0.42"/>
    <n v="0.19400000000000001"/>
    <x v="16"/>
    <x v="15"/>
    <x v="55"/>
  </r>
  <r>
    <x v="537"/>
    <x v="23"/>
    <x v="0"/>
    <x v="0"/>
    <x v="0"/>
    <x v="13"/>
    <x v="0"/>
    <x v="2"/>
    <x v="1"/>
    <x v="14"/>
    <n v="0.13639999999999999"/>
    <n v="0.43"/>
    <n v="0.22389999999999999"/>
    <x v="15"/>
    <x v="25"/>
    <x v="122"/>
  </r>
  <r>
    <x v="538"/>
    <x v="23"/>
    <x v="0"/>
    <x v="0"/>
    <x v="0"/>
    <x v="14"/>
    <x v="0"/>
    <x v="2"/>
    <x v="1"/>
    <x v="14"/>
    <n v="0.13639999999999999"/>
    <n v="0.46"/>
    <n v="0.22389999999999999"/>
    <x v="4"/>
    <x v="30"/>
    <x v="79"/>
  </r>
  <r>
    <x v="539"/>
    <x v="23"/>
    <x v="0"/>
    <x v="0"/>
    <x v="0"/>
    <x v="15"/>
    <x v="0"/>
    <x v="2"/>
    <x v="0"/>
    <x v="13"/>
    <n v="0.16669999999999999"/>
    <n v="0.4"/>
    <n v="0.16420000000000001"/>
    <x v="18"/>
    <x v="54"/>
    <x v="52"/>
  </r>
  <r>
    <x v="540"/>
    <x v="23"/>
    <x v="0"/>
    <x v="0"/>
    <x v="0"/>
    <x v="16"/>
    <x v="0"/>
    <x v="2"/>
    <x v="0"/>
    <x v="13"/>
    <n v="0.1515"/>
    <n v="0.47"/>
    <n v="0.25369999999999998"/>
    <x v="17"/>
    <x v="43"/>
    <x v="27"/>
  </r>
  <r>
    <x v="541"/>
    <x v="23"/>
    <x v="0"/>
    <x v="0"/>
    <x v="0"/>
    <x v="17"/>
    <x v="0"/>
    <x v="2"/>
    <x v="0"/>
    <x v="14"/>
    <n v="0.1212"/>
    <n v="0.5"/>
    <n v="0.25369999999999998"/>
    <x v="15"/>
    <x v="86"/>
    <x v="157"/>
  </r>
  <r>
    <x v="542"/>
    <x v="23"/>
    <x v="0"/>
    <x v="0"/>
    <x v="0"/>
    <x v="18"/>
    <x v="0"/>
    <x v="2"/>
    <x v="0"/>
    <x v="14"/>
    <n v="0.13639999999999999"/>
    <n v="0.59"/>
    <n v="0.19400000000000001"/>
    <x v="1"/>
    <x v="142"/>
    <x v="158"/>
  </r>
  <r>
    <x v="543"/>
    <x v="23"/>
    <x v="0"/>
    <x v="0"/>
    <x v="0"/>
    <x v="19"/>
    <x v="0"/>
    <x v="2"/>
    <x v="0"/>
    <x v="14"/>
    <n v="0.1515"/>
    <n v="0.54"/>
    <n v="0.16420000000000001"/>
    <x v="2"/>
    <x v="143"/>
    <x v="13"/>
  </r>
  <r>
    <x v="544"/>
    <x v="23"/>
    <x v="0"/>
    <x v="0"/>
    <x v="0"/>
    <x v="20"/>
    <x v="0"/>
    <x v="2"/>
    <x v="0"/>
    <x v="14"/>
    <n v="0.13639999999999999"/>
    <n v="0.59"/>
    <n v="0.19400000000000001"/>
    <x v="5"/>
    <x v="122"/>
    <x v="117"/>
  </r>
  <r>
    <x v="545"/>
    <x v="23"/>
    <x v="0"/>
    <x v="0"/>
    <x v="0"/>
    <x v="21"/>
    <x v="0"/>
    <x v="2"/>
    <x v="0"/>
    <x v="14"/>
    <n v="0.1515"/>
    <n v="0.63"/>
    <n v="0.16420000000000001"/>
    <x v="15"/>
    <x v="42"/>
    <x v="29"/>
  </r>
  <r>
    <x v="546"/>
    <x v="23"/>
    <x v="0"/>
    <x v="0"/>
    <x v="0"/>
    <x v="22"/>
    <x v="0"/>
    <x v="2"/>
    <x v="1"/>
    <x v="14"/>
    <n v="0.13639999999999999"/>
    <n v="0.63"/>
    <n v="0.22389999999999999"/>
    <x v="0"/>
    <x v="1"/>
    <x v="17"/>
  </r>
  <r>
    <x v="547"/>
    <x v="23"/>
    <x v="0"/>
    <x v="0"/>
    <x v="0"/>
    <x v="23"/>
    <x v="0"/>
    <x v="2"/>
    <x v="1"/>
    <x v="13"/>
    <n v="0.1515"/>
    <n v="0.64"/>
    <n v="0.25369999999999998"/>
    <x v="0"/>
    <x v="144"/>
    <x v="108"/>
  </r>
  <r>
    <x v="548"/>
    <x v="24"/>
    <x v="0"/>
    <x v="0"/>
    <x v="0"/>
    <x v="0"/>
    <x v="0"/>
    <x v="3"/>
    <x v="1"/>
    <x v="13"/>
    <n v="0.13639999999999999"/>
    <n v="0.69"/>
    <n v="0.28360000000000002"/>
    <x v="0"/>
    <x v="8"/>
    <x v="23"/>
  </r>
  <r>
    <x v="549"/>
    <x v="24"/>
    <x v="0"/>
    <x v="0"/>
    <x v="0"/>
    <x v="1"/>
    <x v="0"/>
    <x v="3"/>
    <x v="1"/>
    <x v="13"/>
    <n v="0.16669999999999999"/>
    <n v="0.69"/>
    <n v="0.16420000000000001"/>
    <x v="3"/>
    <x v="34"/>
    <x v="36"/>
  </r>
  <r>
    <x v="550"/>
    <x v="24"/>
    <x v="0"/>
    <x v="0"/>
    <x v="0"/>
    <x v="2"/>
    <x v="0"/>
    <x v="3"/>
    <x v="0"/>
    <x v="13"/>
    <n v="0.1515"/>
    <n v="0.69"/>
    <n v="0.22389999999999999"/>
    <x v="3"/>
    <x v="6"/>
    <x v="5"/>
  </r>
  <r>
    <x v="551"/>
    <x v="24"/>
    <x v="0"/>
    <x v="0"/>
    <x v="0"/>
    <x v="4"/>
    <x v="0"/>
    <x v="3"/>
    <x v="0"/>
    <x v="14"/>
    <n v="0.16669999999999999"/>
    <n v="0.74"/>
    <n v="0.1045"/>
    <x v="3"/>
    <x v="4"/>
    <x v="4"/>
  </r>
  <r>
    <x v="552"/>
    <x v="24"/>
    <x v="0"/>
    <x v="0"/>
    <x v="0"/>
    <x v="5"/>
    <x v="0"/>
    <x v="3"/>
    <x v="0"/>
    <x v="14"/>
    <n v="0.13639999999999999"/>
    <n v="0.74"/>
    <n v="0.22389999999999999"/>
    <x v="3"/>
    <x v="33"/>
    <x v="23"/>
  </r>
  <r>
    <x v="553"/>
    <x v="24"/>
    <x v="0"/>
    <x v="0"/>
    <x v="0"/>
    <x v="6"/>
    <x v="0"/>
    <x v="3"/>
    <x v="0"/>
    <x v="13"/>
    <n v="0.18179999999999999"/>
    <n v="0.74"/>
    <n v="0.1045"/>
    <x v="5"/>
    <x v="96"/>
    <x v="9"/>
  </r>
  <r>
    <x v="554"/>
    <x v="24"/>
    <x v="0"/>
    <x v="0"/>
    <x v="0"/>
    <x v="7"/>
    <x v="0"/>
    <x v="3"/>
    <x v="0"/>
    <x v="13"/>
    <n v="0.1515"/>
    <n v="0.74"/>
    <n v="0.22389999999999999"/>
    <x v="2"/>
    <x v="145"/>
    <x v="159"/>
  </r>
  <r>
    <x v="555"/>
    <x v="24"/>
    <x v="0"/>
    <x v="0"/>
    <x v="0"/>
    <x v="8"/>
    <x v="0"/>
    <x v="3"/>
    <x v="1"/>
    <x v="13"/>
    <n v="0.18179999999999999"/>
    <n v="0.74"/>
    <n v="0.1343"/>
    <x v="2"/>
    <x v="146"/>
    <x v="160"/>
  </r>
  <r>
    <x v="556"/>
    <x v="24"/>
    <x v="0"/>
    <x v="0"/>
    <x v="0"/>
    <x v="9"/>
    <x v="0"/>
    <x v="3"/>
    <x v="1"/>
    <x v="2"/>
    <n v="0.2273"/>
    <n v="0.64"/>
    <n v="8.9599999999999999E-2"/>
    <x v="22"/>
    <x v="120"/>
    <x v="124"/>
  </r>
  <r>
    <x v="557"/>
    <x v="24"/>
    <x v="0"/>
    <x v="0"/>
    <x v="0"/>
    <x v="10"/>
    <x v="0"/>
    <x v="3"/>
    <x v="1"/>
    <x v="1"/>
    <n v="0.2424"/>
    <n v="0.6"/>
    <n v="0.1045"/>
    <x v="15"/>
    <x v="47"/>
    <x v="97"/>
  </r>
  <r>
    <x v="558"/>
    <x v="24"/>
    <x v="0"/>
    <x v="0"/>
    <x v="0"/>
    <x v="11"/>
    <x v="0"/>
    <x v="3"/>
    <x v="1"/>
    <x v="0"/>
    <n v="0.2424"/>
    <n v="0.6"/>
    <n v="0.1343"/>
    <x v="15"/>
    <x v="11"/>
    <x v="42"/>
  </r>
  <r>
    <x v="559"/>
    <x v="24"/>
    <x v="0"/>
    <x v="0"/>
    <x v="0"/>
    <x v="12"/>
    <x v="0"/>
    <x v="3"/>
    <x v="1"/>
    <x v="12"/>
    <n v="0.28789999999999999"/>
    <n v="0.56000000000000005"/>
    <n v="8.9599999999999999E-2"/>
    <x v="27"/>
    <x v="66"/>
    <x v="13"/>
  </r>
  <r>
    <x v="560"/>
    <x v="24"/>
    <x v="0"/>
    <x v="0"/>
    <x v="0"/>
    <x v="13"/>
    <x v="0"/>
    <x v="3"/>
    <x v="1"/>
    <x v="12"/>
    <n v="0.2727"/>
    <n v="0.56000000000000005"/>
    <n v="0.1343"/>
    <x v="27"/>
    <x v="109"/>
    <x v="15"/>
  </r>
  <r>
    <x v="561"/>
    <x v="24"/>
    <x v="0"/>
    <x v="0"/>
    <x v="0"/>
    <x v="14"/>
    <x v="0"/>
    <x v="3"/>
    <x v="1"/>
    <x v="11"/>
    <n v="0.33329999999999999"/>
    <n v="0.45"/>
    <n v="0"/>
    <x v="16"/>
    <x v="77"/>
    <x v="118"/>
  </r>
  <r>
    <x v="562"/>
    <x v="24"/>
    <x v="0"/>
    <x v="0"/>
    <x v="0"/>
    <x v="15"/>
    <x v="0"/>
    <x v="3"/>
    <x v="1"/>
    <x v="3"/>
    <n v="0.34849999999999998"/>
    <n v="0.42"/>
    <n v="0"/>
    <x v="27"/>
    <x v="36"/>
    <x v="11"/>
  </r>
  <r>
    <x v="563"/>
    <x v="24"/>
    <x v="0"/>
    <x v="0"/>
    <x v="0"/>
    <x v="16"/>
    <x v="0"/>
    <x v="3"/>
    <x v="1"/>
    <x v="3"/>
    <n v="0.34849999999999998"/>
    <n v="0.42"/>
    <n v="0"/>
    <x v="24"/>
    <x v="46"/>
    <x v="155"/>
  </r>
  <r>
    <x v="564"/>
    <x v="24"/>
    <x v="0"/>
    <x v="0"/>
    <x v="0"/>
    <x v="17"/>
    <x v="0"/>
    <x v="3"/>
    <x v="0"/>
    <x v="11"/>
    <n v="0.33329999999999999"/>
    <n v="0.45"/>
    <n v="0"/>
    <x v="24"/>
    <x v="147"/>
    <x v="161"/>
  </r>
  <r>
    <x v="565"/>
    <x v="24"/>
    <x v="0"/>
    <x v="0"/>
    <x v="0"/>
    <x v="18"/>
    <x v="0"/>
    <x v="3"/>
    <x v="1"/>
    <x v="11"/>
    <n v="0.31819999999999998"/>
    <n v="0.49"/>
    <n v="8.9599999999999999E-2"/>
    <x v="18"/>
    <x v="148"/>
    <x v="162"/>
  </r>
  <r>
    <x v="566"/>
    <x v="24"/>
    <x v="0"/>
    <x v="0"/>
    <x v="0"/>
    <x v="19"/>
    <x v="0"/>
    <x v="3"/>
    <x v="1"/>
    <x v="12"/>
    <n v="0.2576"/>
    <n v="0.65"/>
    <n v="0.16420000000000001"/>
    <x v="23"/>
    <x v="149"/>
    <x v="163"/>
  </r>
  <r>
    <x v="567"/>
    <x v="24"/>
    <x v="0"/>
    <x v="0"/>
    <x v="0"/>
    <x v="20"/>
    <x v="0"/>
    <x v="3"/>
    <x v="0"/>
    <x v="0"/>
    <n v="0.2273"/>
    <n v="0.65"/>
    <n v="0.19400000000000001"/>
    <x v="19"/>
    <x v="145"/>
    <x v="164"/>
  </r>
  <r>
    <x v="568"/>
    <x v="24"/>
    <x v="0"/>
    <x v="0"/>
    <x v="0"/>
    <x v="21"/>
    <x v="0"/>
    <x v="3"/>
    <x v="0"/>
    <x v="0"/>
    <n v="0.2273"/>
    <n v="0.65"/>
    <n v="0.19400000000000001"/>
    <x v="2"/>
    <x v="71"/>
    <x v="79"/>
  </r>
  <r>
    <x v="569"/>
    <x v="24"/>
    <x v="0"/>
    <x v="0"/>
    <x v="0"/>
    <x v="22"/>
    <x v="0"/>
    <x v="3"/>
    <x v="0"/>
    <x v="1"/>
    <n v="0.2273"/>
    <n v="0.64"/>
    <n v="0.16420000000000001"/>
    <x v="17"/>
    <x v="47"/>
    <x v="26"/>
  </r>
  <r>
    <x v="570"/>
    <x v="24"/>
    <x v="0"/>
    <x v="0"/>
    <x v="0"/>
    <x v="23"/>
    <x v="0"/>
    <x v="3"/>
    <x v="1"/>
    <x v="1"/>
    <n v="0.2273"/>
    <n v="0.64"/>
    <n v="0.16420000000000001"/>
    <x v="0"/>
    <x v="53"/>
    <x v="1"/>
  </r>
  <r>
    <x v="571"/>
    <x v="25"/>
    <x v="0"/>
    <x v="0"/>
    <x v="0"/>
    <x v="0"/>
    <x v="0"/>
    <x v="4"/>
    <x v="1"/>
    <x v="1"/>
    <n v="0.2273"/>
    <n v="0.69"/>
    <n v="0.1343"/>
    <x v="0"/>
    <x v="88"/>
    <x v="22"/>
  </r>
  <r>
    <x v="572"/>
    <x v="25"/>
    <x v="0"/>
    <x v="0"/>
    <x v="0"/>
    <x v="1"/>
    <x v="0"/>
    <x v="4"/>
    <x v="1"/>
    <x v="0"/>
    <n v="0.2424"/>
    <n v="0.65"/>
    <n v="0.1343"/>
    <x v="3"/>
    <x v="34"/>
    <x v="36"/>
  </r>
  <r>
    <x v="573"/>
    <x v="25"/>
    <x v="0"/>
    <x v="0"/>
    <x v="0"/>
    <x v="2"/>
    <x v="0"/>
    <x v="4"/>
    <x v="2"/>
    <x v="1"/>
    <n v="0.2273"/>
    <n v="0.69"/>
    <n v="0.19400000000000001"/>
    <x v="0"/>
    <x v="7"/>
    <x v="98"/>
  </r>
  <r>
    <x v="574"/>
    <x v="25"/>
    <x v="0"/>
    <x v="0"/>
    <x v="0"/>
    <x v="5"/>
    <x v="0"/>
    <x v="4"/>
    <x v="2"/>
    <x v="2"/>
    <n v="0.18179999999999999"/>
    <n v="0.86"/>
    <n v="0.28360000000000002"/>
    <x v="3"/>
    <x v="4"/>
    <x v="4"/>
  </r>
  <r>
    <x v="575"/>
    <x v="25"/>
    <x v="0"/>
    <x v="0"/>
    <x v="0"/>
    <x v="6"/>
    <x v="0"/>
    <x v="4"/>
    <x v="2"/>
    <x v="2"/>
    <n v="0.18179999999999999"/>
    <n v="0.86"/>
    <n v="0.28360000000000002"/>
    <x v="3"/>
    <x v="21"/>
    <x v="7"/>
  </r>
  <r>
    <x v="576"/>
    <x v="25"/>
    <x v="0"/>
    <x v="0"/>
    <x v="0"/>
    <x v="7"/>
    <x v="0"/>
    <x v="4"/>
    <x v="2"/>
    <x v="1"/>
    <n v="0.21210000000000001"/>
    <n v="0.87"/>
    <n v="0.29849999999999999"/>
    <x v="5"/>
    <x v="31"/>
    <x v="33"/>
  </r>
  <r>
    <x v="577"/>
    <x v="25"/>
    <x v="0"/>
    <x v="0"/>
    <x v="0"/>
    <x v="8"/>
    <x v="0"/>
    <x v="4"/>
    <x v="2"/>
    <x v="1"/>
    <n v="0.21210000000000001"/>
    <n v="0.87"/>
    <n v="0.29849999999999999"/>
    <x v="0"/>
    <x v="94"/>
    <x v="44"/>
  </r>
  <r>
    <x v="578"/>
    <x v="25"/>
    <x v="0"/>
    <x v="0"/>
    <x v="0"/>
    <x v="9"/>
    <x v="0"/>
    <x v="4"/>
    <x v="2"/>
    <x v="1"/>
    <n v="0.21210000000000001"/>
    <n v="0.87"/>
    <n v="0.29849999999999999"/>
    <x v="0"/>
    <x v="11"/>
    <x v="154"/>
  </r>
  <r>
    <x v="579"/>
    <x v="25"/>
    <x v="0"/>
    <x v="0"/>
    <x v="0"/>
    <x v="10"/>
    <x v="0"/>
    <x v="4"/>
    <x v="2"/>
    <x v="1"/>
    <n v="0.21210000000000001"/>
    <n v="0.93"/>
    <n v="0.28360000000000002"/>
    <x v="4"/>
    <x v="16"/>
    <x v="20"/>
  </r>
  <r>
    <x v="580"/>
    <x v="25"/>
    <x v="0"/>
    <x v="0"/>
    <x v="0"/>
    <x v="11"/>
    <x v="0"/>
    <x v="4"/>
    <x v="2"/>
    <x v="1"/>
    <n v="0.19700000000000001"/>
    <n v="0.93"/>
    <n v="0.32840000000000003"/>
    <x v="15"/>
    <x v="96"/>
    <x v="102"/>
  </r>
  <r>
    <x v="581"/>
    <x v="25"/>
    <x v="0"/>
    <x v="0"/>
    <x v="0"/>
    <x v="12"/>
    <x v="0"/>
    <x v="4"/>
    <x v="2"/>
    <x v="1"/>
    <n v="0.19700000000000001"/>
    <n v="0.93"/>
    <n v="0.32840000000000003"/>
    <x v="18"/>
    <x v="40"/>
    <x v="61"/>
  </r>
  <r>
    <x v="582"/>
    <x v="25"/>
    <x v="0"/>
    <x v="0"/>
    <x v="0"/>
    <x v="13"/>
    <x v="0"/>
    <x v="4"/>
    <x v="2"/>
    <x v="1"/>
    <n v="0.19700000000000001"/>
    <n v="0.93"/>
    <n v="0.32840000000000003"/>
    <x v="17"/>
    <x v="30"/>
    <x v="105"/>
  </r>
  <r>
    <x v="583"/>
    <x v="25"/>
    <x v="0"/>
    <x v="0"/>
    <x v="0"/>
    <x v="14"/>
    <x v="0"/>
    <x v="4"/>
    <x v="2"/>
    <x v="1"/>
    <n v="0.19700000000000001"/>
    <n v="0.93"/>
    <n v="0.35820000000000002"/>
    <x v="3"/>
    <x v="49"/>
    <x v="9"/>
  </r>
  <r>
    <x v="584"/>
    <x v="25"/>
    <x v="0"/>
    <x v="0"/>
    <x v="0"/>
    <x v="15"/>
    <x v="0"/>
    <x v="4"/>
    <x v="2"/>
    <x v="1"/>
    <n v="0.18179999999999999"/>
    <n v="0.93"/>
    <n v="0.4627"/>
    <x v="5"/>
    <x v="76"/>
    <x v="74"/>
  </r>
  <r>
    <x v="585"/>
    <x v="25"/>
    <x v="0"/>
    <x v="0"/>
    <x v="0"/>
    <x v="16"/>
    <x v="0"/>
    <x v="4"/>
    <x v="3"/>
    <x v="1"/>
    <n v="0.19700000000000001"/>
    <n v="0.93"/>
    <n v="0.32840000000000003"/>
    <x v="5"/>
    <x v="96"/>
    <x v="9"/>
  </r>
  <r>
    <x v="586"/>
    <x v="25"/>
    <x v="0"/>
    <x v="0"/>
    <x v="0"/>
    <x v="17"/>
    <x v="0"/>
    <x v="4"/>
    <x v="2"/>
    <x v="2"/>
    <n v="0.18179999999999999"/>
    <n v="0.93"/>
    <n v="0.35820000000000002"/>
    <x v="3"/>
    <x v="16"/>
    <x v="132"/>
  </r>
  <r>
    <x v="587"/>
    <x v="26"/>
    <x v="0"/>
    <x v="0"/>
    <x v="0"/>
    <x v="16"/>
    <x v="0"/>
    <x v="5"/>
    <x v="0"/>
    <x v="1"/>
    <n v="0.2273"/>
    <n v="0.55000000000000004"/>
    <n v="0.19400000000000001"/>
    <x v="5"/>
    <x v="140"/>
    <x v="108"/>
  </r>
  <r>
    <x v="588"/>
    <x v="26"/>
    <x v="0"/>
    <x v="0"/>
    <x v="0"/>
    <x v="17"/>
    <x v="0"/>
    <x v="5"/>
    <x v="0"/>
    <x v="1"/>
    <n v="0.2424"/>
    <n v="0.55000000000000004"/>
    <n v="0.1045"/>
    <x v="4"/>
    <x v="70"/>
    <x v="11"/>
  </r>
  <r>
    <x v="589"/>
    <x v="26"/>
    <x v="0"/>
    <x v="0"/>
    <x v="0"/>
    <x v="18"/>
    <x v="0"/>
    <x v="5"/>
    <x v="0"/>
    <x v="2"/>
    <n v="0.2273"/>
    <n v="0.69"/>
    <n v="8.9599999999999999E-2"/>
    <x v="0"/>
    <x v="143"/>
    <x v="133"/>
  </r>
  <r>
    <x v="590"/>
    <x v="26"/>
    <x v="0"/>
    <x v="0"/>
    <x v="0"/>
    <x v="19"/>
    <x v="0"/>
    <x v="5"/>
    <x v="0"/>
    <x v="2"/>
    <n v="0.2273"/>
    <n v="0.69"/>
    <n v="8.9599999999999999E-2"/>
    <x v="0"/>
    <x v="83"/>
    <x v="67"/>
  </r>
  <r>
    <x v="591"/>
    <x v="26"/>
    <x v="0"/>
    <x v="0"/>
    <x v="0"/>
    <x v="20"/>
    <x v="0"/>
    <x v="5"/>
    <x v="0"/>
    <x v="15"/>
    <n v="0.21210000000000001"/>
    <n v="0.74"/>
    <n v="8.9599999999999999E-2"/>
    <x v="17"/>
    <x v="11"/>
    <x v="29"/>
  </r>
  <r>
    <x v="592"/>
    <x v="26"/>
    <x v="0"/>
    <x v="0"/>
    <x v="0"/>
    <x v="21"/>
    <x v="0"/>
    <x v="5"/>
    <x v="0"/>
    <x v="15"/>
    <n v="0.21210000000000001"/>
    <n v="0.74"/>
    <n v="8.9599999999999999E-2"/>
    <x v="4"/>
    <x v="49"/>
    <x v="103"/>
  </r>
  <r>
    <x v="593"/>
    <x v="26"/>
    <x v="0"/>
    <x v="0"/>
    <x v="0"/>
    <x v="22"/>
    <x v="0"/>
    <x v="5"/>
    <x v="0"/>
    <x v="15"/>
    <n v="0.21210000000000001"/>
    <n v="0.74"/>
    <n v="8.9599999999999999E-2"/>
    <x v="3"/>
    <x v="2"/>
    <x v="110"/>
  </r>
  <r>
    <x v="594"/>
    <x v="26"/>
    <x v="0"/>
    <x v="0"/>
    <x v="0"/>
    <x v="23"/>
    <x v="0"/>
    <x v="5"/>
    <x v="0"/>
    <x v="15"/>
    <n v="0.19700000000000001"/>
    <n v="0.8"/>
    <n v="0.16420000000000001"/>
    <x v="3"/>
    <x v="20"/>
    <x v="0"/>
  </r>
  <r>
    <x v="595"/>
    <x v="27"/>
    <x v="0"/>
    <x v="0"/>
    <x v="0"/>
    <x v="0"/>
    <x v="0"/>
    <x v="6"/>
    <x v="1"/>
    <x v="2"/>
    <n v="0.21210000000000001"/>
    <n v="0.75"/>
    <n v="0.1343"/>
    <x v="3"/>
    <x v="33"/>
    <x v="23"/>
  </r>
  <r>
    <x v="596"/>
    <x v="27"/>
    <x v="0"/>
    <x v="0"/>
    <x v="0"/>
    <x v="1"/>
    <x v="0"/>
    <x v="6"/>
    <x v="1"/>
    <x v="2"/>
    <n v="0.21210000000000001"/>
    <n v="0.75"/>
    <n v="0.1343"/>
    <x v="5"/>
    <x v="6"/>
    <x v="6"/>
  </r>
  <r>
    <x v="597"/>
    <x v="27"/>
    <x v="0"/>
    <x v="0"/>
    <x v="0"/>
    <x v="2"/>
    <x v="0"/>
    <x v="6"/>
    <x v="1"/>
    <x v="2"/>
    <n v="0.21210000000000001"/>
    <n v="0.75"/>
    <n v="0.16420000000000001"/>
    <x v="3"/>
    <x v="6"/>
    <x v="5"/>
  </r>
  <r>
    <x v="598"/>
    <x v="27"/>
    <x v="0"/>
    <x v="0"/>
    <x v="0"/>
    <x v="3"/>
    <x v="0"/>
    <x v="6"/>
    <x v="1"/>
    <x v="2"/>
    <n v="0.2273"/>
    <n v="0.75"/>
    <n v="0.1045"/>
    <x v="5"/>
    <x v="5"/>
    <x v="4"/>
  </r>
  <r>
    <x v="599"/>
    <x v="27"/>
    <x v="0"/>
    <x v="0"/>
    <x v="0"/>
    <x v="5"/>
    <x v="0"/>
    <x v="6"/>
    <x v="1"/>
    <x v="15"/>
    <n v="0.21210000000000001"/>
    <n v="0.8"/>
    <n v="0.1045"/>
    <x v="3"/>
    <x v="22"/>
    <x v="48"/>
  </r>
  <r>
    <x v="600"/>
    <x v="27"/>
    <x v="0"/>
    <x v="0"/>
    <x v="0"/>
    <x v="6"/>
    <x v="0"/>
    <x v="6"/>
    <x v="1"/>
    <x v="15"/>
    <n v="0.19700000000000001"/>
    <n v="0.8"/>
    <n v="0.1343"/>
    <x v="3"/>
    <x v="20"/>
    <x v="0"/>
  </r>
  <r>
    <x v="601"/>
    <x v="27"/>
    <x v="0"/>
    <x v="0"/>
    <x v="0"/>
    <x v="7"/>
    <x v="0"/>
    <x v="6"/>
    <x v="1"/>
    <x v="13"/>
    <n v="0.19700000000000001"/>
    <n v="0.86"/>
    <n v="8.9599999999999999E-2"/>
    <x v="4"/>
    <x v="29"/>
    <x v="122"/>
  </r>
  <r>
    <x v="602"/>
    <x v="27"/>
    <x v="0"/>
    <x v="0"/>
    <x v="0"/>
    <x v="8"/>
    <x v="0"/>
    <x v="6"/>
    <x v="1"/>
    <x v="13"/>
    <n v="0.19700000000000001"/>
    <n v="0.86"/>
    <n v="8.9599999999999999E-2"/>
    <x v="4"/>
    <x v="119"/>
    <x v="45"/>
  </r>
  <r>
    <x v="603"/>
    <x v="27"/>
    <x v="0"/>
    <x v="0"/>
    <x v="0"/>
    <x v="9"/>
    <x v="0"/>
    <x v="6"/>
    <x v="2"/>
    <x v="15"/>
    <n v="0.21210000000000001"/>
    <n v="0.86"/>
    <n v="8.9599999999999999E-2"/>
    <x v="15"/>
    <x v="73"/>
    <x v="129"/>
  </r>
  <r>
    <x v="604"/>
    <x v="27"/>
    <x v="0"/>
    <x v="0"/>
    <x v="0"/>
    <x v="10"/>
    <x v="0"/>
    <x v="6"/>
    <x v="2"/>
    <x v="15"/>
    <n v="0.21210000000000001"/>
    <n v="0.86"/>
    <n v="0.1045"/>
    <x v="3"/>
    <x v="47"/>
    <x v="99"/>
  </r>
  <r>
    <x v="605"/>
    <x v="27"/>
    <x v="0"/>
    <x v="0"/>
    <x v="0"/>
    <x v="11"/>
    <x v="0"/>
    <x v="6"/>
    <x v="2"/>
    <x v="15"/>
    <n v="0.21210000000000001"/>
    <n v="0.93"/>
    <n v="0.1045"/>
    <x v="3"/>
    <x v="10"/>
    <x v="33"/>
  </r>
  <r>
    <x v="606"/>
    <x v="27"/>
    <x v="0"/>
    <x v="0"/>
    <x v="0"/>
    <x v="12"/>
    <x v="0"/>
    <x v="6"/>
    <x v="2"/>
    <x v="15"/>
    <n v="0.21210000000000001"/>
    <n v="0.93"/>
    <n v="0.1045"/>
    <x v="5"/>
    <x v="95"/>
    <x v="115"/>
  </r>
  <r>
    <x v="607"/>
    <x v="27"/>
    <x v="0"/>
    <x v="0"/>
    <x v="0"/>
    <x v="13"/>
    <x v="0"/>
    <x v="6"/>
    <x v="2"/>
    <x v="15"/>
    <n v="0.21210000000000001"/>
    <n v="0.93"/>
    <n v="0.1045"/>
    <x v="3"/>
    <x v="17"/>
    <x v="35"/>
  </r>
  <r>
    <x v="608"/>
    <x v="27"/>
    <x v="0"/>
    <x v="0"/>
    <x v="0"/>
    <x v="14"/>
    <x v="0"/>
    <x v="6"/>
    <x v="2"/>
    <x v="1"/>
    <n v="0.2727"/>
    <n v="0.8"/>
    <n v="0"/>
    <x v="4"/>
    <x v="49"/>
    <x v="103"/>
  </r>
  <r>
    <x v="609"/>
    <x v="27"/>
    <x v="0"/>
    <x v="0"/>
    <x v="0"/>
    <x v="15"/>
    <x v="0"/>
    <x v="6"/>
    <x v="1"/>
    <x v="2"/>
    <n v="0.2576"/>
    <n v="0.86"/>
    <n v="0"/>
    <x v="5"/>
    <x v="71"/>
    <x v="102"/>
  </r>
  <r>
    <x v="610"/>
    <x v="27"/>
    <x v="0"/>
    <x v="0"/>
    <x v="0"/>
    <x v="16"/>
    <x v="0"/>
    <x v="6"/>
    <x v="0"/>
    <x v="1"/>
    <n v="0.2727"/>
    <n v="0.8"/>
    <n v="0"/>
    <x v="22"/>
    <x v="14"/>
    <x v="138"/>
  </r>
  <r>
    <x v="611"/>
    <x v="27"/>
    <x v="0"/>
    <x v="0"/>
    <x v="0"/>
    <x v="17"/>
    <x v="0"/>
    <x v="6"/>
    <x v="0"/>
    <x v="0"/>
    <n v="0.2424"/>
    <n v="0.75"/>
    <n v="0.1343"/>
    <x v="4"/>
    <x v="150"/>
    <x v="165"/>
  </r>
  <r>
    <x v="612"/>
    <x v="27"/>
    <x v="0"/>
    <x v="0"/>
    <x v="0"/>
    <x v="18"/>
    <x v="0"/>
    <x v="6"/>
    <x v="0"/>
    <x v="0"/>
    <n v="0.2273"/>
    <n v="0.75"/>
    <n v="0.19400000000000001"/>
    <x v="4"/>
    <x v="128"/>
    <x v="142"/>
  </r>
  <r>
    <x v="613"/>
    <x v="27"/>
    <x v="0"/>
    <x v="0"/>
    <x v="0"/>
    <x v="19"/>
    <x v="0"/>
    <x v="6"/>
    <x v="1"/>
    <x v="0"/>
    <n v="0.2424"/>
    <n v="0.75"/>
    <n v="0.1343"/>
    <x v="2"/>
    <x v="151"/>
    <x v="70"/>
  </r>
  <r>
    <x v="614"/>
    <x v="27"/>
    <x v="0"/>
    <x v="0"/>
    <x v="0"/>
    <x v="20"/>
    <x v="0"/>
    <x v="6"/>
    <x v="1"/>
    <x v="0"/>
    <n v="0.2273"/>
    <n v="0.7"/>
    <n v="0.19400000000000001"/>
    <x v="5"/>
    <x v="124"/>
    <x v="69"/>
  </r>
  <r>
    <x v="615"/>
    <x v="27"/>
    <x v="0"/>
    <x v="0"/>
    <x v="0"/>
    <x v="21"/>
    <x v="0"/>
    <x v="6"/>
    <x v="1"/>
    <x v="1"/>
    <n v="0.2273"/>
    <n v="0.75"/>
    <n v="0.1343"/>
    <x v="5"/>
    <x v="77"/>
    <x v="154"/>
  </r>
  <r>
    <x v="616"/>
    <x v="27"/>
    <x v="0"/>
    <x v="0"/>
    <x v="0"/>
    <x v="22"/>
    <x v="0"/>
    <x v="6"/>
    <x v="0"/>
    <x v="0"/>
    <n v="0.21210000000000001"/>
    <n v="0.65"/>
    <n v="0.35820000000000002"/>
    <x v="3"/>
    <x v="16"/>
    <x v="132"/>
  </r>
  <r>
    <x v="617"/>
    <x v="27"/>
    <x v="0"/>
    <x v="0"/>
    <x v="0"/>
    <x v="23"/>
    <x v="0"/>
    <x v="6"/>
    <x v="0"/>
    <x v="0"/>
    <n v="0.2273"/>
    <n v="0.6"/>
    <n v="0.22389999999999999"/>
    <x v="5"/>
    <x v="97"/>
    <x v="84"/>
  </r>
  <r>
    <x v="618"/>
    <x v="28"/>
    <x v="0"/>
    <x v="0"/>
    <x v="0"/>
    <x v="0"/>
    <x v="0"/>
    <x v="0"/>
    <x v="0"/>
    <x v="1"/>
    <n v="0.19700000000000001"/>
    <n v="0.64"/>
    <n v="0.35820000000000002"/>
    <x v="4"/>
    <x v="16"/>
    <x v="20"/>
  </r>
  <r>
    <x v="619"/>
    <x v="28"/>
    <x v="0"/>
    <x v="0"/>
    <x v="0"/>
    <x v="1"/>
    <x v="0"/>
    <x v="0"/>
    <x v="0"/>
    <x v="1"/>
    <n v="0.2273"/>
    <n v="0.64"/>
    <n v="0.19400000000000001"/>
    <x v="3"/>
    <x v="32"/>
    <x v="25"/>
  </r>
  <r>
    <x v="620"/>
    <x v="28"/>
    <x v="0"/>
    <x v="0"/>
    <x v="0"/>
    <x v="2"/>
    <x v="0"/>
    <x v="0"/>
    <x v="0"/>
    <x v="1"/>
    <n v="0.2273"/>
    <n v="0.64"/>
    <n v="0.16420000000000001"/>
    <x v="3"/>
    <x v="89"/>
    <x v="93"/>
  </r>
  <r>
    <x v="621"/>
    <x v="28"/>
    <x v="0"/>
    <x v="0"/>
    <x v="0"/>
    <x v="3"/>
    <x v="0"/>
    <x v="0"/>
    <x v="0"/>
    <x v="2"/>
    <n v="0.21210000000000001"/>
    <n v="0.64"/>
    <n v="0.1343"/>
    <x v="0"/>
    <x v="34"/>
    <x v="7"/>
  </r>
  <r>
    <x v="622"/>
    <x v="28"/>
    <x v="0"/>
    <x v="0"/>
    <x v="0"/>
    <x v="4"/>
    <x v="0"/>
    <x v="0"/>
    <x v="0"/>
    <x v="13"/>
    <n v="0.18179999999999999"/>
    <n v="0.69"/>
    <n v="0.1045"/>
    <x v="5"/>
    <x v="6"/>
    <x v="6"/>
  </r>
  <r>
    <x v="623"/>
    <x v="28"/>
    <x v="0"/>
    <x v="0"/>
    <x v="0"/>
    <x v="6"/>
    <x v="0"/>
    <x v="0"/>
    <x v="0"/>
    <x v="13"/>
    <n v="0.18179999999999999"/>
    <n v="0.64"/>
    <n v="0.1343"/>
    <x v="3"/>
    <x v="6"/>
    <x v="5"/>
  </r>
  <r>
    <x v="624"/>
    <x v="28"/>
    <x v="0"/>
    <x v="0"/>
    <x v="0"/>
    <x v="7"/>
    <x v="0"/>
    <x v="0"/>
    <x v="0"/>
    <x v="13"/>
    <n v="0.18179999999999999"/>
    <n v="0.59"/>
    <n v="0.1045"/>
    <x v="5"/>
    <x v="22"/>
    <x v="36"/>
  </r>
  <r>
    <x v="625"/>
    <x v="28"/>
    <x v="0"/>
    <x v="0"/>
    <x v="0"/>
    <x v="8"/>
    <x v="0"/>
    <x v="0"/>
    <x v="0"/>
    <x v="15"/>
    <n v="0.19700000000000001"/>
    <n v="0.55000000000000004"/>
    <n v="0.16420000000000001"/>
    <x v="0"/>
    <x v="17"/>
    <x v="19"/>
  </r>
  <r>
    <x v="626"/>
    <x v="28"/>
    <x v="0"/>
    <x v="0"/>
    <x v="0"/>
    <x v="9"/>
    <x v="0"/>
    <x v="0"/>
    <x v="0"/>
    <x v="15"/>
    <n v="0.21210000000000001"/>
    <n v="0.59"/>
    <n v="8.9599999999999999E-2"/>
    <x v="3"/>
    <x v="60"/>
    <x v="19"/>
  </r>
  <r>
    <x v="627"/>
    <x v="28"/>
    <x v="0"/>
    <x v="0"/>
    <x v="0"/>
    <x v="10"/>
    <x v="0"/>
    <x v="0"/>
    <x v="1"/>
    <x v="15"/>
    <n v="0.21210000000000001"/>
    <n v="0.64"/>
    <n v="0.1045"/>
    <x v="17"/>
    <x v="82"/>
    <x v="97"/>
  </r>
  <r>
    <x v="628"/>
    <x v="28"/>
    <x v="0"/>
    <x v="0"/>
    <x v="0"/>
    <x v="11"/>
    <x v="0"/>
    <x v="0"/>
    <x v="1"/>
    <x v="15"/>
    <n v="0.19700000000000001"/>
    <n v="0.64"/>
    <n v="0.1343"/>
    <x v="17"/>
    <x v="91"/>
    <x v="37"/>
  </r>
  <r>
    <x v="629"/>
    <x v="28"/>
    <x v="0"/>
    <x v="0"/>
    <x v="0"/>
    <x v="12"/>
    <x v="0"/>
    <x v="0"/>
    <x v="1"/>
    <x v="2"/>
    <n v="0.19700000000000001"/>
    <n v="0.59"/>
    <n v="0.19400000000000001"/>
    <x v="6"/>
    <x v="43"/>
    <x v="53"/>
  </r>
  <r>
    <x v="630"/>
    <x v="28"/>
    <x v="0"/>
    <x v="0"/>
    <x v="0"/>
    <x v="13"/>
    <x v="0"/>
    <x v="0"/>
    <x v="1"/>
    <x v="1"/>
    <n v="0.2273"/>
    <n v="0.55000000000000004"/>
    <n v="0.16420000000000001"/>
    <x v="14"/>
    <x v="90"/>
    <x v="32"/>
  </r>
  <r>
    <x v="631"/>
    <x v="28"/>
    <x v="0"/>
    <x v="0"/>
    <x v="0"/>
    <x v="14"/>
    <x v="0"/>
    <x v="0"/>
    <x v="1"/>
    <x v="1"/>
    <n v="0.2273"/>
    <n v="0.6"/>
    <n v="0.1343"/>
    <x v="22"/>
    <x v="121"/>
    <x v="111"/>
  </r>
  <r>
    <x v="632"/>
    <x v="28"/>
    <x v="0"/>
    <x v="0"/>
    <x v="0"/>
    <x v="15"/>
    <x v="0"/>
    <x v="0"/>
    <x v="0"/>
    <x v="1"/>
    <n v="0.21210000000000001"/>
    <n v="0.69"/>
    <n v="0.25369999999999998"/>
    <x v="30"/>
    <x v="52"/>
    <x v="151"/>
  </r>
  <r>
    <x v="633"/>
    <x v="28"/>
    <x v="0"/>
    <x v="0"/>
    <x v="0"/>
    <x v="16"/>
    <x v="0"/>
    <x v="0"/>
    <x v="0"/>
    <x v="0"/>
    <n v="0.2424"/>
    <n v="0.6"/>
    <n v="0.16420000000000001"/>
    <x v="21"/>
    <x v="152"/>
    <x v="166"/>
  </r>
  <r>
    <x v="634"/>
    <x v="28"/>
    <x v="0"/>
    <x v="0"/>
    <x v="0"/>
    <x v="17"/>
    <x v="0"/>
    <x v="0"/>
    <x v="0"/>
    <x v="0"/>
    <n v="0.28789999999999999"/>
    <n v="0.6"/>
    <n v="0"/>
    <x v="14"/>
    <x v="70"/>
    <x v="134"/>
  </r>
  <r>
    <x v="635"/>
    <x v="28"/>
    <x v="0"/>
    <x v="0"/>
    <x v="0"/>
    <x v="18"/>
    <x v="0"/>
    <x v="0"/>
    <x v="0"/>
    <x v="1"/>
    <n v="0.2273"/>
    <n v="0.69"/>
    <n v="0.1343"/>
    <x v="14"/>
    <x v="79"/>
    <x v="118"/>
  </r>
  <r>
    <x v="636"/>
    <x v="28"/>
    <x v="0"/>
    <x v="0"/>
    <x v="0"/>
    <x v="19"/>
    <x v="0"/>
    <x v="0"/>
    <x v="1"/>
    <x v="1"/>
    <n v="0.21210000000000001"/>
    <n v="0.69"/>
    <n v="0.25369999999999998"/>
    <x v="15"/>
    <x v="15"/>
    <x v="154"/>
  </r>
  <r>
    <x v="637"/>
    <x v="28"/>
    <x v="0"/>
    <x v="0"/>
    <x v="0"/>
    <x v="20"/>
    <x v="0"/>
    <x v="0"/>
    <x v="0"/>
    <x v="15"/>
    <n v="0.21210000000000001"/>
    <n v="0.74"/>
    <n v="8.9599999999999999E-2"/>
    <x v="5"/>
    <x v="76"/>
    <x v="74"/>
  </r>
  <r>
    <x v="638"/>
    <x v="28"/>
    <x v="0"/>
    <x v="0"/>
    <x v="0"/>
    <x v="21"/>
    <x v="0"/>
    <x v="0"/>
    <x v="0"/>
    <x v="15"/>
    <n v="0.21210000000000001"/>
    <n v="0.74"/>
    <n v="8.9599999999999999E-2"/>
    <x v="5"/>
    <x v="96"/>
    <x v="9"/>
  </r>
  <r>
    <x v="639"/>
    <x v="28"/>
    <x v="0"/>
    <x v="0"/>
    <x v="0"/>
    <x v="22"/>
    <x v="0"/>
    <x v="0"/>
    <x v="0"/>
    <x v="13"/>
    <n v="0.19700000000000001"/>
    <n v="0.8"/>
    <n v="8.9599999999999999E-2"/>
    <x v="17"/>
    <x v="95"/>
    <x v="2"/>
  </r>
  <r>
    <x v="640"/>
    <x v="28"/>
    <x v="0"/>
    <x v="0"/>
    <x v="0"/>
    <x v="23"/>
    <x v="0"/>
    <x v="0"/>
    <x v="0"/>
    <x v="13"/>
    <n v="0.19700000000000001"/>
    <n v="0.8"/>
    <n v="8.9599999999999999E-2"/>
    <x v="0"/>
    <x v="10"/>
    <x v="63"/>
  </r>
  <r>
    <x v="641"/>
    <x v="29"/>
    <x v="0"/>
    <x v="0"/>
    <x v="0"/>
    <x v="0"/>
    <x v="0"/>
    <x v="1"/>
    <x v="0"/>
    <x v="13"/>
    <n v="0.18179999999999999"/>
    <n v="0.8"/>
    <n v="0.1045"/>
    <x v="3"/>
    <x v="39"/>
    <x v="63"/>
  </r>
  <r>
    <x v="642"/>
    <x v="29"/>
    <x v="0"/>
    <x v="0"/>
    <x v="0"/>
    <x v="1"/>
    <x v="0"/>
    <x v="1"/>
    <x v="0"/>
    <x v="14"/>
    <n v="0.21210000000000001"/>
    <n v="0.8"/>
    <n v="0"/>
    <x v="18"/>
    <x v="97"/>
    <x v="115"/>
  </r>
  <r>
    <x v="643"/>
    <x v="29"/>
    <x v="0"/>
    <x v="0"/>
    <x v="0"/>
    <x v="2"/>
    <x v="0"/>
    <x v="1"/>
    <x v="0"/>
    <x v="13"/>
    <n v="0.2273"/>
    <n v="0.8"/>
    <n v="0"/>
    <x v="5"/>
    <x v="3"/>
    <x v="62"/>
  </r>
  <r>
    <x v="644"/>
    <x v="29"/>
    <x v="0"/>
    <x v="0"/>
    <x v="0"/>
    <x v="3"/>
    <x v="0"/>
    <x v="1"/>
    <x v="0"/>
    <x v="14"/>
    <n v="0.21210000000000001"/>
    <n v="0.93"/>
    <n v="0"/>
    <x v="5"/>
    <x v="7"/>
    <x v="7"/>
  </r>
  <r>
    <x v="645"/>
    <x v="29"/>
    <x v="0"/>
    <x v="0"/>
    <x v="0"/>
    <x v="4"/>
    <x v="0"/>
    <x v="1"/>
    <x v="0"/>
    <x v="14"/>
    <n v="0.21210000000000001"/>
    <n v="0.93"/>
    <n v="0"/>
    <x v="3"/>
    <x v="4"/>
    <x v="4"/>
  </r>
  <r>
    <x v="646"/>
    <x v="29"/>
    <x v="0"/>
    <x v="0"/>
    <x v="0"/>
    <x v="5"/>
    <x v="0"/>
    <x v="1"/>
    <x v="0"/>
    <x v="14"/>
    <n v="0.21210000000000001"/>
    <n v="0.86"/>
    <n v="0"/>
    <x v="3"/>
    <x v="35"/>
    <x v="6"/>
  </r>
  <r>
    <x v="647"/>
    <x v="29"/>
    <x v="0"/>
    <x v="0"/>
    <x v="0"/>
    <x v="7"/>
    <x v="0"/>
    <x v="1"/>
    <x v="0"/>
    <x v="14"/>
    <n v="0.21210000000000001"/>
    <n v="0.86"/>
    <n v="0"/>
    <x v="3"/>
    <x v="35"/>
    <x v="6"/>
  </r>
  <r>
    <x v="648"/>
    <x v="29"/>
    <x v="0"/>
    <x v="0"/>
    <x v="0"/>
    <x v="8"/>
    <x v="0"/>
    <x v="1"/>
    <x v="1"/>
    <x v="14"/>
    <n v="0.21210000000000001"/>
    <n v="0.86"/>
    <n v="0"/>
    <x v="5"/>
    <x v="48"/>
    <x v="47"/>
  </r>
  <r>
    <x v="649"/>
    <x v="29"/>
    <x v="0"/>
    <x v="0"/>
    <x v="0"/>
    <x v="9"/>
    <x v="0"/>
    <x v="1"/>
    <x v="1"/>
    <x v="13"/>
    <n v="0.2273"/>
    <n v="0.8"/>
    <n v="0"/>
    <x v="17"/>
    <x v="60"/>
    <x v="103"/>
  </r>
  <r>
    <x v="650"/>
    <x v="29"/>
    <x v="0"/>
    <x v="0"/>
    <x v="0"/>
    <x v="10"/>
    <x v="0"/>
    <x v="1"/>
    <x v="1"/>
    <x v="15"/>
    <n v="0.2424"/>
    <n v="0.8"/>
    <n v="0"/>
    <x v="18"/>
    <x v="77"/>
    <x v="37"/>
  </r>
  <r>
    <x v="651"/>
    <x v="29"/>
    <x v="0"/>
    <x v="0"/>
    <x v="0"/>
    <x v="11"/>
    <x v="0"/>
    <x v="1"/>
    <x v="0"/>
    <x v="1"/>
    <n v="0.2727"/>
    <n v="0.75"/>
    <n v="0"/>
    <x v="14"/>
    <x v="54"/>
    <x v="29"/>
  </r>
  <r>
    <x v="652"/>
    <x v="29"/>
    <x v="0"/>
    <x v="0"/>
    <x v="0"/>
    <x v="12"/>
    <x v="0"/>
    <x v="1"/>
    <x v="0"/>
    <x v="11"/>
    <n v="0.31819999999999998"/>
    <n v="0.52"/>
    <n v="0.1045"/>
    <x v="22"/>
    <x v="61"/>
    <x v="54"/>
  </r>
  <r>
    <x v="653"/>
    <x v="29"/>
    <x v="0"/>
    <x v="0"/>
    <x v="0"/>
    <x v="13"/>
    <x v="0"/>
    <x v="1"/>
    <x v="0"/>
    <x v="17"/>
    <n v="0.28789999999999999"/>
    <n v="0.61"/>
    <n v="0.1045"/>
    <x v="23"/>
    <x v="13"/>
    <x v="11"/>
  </r>
  <r>
    <x v="654"/>
    <x v="29"/>
    <x v="0"/>
    <x v="0"/>
    <x v="0"/>
    <x v="14"/>
    <x v="0"/>
    <x v="1"/>
    <x v="0"/>
    <x v="17"/>
    <n v="0.30299999999999999"/>
    <n v="0.61"/>
    <n v="8.9599999999999999E-2"/>
    <x v="25"/>
    <x v="153"/>
    <x v="78"/>
  </r>
  <r>
    <x v="655"/>
    <x v="29"/>
    <x v="0"/>
    <x v="0"/>
    <x v="0"/>
    <x v="15"/>
    <x v="0"/>
    <x v="1"/>
    <x v="0"/>
    <x v="11"/>
    <n v="0.33329999999999999"/>
    <n v="0.56000000000000005"/>
    <n v="0"/>
    <x v="24"/>
    <x v="73"/>
    <x v="142"/>
  </r>
  <r>
    <x v="656"/>
    <x v="29"/>
    <x v="0"/>
    <x v="0"/>
    <x v="0"/>
    <x v="16"/>
    <x v="0"/>
    <x v="1"/>
    <x v="0"/>
    <x v="11"/>
    <n v="0.33329999999999999"/>
    <n v="0.56000000000000005"/>
    <n v="0"/>
    <x v="21"/>
    <x v="153"/>
    <x v="92"/>
  </r>
  <r>
    <x v="657"/>
    <x v="29"/>
    <x v="0"/>
    <x v="0"/>
    <x v="0"/>
    <x v="17"/>
    <x v="0"/>
    <x v="1"/>
    <x v="0"/>
    <x v="11"/>
    <n v="0.28789999999999999"/>
    <n v="0.56000000000000005"/>
    <n v="0.19400000000000001"/>
    <x v="15"/>
    <x v="13"/>
    <x v="43"/>
  </r>
  <r>
    <x v="658"/>
    <x v="29"/>
    <x v="0"/>
    <x v="0"/>
    <x v="0"/>
    <x v="18"/>
    <x v="0"/>
    <x v="1"/>
    <x v="0"/>
    <x v="12"/>
    <n v="0.2576"/>
    <n v="0.65"/>
    <n v="0.16420000000000001"/>
    <x v="1"/>
    <x v="77"/>
    <x v="32"/>
  </r>
  <r>
    <x v="659"/>
    <x v="29"/>
    <x v="0"/>
    <x v="0"/>
    <x v="0"/>
    <x v="19"/>
    <x v="0"/>
    <x v="1"/>
    <x v="0"/>
    <x v="12"/>
    <n v="0.2576"/>
    <n v="0.65"/>
    <n v="0.19400000000000001"/>
    <x v="14"/>
    <x v="24"/>
    <x v="97"/>
  </r>
  <r>
    <x v="660"/>
    <x v="29"/>
    <x v="0"/>
    <x v="0"/>
    <x v="0"/>
    <x v="20"/>
    <x v="0"/>
    <x v="1"/>
    <x v="1"/>
    <x v="12"/>
    <n v="0.2727"/>
    <n v="0.65"/>
    <n v="0.1045"/>
    <x v="0"/>
    <x v="10"/>
    <x v="63"/>
  </r>
  <r>
    <x v="661"/>
    <x v="29"/>
    <x v="0"/>
    <x v="0"/>
    <x v="0"/>
    <x v="21"/>
    <x v="0"/>
    <x v="1"/>
    <x v="1"/>
    <x v="0"/>
    <n v="0.2424"/>
    <n v="0.7"/>
    <n v="0.16420000000000001"/>
    <x v="0"/>
    <x v="18"/>
    <x v="20"/>
  </r>
  <r>
    <x v="662"/>
    <x v="29"/>
    <x v="0"/>
    <x v="0"/>
    <x v="0"/>
    <x v="22"/>
    <x v="0"/>
    <x v="1"/>
    <x v="1"/>
    <x v="0"/>
    <n v="0.2273"/>
    <n v="0.7"/>
    <n v="0.19400000000000001"/>
    <x v="4"/>
    <x v="23"/>
    <x v="137"/>
  </r>
  <r>
    <x v="663"/>
    <x v="29"/>
    <x v="0"/>
    <x v="0"/>
    <x v="0"/>
    <x v="23"/>
    <x v="0"/>
    <x v="1"/>
    <x v="1"/>
    <x v="0"/>
    <n v="0.21210000000000001"/>
    <n v="0.65"/>
    <n v="0.28360000000000002"/>
    <x v="2"/>
    <x v="20"/>
    <x v="137"/>
  </r>
  <r>
    <x v="664"/>
    <x v="30"/>
    <x v="0"/>
    <x v="0"/>
    <x v="0"/>
    <x v="0"/>
    <x v="0"/>
    <x v="2"/>
    <x v="1"/>
    <x v="0"/>
    <n v="0.2273"/>
    <n v="0.65"/>
    <n v="0.22389999999999999"/>
    <x v="5"/>
    <x v="8"/>
    <x v="85"/>
  </r>
  <r>
    <x v="665"/>
    <x v="30"/>
    <x v="0"/>
    <x v="0"/>
    <x v="0"/>
    <x v="1"/>
    <x v="0"/>
    <x v="2"/>
    <x v="0"/>
    <x v="1"/>
    <n v="0.21210000000000001"/>
    <n v="0.64"/>
    <n v="0.25369999999999998"/>
    <x v="4"/>
    <x v="34"/>
    <x v="85"/>
  </r>
  <r>
    <x v="666"/>
    <x v="30"/>
    <x v="0"/>
    <x v="0"/>
    <x v="0"/>
    <x v="2"/>
    <x v="0"/>
    <x v="2"/>
    <x v="0"/>
    <x v="1"/>
    <n v="0.2273"/>
    <n v="0.64"/>
    <n v="0.19400000000000001"/>
    <x v="3"/>
    <x v="4"/>
    <x v="4"/>
  </r>
  <r>
    <x v="667"/>
    <x v="30"/>
    <x v="0"/>
    <x v="0"/>
    <x v="0"/>
    <x v="3"/>
    <x v="0"/>
    <x v="2"/>
    <x v="0"/>
    <x v="1"/>
    <n v="0.2273"/>
    <n v="0.64"/>
    <n v="0.19400000000000001"/>
    <x v="3"/>
    <x v="6"/>
    <x v="5"/>
  </r>
  <r>
    <x v="668"/>
    <x v="30"/>
    <x v="0"/>
    <x v="0"/>
    <x v="0"/>
    <x v="4"/>
    <x v="0"/>
    <x v="2"/>
    <x v="0"/>
    <x v="2"/>
    <n v="0.19700000000000001"/>
    <n v="0.59"/>
    <n v="0.22389999999999999"/>
    <x v="3"/>
    <x v="6"/>
    <x v="5"/>
  </r>
  <r>
    <x v="669"/>
    <x v="30"/>
    <x v="0"/>
    <x v="0"/>
    <x v="0"/>
    <x v="5"/>
    <x v="0"/>
    <x v="2"/>
    <x v="0"/>
    <x v="15"/>
    <n v="0.16669999999999999"/>
    <n v="0.64"/>
    <n v="0.28360000000000002"/>
    <x v="3"/>
    <x v="21"/>
    <x v="7"/>
  </r>
  <r>
    <x v="670"/>
    <x v="30"/>
    <x v="0"/>
    <x v="0"/>
    <x v="0"/>
    <x v="6"/>
    <x v="0"/>
    <x v="2"/>
    <x v="0"/>
    <x v="13"/>
    <n v="0.13639999999999999"/>
    <n v="0.69"/>
    <n v="0.32840000000000003"/>
    <x v="3"/>
    <x v="53"/>
    <x v="18"/>
  </r>
  <r>
    <x v="671"/>
    <x v="30"/>
    <x v="0"/>
    <x v="0"/>
    <x v="0"/>
    <x v="7"/>
    <x v="0"/>
    <x v="2"/>
    <x v="1"/>
    <x v="13"/>
    <n v="0.13639999999999999"/>
    <n v="0.64"/>
    <n v="0.28360000000000002"/>
    <x v="5"/>
    <x v="13"/>
    <x v="44"/>
  </r>
  <r>
    <x v="672"/>
    <x v="30"/>
    <x v="0"/>
    <x v="0"/>
    <x v="0"/>
    <x v="8"/>
    <x v="0"/>
    <x v="2"/>
    <x v="1"/>
    <x v="13"/>
    <n v="0.13639999999999999"/>
    <n v="0.59"/>
    <n v="0.28360000000000002"/>
    <x v="0"/>
    <x v="154"/>
    <x v="147"/>
  </r>
  <r>
    <x v="673"/>
    <x v="30"/>
    <x v="0"/>
    <x v="0"/>
    <x v="0"/>
    <x v="9"/>
    <x v="0"/>
    <x v="2"/>
    <x v="1"/>
    <x v="13"/>
    <n v="0.13639999999999999"/>
    <n v="0.59"/>
    <n v="0.29849999999999999"/>
    <x v="3"/>
    <x v="155"/>
    <x v="59"/>
  </r>
  <r>
    <x v="674"/>
    <x v="30"/>
    <x v="0"/>
    <x v="0"/>
    <x v="0"/>
    <x v="10"/>
    <x v="0"/>
    <x v="2"/>
    <x v="1"/>
    <x v="13"/>
    <n v="0.1515"/>
    <n v="0.59"/>
    <n v="0.19400000000000001"/>
    <x v="5"/>
    <x v="56"/>
    <x v="83"/>
  </r>
  <r>
    <x v="675"/>
    <x v="30"/>
    <x v="0"/>
    <x v="0"/>
    <x v="0"/>
    <x v="11"/>
    <x v="0"/>
    <x v="2"/>
    <x v="1"/>
    <x v="13"/>
    <n v="0.1515"/>
    <n v="0.59"/>
    <n v="0.19400000000000001"/>
    <x v="4"/>
    <x v="24"/>
    <x v="61"/>
  </r>
  <r>
    <x v="676"/>
    <x v="30"/>
    <x v="0"/>
    <x v="0"/>
    <x v="0"/>
    <x v="12"/>
    <x v="0"/>
    <x v="2"/>
    <x v="1"/>
    <x v="15"/>
    <n v="0.21210000000000001"/>
    <n v="0.55000000000000004"/>
    <n v="0.1045"/>
    <x v="15"/>
    <x v="133"/>
    <x v="118"/>
  </r>
  <r>
    <x v="677"/>
    <x v="30"/>
    <x v="0"/>
    <x v="0"/>
    <x v="0"/>
    <x v="13"/>
    <x v="0"/>
    <x v="2"/>
    <x v="1"/>
    <x v="13"/>
    <n v="0.2273"/>
    <n v="0.59"/>
    <n v="0"/>
    <x v="4"/>
    <x v="15"/>
    <x v="60"/>
  </r>
  <r>
    <x v="678"/>
    <x v="30"/>
    <x v="0"/>
    <x v="0"/>
    <x v="0"/>
    <x v="14"/>
    <x v="0"/>
    <x v="2"/>
    <x v="1"/>
    <x v="15"/>
    <n v="0.19700000000000001"/>
    <n v="0.55000000000000004"/>
    <n v="0.1343"/>
    <x v="5"/>
    <x v="66"/>
    <x v="80"/>
  </r>
  <r>
    <x v="679"/>
    <x v="30"/>
    <x v="0"/>
    <x v="0"/>
    <x v="0"/>
    <x v="15"/>
    <x v="0"/>
    <x v="2"/>
    <x v="1"/>
    <x v="13"/>
    <n v="0.18179999999999999"/>
    <n v="0.59"/>
    <n v="0.1343"/>
    <x v="0"/>
    <x v="40"/>
    <x v="40"/>
  </r>
  <r>
    <x v="680"/>
    <x v="30"/>
    <x v="0"/>
    <x v="0"/>
    <x v="0"/>
    <x v="16"/>
    <x v="0"/>
    <x v="2"/>
    <x v="1"/>
    <x v="13"/>
    <n v="0.18179999999999999"/>
    <n v="0.56000000000000005"/>
    <n v="0.19400000000000001"/>
    <x v="0"/>
    <x v="93"/>
    <x v="80"/>
  </r>
  <r>
    <x v="681"/>
    <x v="30"/>
    <x v="0"/>
    <x v="0"/>
    <x v="0"/>
    <x v="17"/>
    <x v="0"/>
    <x v="2"/>
    <x v="1"/>
    <x v="13"/>
    <n v="0.1515"/>
    <n v="0.59"/>
    <n v="0.19400000000000001"/>
    <x v="15"/>
    <x v="119"/>
    <x v="143"/>
  </r>
  <r>
    <x v="682"/>
    <x v="30"/>
    <x v="0"/>
    <x v="0"/>
    <x v="0"/>
    <x v="18"/>
    <x v="0"/>
    <x v="2"/>
    <x v="1"/>
    <x v="13"/>
    <n v="0.1515"/>
    <n v="0.55000000000000004"/>
    <n v="0.22389999999999999"/>
    <x v="0"/>
    <x v="37"/>
    <x v="167"/>
  </r>
  <r>
    <x v="683"/>
    <x v="30"/>
    <x v="0"/>
    <x v="0"/>
    <x v="0"/>
    <x v="19"/>
    <x v="0"/>
    <x v="2"/>
    <x v="0"/>
    <x v="11"/>
    <n v="0.31819999999999998"/>
    <n v="0.61"/>
    <n v="0.1045"/>
    <x v="0"/>
    <x v="123"/>
    <x v="168"/>
  </r>
  <r>
    <x v="684"/>
    <x v="30"/>
    <x v="0"/>
    <x v="0"/>
    <x v="0"/>
    <x v="20"/>
    <x v="0"/>
    <x v="2"/>
    <x v="2"/>
    <x v="13"/>
    <n v="0.16669999999999999"/>
    <n v="0.59"/>
    <n v="0.16420000000000001"/>
    <x v="3"/>
    <x v="78"/>
    <x v="53"/>
  </r>
  <r>
    <x v="685"/>
    <x v="30"/>
    <x v="0"/>
    <x v="0"/>
    <x v="0"/>
    <x v="21"/>
    <x v="0"/>
    <x v="2"/>
    <x v="2"/>
    <x v="13"/>
    <n v="0.19700000000000001"/>
    <n v="0.59"/>
    <n v="8.9599999999999999E-2"/>
    <x v="0"/>
    <x v="42"/>
    <x v="10"/>
  </r>
  <r>
    <x v="686"/>
    <x v="30"/>
    <x v="0"/>
    <x v="0"/>
    <x v="0"/>
    <x v="22"/>
    <x v="0"/>
    <x v="2"/>
    <x v="1"/>
    <x v="13"/>
    <n v="0.18179999999999999"/>
    <n v="0.59"/>
    <n v="0.1045"/>
    <x v="3"/>
    <x v="60"/>
    <x v="19"/>
  </r>
  <r>
    <x v="687"/>
    <x v="30"/>
    <x v="0"/>
    <x v="0"/>
    <x v="0"/>
    <x v="23"/>
    <x v="0"/>
    <x v="2"/>
    <x v="1"/>
    <x v="13"/>
    <n v="0.19700000000000001"/>
    <n v="0.64"/>
    <n v="8.9599999999999999E-2"/>
    <x v="4"/>
    <x v="89"/>
    <x v="22"/>
  </r>
  <r>
    <x v="688"/>
    <x v="31"/>
    <x v="0"/>
    <x v="0"/>
    <x v="1"/>
    <x v="0"/>
    <x v="0"/>
    <x v="3"/>
    <x v="1"/>
    <x v="13"/>
    <n v="0.18179999999999999"/>
    <n v="0.64"/>
    <n v="0.1045"/>
    <x v="4"/>
    <x v="8"/>
    <x v="7"/>
  </r>
  <r>
    <x v="689"/>
    <x v="31"/>
    <x v="0"/>
    <x v="0"/>
    <x v="1"/>
    <x v="1"/>
    <x v="0"/>
    <x v="3"/>
    <x v="1"/>
    <x v="13"/>
    <n v="0.18179999999999999"/>
    <n v="0.69"/>
    <n v="0.1045"/>
    <x v="3"/>
    <x v="35"/>
    <x v="6"/>
  </r>
  <r>
    <x v="690"/>
    <x v="31"/>
    <x v="0"/>
    <x v="0"/>
    <x v="1"/>
    <x v="2"/>
    <x v="0"/>
    <x v="3"/>
    <x v="1"/>
    <x v="13"/>
    <n v="0.2273"/>
    <n v="0.69"/>
    <n v="0"/>
    <x v="3"/>
    <x v="6"/>
    <x v="5"/>
  </r>
  <r>
    <x v="691"/>
    <x v="31"/>
    <x v="0"/>
    <x v="0"/>
    <x v="1"/>
    <x v="3"/>
    <x v="0"/>
    <x v="3"/>
    <x v="1"/>
    <x v="13"/>
    <n v="0.2273"/>
    <n v="0.69"/>
    <n v="0"/>
    <x v="3"/>
    <x v="6"/>
    <x v="5"/>
  </r>
  <r>
    <x v="692"/>
    <x v="31"/>
    <x v="0"/>
    <x v="0"/>
    <x v="1"/>
    <x v="5"/>
    <x v="0"/>
    <x v="3"/>
    <x v="2"/>
    <x v="14"/>
    <n v="0.21210000000000001"/>
    <n v="0.93"/>
    <n v="0"/>
    <x v="3"/>
    <x v="35"/>
    <x v="6"/>
  </r>
  <r>
    <x v="693"/>
    <x v="31"/>
    <x v="0"/>
    <x v="0"/>
    <x v="1"/>
    <x v="6"/>
    <x v="0"/>
    <x v="3"/>
    <x v="2"/>
    <x v="14"/>
    <n v="0.21210000000000001"/>
    <n v="0.93"/>
    <n v="0"/>
    <x v="3"/>
    <x v="97"/>
    <x v="34"/>
  </r>
  <r>
    <x v="694"/>
    <x v="31"/>
    <x v="0"/>
    <x v="0"/>
    <x v="1"/>
    <x v="7"/>
    <x v="0"/>
    <x v="3"/>
    <x v="2"/>
    <x v="13"/>
    <n v="0.2273"/>
    <n v="0.93"/>
    <n v="0"/>
    <x v="3"/>
    <x v="15"/>
    <x v="46"/>
  </r>
  <r>
    <x v="695"/>
    <x v="31"/>
    <x v="0"/>
    <x v="0"/>
    <x v="1"/>
    <x v="8"/>
    <x v="0"/>
    <x v="3"/>
    <x v="2"/>
    <x v="13"/>
    <n v="0.2273"/>
    <n v="0.93"/>
    <n v="0"/>
    <x v="0"/>
    <x v="126"/>
    <x v="169"/>
  </r>
  <r>
    <x v="696"/>
    <x v="31"/>
    <x v="0"/>
    <x v="0"/>
    <x v="1"/>
    <x v="9"/>
    <x v="0"/>
    <x v="3"/>
    <x v="1"/>
    <x v="13"/>
    <n v="0.2273"/>
    <n v="0.93"/>
    <n v="0"/>
    <x v="4"/>
    <x v="156"/>
    <x v="155"/>
  </r>
  <r>
    <x v="697"/>
    <x v="31"/>
    <x v="0"/>
    <x v="0"/>
    <x v="1"/>
    <x v="10"/>
    <x v="0"/>
    <x v="3"/>
    <x v="1"/>
    <x v="13"/>
    <n v="0.2273"/>
    <n v="0.93"/>
    <n v="0"/>
    <x v="3"/>
    <x v="12"/>
    <x v="105"/>
  </r>
  <r>
    <x v="698"/>
    <x v="31"/>
    <x v="0"/>
    <x v="0"/>
    <x v="1"/>
    <x v="11"/>
    <x v="0"/>
    <x v="3"/>
    <x v="1"/>
    <x v="15"/>
    <n v="0.2424"/>
    <n v="0.86"/>
    <n v="0"/>
    <x v="4"/>
    <x v="47"/>
    <x v="41"/>
  </r>
  <r>
    <x v="699"/>
    <x v="31"/>
    <x v="0"/>
    <x v="0"/>
    <x v="1"/>
    <x v="12"/>
    <x v="0"/>
    <x v="3"/>
    <x v="1"/>
    <x v="2"/>
    <n v="0.2576"/>
    <n v="0.86"/>
    <n v="0"/>
    <x v="4"/>
    <x v="42"/>
    <x v="97"/>
  </r>
  <r>
    <x v="700"/>
    <x v="31"/>
    <x v="0"/>
    <x v="0"/>
    <x v="1"/>
    <x v="13"/>
    <x v="0"/>
    <x v="3"/>
    <x v="1"/>
    <x v="2"/>
    <n v="0.2576"/>
    <n v="0.86"/>
    <n v="0"/>
    <x v="0"/>
    <x v="47"/>
    <x v="46"/>
  </r>
  <r>
    <x v="701"/>
    <x v="31"/>
    <x v="0"/>
    <x v="0"/>
    <x v="1"/>
    <x v="14"/>
    <x v="0"/>
    <x v="3"/>
    <x v="1"/>
    <x v="1"/>
    <n v="0.2576"/>
    <n v="0.8"/>
    <n v="8.9599999999999999E-2"/>
    <x v="2"/>
    <x v="47"/>
    <x v="60"/>
  </r>
  <r>
    <x v="702"/>
    <x v="31"/>
    <x v="0"/>
    <x v="0"/>
    <x v="1"/>
    <x v="15"/>
    <x v="0"/>
    <x v="3"/>
    <x v="1"/>
    <x v="0"/>
    <n v="0.28789999999999999"/>
    <n v="0.75"/>
    <n v="0"/>
    <x v="18"/>
    <x v="108"/>
    <x v="46"/>
  </r>
  <r>
    <x v="703"/>
    <x v="31"/>
    <x v="0"/>
    <x v="0"/>
    <x v="1"/>
    <x v="16"/>
    <x v="0"/>
    <x v="3"/>
    <x v="1"/>
    <x v="0"/>
    <n v="0.2424"/>
    <n v="0.75"/>
    <n v="0.1343"/>
    <x v="0"/>
    <x v="124"/>
    <x v="37"/>
  </r>
  <r>
    <x v="704"/>
    <x v="31"/>
    <x v="0"/>
    <x v="0"/>
    <x v="1"/>
    <x v="17"/>
    <x v="0"/>
    <x v="3"/>
    <x v="1"/>
    <x v="0"/>
    <n v="0.28789999999999999"/>
    <n v="0.75"/>
    <n v="0"/>
    <x v="17"/>
    <x v="157"/>
    <x v="170"/>
  </r>
  <r>
    <x v="705"/>
    <x v="31"/>
    <x v="0"/>
    <x v="0"/>
    <x v="1"/>
    <x v="18"/>
    <x v="0"/>
    <x v="3"/>
    <x v="1"/>
    <x v="0"/>
    <n v="0.2576"/>
    <n v="0.81"/>
    <n v="0.1045"/>
    <x v="0"/>
    <x v="158"/>
    <x v="171"/>
  </r>
  <r>
    <x v="706"/>
    <x v="31"/>
    <x v="0"/>
    <x v="0"/>
    <x v="1"/>
    <x v="19"/>
    <x v="0"/>
    <x v="3"/>
    <x v="1"/>
    <x v="0"/>
    <n v="0.2424"/>
    <n v="0.81"/>
    <n v="0.1343"/>
    <x v="0"/>
    <x v="159"/>
    <x v="159"/>
  </r>
  <r>
    <x v="707"/>
    <x v="31"/>
    <x v="0"/>
    <x v="0"/>
    <x v="1"/>
    <x v="20"/>
    <x v="0"/>
    <x v="3"/>
    <x v="1"/>
    <x v="1"/>
    <n v="0.2273"/>
    <n v="0.87"/>
    <n v="0.1343"/>
    <x v="2"/>
    <x v="94"/>
    <x v="30"/>
  </r>
  <r>
    <x v="708"/>
    <x v="31"/>
    <x v="0"/>
    <x v="0"/>
    <x v="1"/>
    <x v="21"/>
    <x v="0"/>
    <x v="3"/>
    <x v="1"/>
    <x v="1"/>
    <n v="0.2273"/>
    <n v="0.87"/>
    <n v="0.1343"/>
    <x v="3"/>
    <x v="27"/>
    <x v="37"/>
  </r>
  <r>
    <x v="709"/>
    <x v="31"/>
    <x v="0"/>
    <x v="0"/>
    <x v="1"/>
    <x v="22"/>
    <x v="0"/>
    <x v="3"/>
    <x v="1"/>
    <x v="1"/>
    <n v="0.2576"/>
    <n v="0.87"/>
    <n v="8.9599999999999999E-2"/>
    <x v="4"/>
    <x v="60"/>
    <x v="9"/>
  </r>
  <r>
    <x v="710"/>
    <x v="31"/>
    <x v="0"/>
    <x v="0"/>
    <x v="1"/>
    <x v="23"/>
    <x v="0"/>
    <x v="3"/>
    <x v="2"/>
    <x v="2"/>
    <n v="0.19700000000000001"/>
    <n v="0.93"/>
    <n v="0.19400000000000001"/>
    <x v="5"/>
    <x v="89"/>
    <x v="0"/>
  </r>
  <r>
    <x v="711"/>
    <x v="32"/>
    <x v="0"/>
    <x v="0"/>
    <x v="1"/>
    <x v="0"/>
    <x v="0"/>
    <x v="4"/>
    <x v="2"/>
    <x v="1"/>
    <n v="0.2424"/>
    <n v="0.93"/>
    <n v="0.1045"/>
    <x v="3"/>
    <x v="6"/>
    <x v="5"/>
  </r>
  <r>
    <x v="712"/>
    <x v="32"/>
    <x v="0"/>
    <x v="0"/>
    <x v="1"/>
    <x v="1"/>
    <x v="0"/>
    <x v="4"/>
    <x v="2"/>
    <x v="1"/>
    <n v="0.2273"/>
    <n v="0.93"/>
    <n v="0.19400000000000001"/>
    <x v="3"/>
    <x v="35"/>
    <x v="6"/>
  </r>
  <r>
    <x v="713"/>
    <x v="32"/>
    <x v="0"/>
    <x v="0"/>
    <x v="1"/>
    <x v="2"/>
    <x v="0"/>
    <x v="4"/>
    <x v="2"/>
    <x v="1"/>
    <n v="0.2273"/>
    <n v="0.93"/>
    <n v="0.1343"/>
    <x v="17"/>
    <x v="5"/>
    <x v="48"/>
  </r>
  <r>
    <x v="714"/>
    <x v="32"/>
    <x v="0"/>
    <x v="0"/>
    <x v="1"/>
    <x v="3"/>
    <x v="0"/>
    <x v="4"/>
    <x v="2"/>
    <x v="1"/>
    <n v="0.2273"/>
    <n v="0.93"/>
    <n v="0.1343"/>
    <x v="3"/>
    <x v="4"/>
    <x v="4"/>
  </r>
  <r>
    <x v="715"/>
    <x v="32"/>
    <x v="0"/>
    <x v="0"/>
    <x v="1"/>
    <x v="4"/>
    <x v="0"/>
    <x v="4"/>
    <x v="2"/>
    <x v="1"/>
    <n v="0.21210000000000001"/>
    <n v="0.93"/>
    <n v="0.28360000000000002"/>
    <x v="3"/>
    <x v="4"/>
    <x v="4"/>
  </r>
  <r>
    <x v="716"/>
    <x v="32"/>
    <x v="0"/>
    <x v="0"/>
    <x v="1"/>
    <x v="5"/>
    <x v="0"/>
    <x v="4"/>
    <x v="2"/>
    <x v="1"/>
    <n v="0.2424"/>
    <n v="0.93"/>
    <n v="0.1045"/>
    <x v="3"/>
    <x v="35"/>
    <x v="6"/>
  </r>
  <r>
    <x v="717"/>
    <x v="32"/>
    <x v="0"/>
    <x v="0"/>
    <x v="1"/>
    <x v="6"/>
    <x v="0"/>
    <x v="4"/>
    <x v="2"/>
    <x v="1"/>
    <n v="0.2424"/>
    <n v="0.93"/>
    <n v="0.1045"/>
    <x v="5"/>
    <x v="19"/>
    <x v="109"/>
  </r>
  <r>
    <x v="718"/>
    <x v="32"/>
    <x v="0"/>
    <x v="0"/>
    <x v="1"/>
    <x v="7"/>
    <x v="0"/>
    <x v="4"/>
    <x v="2"/>
    <x v="1"/>
    <n v="0.21210000000000001"/>
    <n v="0.93"/>
    <n v="0.22389999999999999"/>
    <x v="5"/>
    <x v="41"/>
    <x v="99"/>
  </r>
  <r>
    <x v="719"/>
    <x v="32"/>
    <x v="0"/>
    <x v="0"/>
    <x v="1"/>
    <x v="8"/>
    <x v="0"/>
    <x v="4"/>
    <x v="2"/>
    <x v="1"/>
    <n v="0.21210000000000001"/>
    <n v="0.93"/>
    <n v="0.22389999999999999"/>
    <x v="5"/>
    <x v="105"/>
    <x v="107"/>
  </r>
  <r>
    <x v="720"/>
    <x v="32"/>
    <x v="0"/>
    <x v="0"/>
    <x v="1"/>
    <x v="9"/>
    <x v="0"/>
    <x v="4"/>
    <x v="1"/>
    <x v="0"/>
    <n v="0.2576"/>
    <n v="0.93"/>
    <n v="8.9599999999999999E-2"/>
    <x v="17"/>
    <x v="138"/>
    <x v="92"/>
  </r>
  <r>
    <x v="721"/>
    <x v="32"/>
    <x v="0"/>
    <x v="0"/>
    <x v="1"/>
    <x v="10"/>
    <x v="0"/>
    <x v="4"/>
    <x v="1"/>
    <x v="1"/>
    <n v="0.2727"/>
    <n v="1"/>
    <n v="0"/>
    <x v="4"/>
    <x v="79"/>
    <x v="42"/>
  </r>
  <r>
    <x v="722"/>
    <x v="32"/>
    <x v="0"/>
    <x v="0"/>
    <x v="1"/>
    <x v="11"/>
    <x v="0"/>
    <x v="4"/>
    <x v="1"/>
    <x v="0"/>
    <n v="0.2273"/>
    <n v="0.93"/>
    <n v="0.19400000000000001"/>
    <x v="2"/>
    <x v="12"/>
    <x v="46"/>
  </r>
  <r>
    <x v="723"/>
    <x v="32"/>
    <x v="0"/>
    <x v="0"/>
    <x v="1"/>
    <x v="12"/>
    <x v="0"/>
    <x v="4"/>
    <x v="1"/>
    <x v="0"/>
    <n v="0.2273"/>
    <n v="0.93"/>
    <n v="0.22389999999999999"/>
    <x v="0"/>
    <x v="124"/>
    <x v="37"/>
  </r>
  <r>
    <x v="724"/>
    <x v="32"/>
    <x v="0"/>
    <x v="0"/>
    <x v="1"/>
    <x v="13"/>
    <x v="0"/>
    <x v="4"/>
    <x v="0"/>
    <x v="10"/>
    <n v="0.33329999999999999"/>
    <n v="0.93"/>
    <n v="0.16420000000000001"/>
    <x v="5"/>
    <x v="64"/>
    <x v="28"/>
  </r>
  <r>
    <x v="725"/>
    <x v="32"/>
    <x v="0"/>
    <x v="0"/>
    <x v="1"/>
    <x v="14"/>
    <x v="0"/>
    <x v="4"/>
    <x v="0"/>
    <x v="4"/>
    <n v="0.39389999999999997"/>
    <n v="0.82"/>
    <n v="0.3881"/>
    <x v="4"/>
    <x v="124"/>
    <x v="55"/>
  </r>
  <r>
    <x v="726"/>
    <x v="32"/>
    <x v="0"/>
    <x v="0"/>
    <x v="1"/>
    <x v="15"/>
    <x v="0"/>
    <x v="4"/>
    <x v="0"/>
    <x v="4"/>
    <n v="0.39389999999999997"/>
    <n v="0.76"/>
    <n v="0.32840000000000003"/>
    <x v="22"/>
    <x v="43"/>
    <x v="31"/>
  </r>
  <r>
    <x v="727"/>
    <x v="32"/>
    <x v="0"/>
    <x v="0"/>
    <x v="1"/>
    <x v="16"/>
    <x v="0"/>
    <x v="4"/>
    <x v="0"/>
    <x v="5"/>
    <n v="0.33329999999999999"/>
    <n v="0.71"/>
    <n v="0.29849999999999999"/>
    <x v="1"/>
    <x v="73"/>
    <x v="153"/>
  </r>
  <r>
    <x v="728"/>
    <x v="32"/>
    <x v="0"/>
    <x v="0"/>
    <x v="1"/>
    <x v="17"/>
    <x v="0"/>
    <x v="4"/>
    <x v="0"/>
    <x v="5"/>
    <n v="0.31819999999999998"/>
    <n v="0.53"/>
    <n v="0.52239999999999998"/>
    <x v="18"/>
    <x v="160"/>
    <x v="71"/>
  </r>
  <r>
    <x v="729"/>
    <x v="32"/>
    <x v="0"/>
    <x v="0"/>
    <x v="1"/>
    <x v="18"/>
    <x v="0"/>
    <x v="4"/>
    <x v="0"/>
    <x v="10"/>
    <n v="0.28789999999999999"/>
    <n v="0.42"/>
    <n v="0.55220000000000002"/>
    <x v="18"/>
    <x v="161"/>
    <x v="58"/>
  </r>
  <r>
    <x v="730"/>
    <x v="32"/>
    <x v="0"/>
    <x v="0"/>
    <x v="1"/>
    <x v="19"/>
    <x v="0"/>
    <x v="4"/>
    <x v="0"/>
    <x v="17"/>
    <n v="0.2424"/>
    <n v="0.45"/>
    <n v="0.49249999999999999"/>
    <x v="0"/>
    <x v="152"/>
    <x v="134"/>
  </r>
  <r>
    <x v="731"/>
    <x v="32"/>
    <x v="0"/>
    <x v="0"/>
    <x v="1"/>
    <x v="20"/>
    <x v="0"/>
    <x v="4"/>
    <x v="0"/>
    <x v="0"/>
    <n v="0.19700000000000001"/>
    <n v="0.48"/>
    <n v="0.55220000000000002"/>
    <x v="17"/>
    <x v="13"/>
    <x v="28"/>
  </r>
  <r>
    <x v="732"/>
    <x v="32"/>
    <x v="0"/>
    <x v="0"/>
    <x v="1"/>
    <x v="21"/>
    <x v="0"/>
    <x v="4"/>
    <x v="0"/>
    <x v="1"/>
    <n v="0.19700000000000001"/>
    <n v="0.47"/>
    <n v="0.32840000000000003"/>
    <x v="5"/>
    <x v="133"/>
    <x v="55"/>
  </r>
  <r>
    <x v="733"/>
    <x v="32"/>
    <x v="0"/>
    <x v="0"/>
    <x v="1"/>
    <x v="22"/>
    <x v="0"/>
    <x v="4"/>
    <x v="0"/>
    <x v="1"/>
    <n v="0.21210000000000001"/>
    <n v="0.44"/>
    <n v="0.25369999999999998"/>
    <x v="2"/>
    <x v="96"/>
    <x v="1"/>
  </r>
  <r>
    <x v="734"/>
    <x v="32"/>
    <x v="0"/>
    <x v="0"/>
    <x v="1"/>
    <x v="23"/>
    <x v="0"/>
    <x v="4"/>
    <x v="0"/>
    <x v="2"/>
    <n v="0.16669999999999999"/>
    <n v="0.44"/>
    <n v="0.44779999999999998"/>
    <x v="0"/>
    <x v="31"/>
    <x v="2"/>
  </r>
  <r>
    <x v="735"/>
    <x v="33"/>
    <x v="0"/>
    <x v="0"/>
    <x v="1"/>
    <x v="0"/>
    <x v="0"/>
    <x v="5"/>
    <x v="0"/>
    <x v="2"/>
    <n v="0.16669999999999999"/>
    <n v="0.4"/>
    <n v="0.44779999999999998"/>
    <x v="5"/>
    <x v="48"/>
    <x v="47"/>
  </r>
  <r>
    <x v="736"/>
    <x v="33"/>
    <x v="0"/>
    <x v="0"/>
    <x v="1"/>
    <x v="1"/>
    <x v="0"/>
    <x v="5"/>
    <x v="0"/>
    <x v="2"/>
    <n v="0.1515"/>
    <n v="0.44"/>
    <n v="0.52239999999999998"/>
    <x v="3"/>
    <x v="34"/>
    <x v="36"/>
  </r>
  <r>
    <x v="737"/>
    <x v="33"/>
    <x v="0"/>
    <x v="0"/>
    <x v="1"/>
    <x v="2"/>
    <x v="0"/>
    <x v="5"/>
    <x v="0"/>
    <x v="15"/>
    <n v="0.16669999999999999"/>
    <n v="0.43"/>
    <n v="0.25369999999999998"/>
    <x v="3"/>
    <x v="6"/>
    <x v="5"/>
  </r>
  <r>
    <x v="738"/>
    <x v="33"/>
    <x v="0"/>
    <x v="0"/>
    <x v="1"/>
    <x v="3"/>
    <x v="0"/>
    <x v="5"/>
    <x v="0"/>
    <x v="15"/>
    <n v="0.16669999999999999"/>
    <n v="0.43"/>
    <n v="0.25369999999999998"/>
    <x v="3"/>
    <x v="4"/>
    <x v="4"/>
  </r>
  <r>
    <x v="739"/>
    <x v="33"/>
    <x v="0"/>
    <x v="0"/>
    <x v="1"/>
    <x v="5"/>
    <x v="0"/>
    <x v="5"/>
    <x v="0"/>
    <x v="13"/>
    <n v="0.13639999999999999"/>
    <n v="0.5"/>
    <n v="0.29849999999999999"/>
    <x v="3"/>
    <x v="6"/>
    <x v="5"/>
  </r>
  <r>
    <x v="740"/>
    <x v="33"/>
    <x v="0"/>
    <x v="0"/>
    <x v="1"/>
    <x v="6"/>
    <x v="0"/>
    <x v="5"/>
    <x v="0"/>
    <x v="13"/>
    <n v="0.13639999999999999"/>
    <n v="0.43"/>
    <n v="0.35820000000000002"/>
    <x v="3"/>
    <x v="87"/>
    <x v="21"/>
  </r>
  <r>
    <x v="741"/>
    <x v="33"/>
    <x v="0"/>
    <x v="0"/>
    <x v="1"/>
    <x v="7"/>
    <x v="0"/>
    <x v="5"/>
    <x v="0"/>
    <x v="14"/>
    <n v="0.1212"/>
    <n v="0.5"/>
    <n v="0.32840000000000003"/>
    <x v="5"/>
    <x v="132"/>
    <x v="90"/>
  </r>
  <r>
    <x v="742"/>
    <x v="33"/>
    <x v="0"/>
    <x v="0"/>
    <x v="1"/>
    <x v="8"/>
    <x v="0"/>
    <x v="5"/>
    <x v="0"/>
    <x v="14"/>
    <n v="0.1212"/>
    <n v="0.5"/>
    <n v="0.35820000000000002"/>
    <x v="17"/>
    <x v="103"/>
    <x v="104"/>
  </r>
  <r>
    <x v="743"/>
    <x v="33"/>
    <x v="0"/>
    <x v="0"/>
    <x v="1"/>
    <x v="9"/>
    <x v="0"/>
    <x v="5"/>
    <x v="0"/>
    <x v="13"/>
    <n v="0.13639999999999999"/>
    <n v="0.47"/>
    <n v="0.29849999999999999"/>
    <x v="15"/>
    <x v="69"/>
    <x v="140"/>
  </r>
  <r>
    <x v="744"/>
    <x v="33"/>
    <x v="0"/>
    <x v="0"/>
    <x v="1"/>
    <x v="10"/>
    <x v="0"/>
    <x v="5"/>
    <x v="0"/>
    <x v="15"/>
    <n v="0.1515"/>
    <n v="0.43"/>
    <n v="0.32840000000000003"/>
    <x v="4"/>
    <x v="54"/>
    <x v="46"/>
  </r>
  <r>
    <x v="745"/>
    <x v="33"/>
    <x v="0"/>
    <x v="0"/>
    <x v="1"/>
    <x v="11"/>
    <x v="0"/>
    <x v="5"/>
    <x v="0"/>
    <x v="15"/>
    <n v="0.13639999999999999"/>
    <n v="0.43"/>
    <n v="0.44779999999999998"/>
    <x v="14"/>
    <x v="11"/>
    <x v="37"/>
  </r>
  <r>
    <x v="746"/>
    <x v="33"/>
    <x v="0"/>
    <x v="0"/>
    <x v="1"/>
    <x v="12"/>
    <x v="0"/>
    <x v="5"/>
    <x v="0"/>
    <x v="2"/>
    <n v="0.18179999999999999"/>
    <n v="0.4"/>
    <n v="0.35820000000000002"/>
    <x v="4"/>
    <x v="28"/>
    <x v="83"/>
  </r>
  <r>
    <x v="747"/>
    <x v="33"/>
    <x v="0"/>
    <x v="0"/>
    <x v="1"/>
    <x v="13"/>
    <x v="0"/>
    <x v="5"/>
    <x v="0"/>
    <x v="2"/>
    <n v="0.16669999999999999"/>
    <n v="0.4"/>
    <n v="0.41789999999999999"/>
    <x v="17"/>
    <x v="12"/>
    <x v="41"/>
  </r>
  <r>
    <x v="748"/>
    <x v="33"/>
    <x v="0"/>
    <x v="0"/>
    <x v="1"/>
    <x v="14"/>
    <x v="0"/>
    <x v="5"/>
    <x v="0"/>
    <x v="1"/>
    <n v="0.19700000000000001"/>
    <n v="0.37"/>
    <n v="0.3881"/>
    <x v="17"/>
    <x v="30"/>
    <x v="105"/>
  </r>
  <r>
    <x v="749"/>
    <x v="33"/>
    <x v="0"/>
    <x v="0"/>
    <x v="1"/>
    <x v="15"/>
    <x v="0"/>
    <x v="5"/>
    <x v="0"/>
    <x v="1"/>
    <n v="0.19700000000000001"/>
    <n v="0.37"/>
    <n v="0.32840000000000003"/>
    <x v="17"/>
    <x v="90"/>
    <x v="122"/>
  </r>
  <r>
    <x v="750"/>
    <x v="33"/>
    <x v="0"/>
    <x v="0"/>
    <x v="1"/>
    <x v="16"/>
    <x v="0"/>
    <x v="5"/>
    <x v="0"/>
    <x v="1"/>
    <n v="0.21210000000000001"/>
    <n v="0.37"/>
    <n v="0.25369999999999998"/>
    <x v="2"/>
    <x v="26"/>
    <x v="53"/>
  </r>
  <r>
    <x v="751"/>
    <x v="33"/>
    <x v="0"/>
    <x v="0"/>
    <x v="1"/>
    <x v="17"/>
    <x v="0"/>
    <x v="5"/>
    <x v="0"/>
    <x v="2"/>
    <n v="0.19700000000000001"/>
    <n v="0.4"/>
    <n v="0.19400000000000001"/>
    <x v="2"/>
    <x v="162"/>
    <x v="172"/>
  </r>
  <r>
    <x v="752"/>
    <x v="33"/>
    <x v="0"/>
    <x v="0"/>
    <x v="1"/>
    <x v="18"/>
    <x v="0"/>
    <x v="5"/>
    <x v="0"/>
    <x v="2"/>
    <n v="0.21210000000000001"/>
    <n v="0.4"/>
    <n v="0.16420000000000001"/>
    <x v="4"/>
    <x v="142"/>
    <x v="173"/>
  </r>
  <r>
    <x v="753"/>
    <x v="33"/>
    <x v="0"/>
    <x v="0"/>
    <x v="1"/>
    <x v="19"/>
    <x v="0"/>
    <x v="5"/>
    <x v="0"/>
    <x v="2"/>
    <n v="0.2576"/>
    <n v="0.4"/>
    <n v="0"/>
    <x v="17"/>
    <x v="50"/>
    <x v="152"/>
  </r>
  <r>
    <x v="754"/>
    <x v="33"/>
    <x v="0"/>
    <x v="0"/>
    <x v="1"/>
    <x v="20"/>
    <x v="0"/>
    <x v="5"/>
    <x v="0"/>
    <x v="2"/>
    <n v="0.2273"/>
    <n v="0.47"/>
    <n v="8.9599999999999999E-2"/>
    <x v="5"/>
    <x v="123"/>
    <x v="142"/>
  </r>
  <r>
    <x v="755"/>
    <x v="33"/>
    <x v="0"/>
    <x v="0"/>
    <x v="1"/>
    <x v="21"/>
    <x v="0"/>
    <x v="5"/>
    <x v="0"/>
    <x v="15"/>
    <n v="0.21210000000000001"/>
    <n v="0.55000000000000004"/>
    <n v="0.1045"/>
    <x v="5"/>
    <x v="42"/>
    <x v="60"/>
  </r>
  <r>
    <x v="756"/>
    <x v="33"/>
    <x v="0"/>
    <x v="0"/>
    <x v="1"/>
    <x v="22"/>
    <x v="0"/>
    <x v="5"/>
    <x v="0"/>
    <x v="15"/>
    <n v="0.21210000000000001"/>
    <n v="0.51"/>
    <n v="8.9599999999999999E-2"/>
    <x v="4"/>
    <x v="87"/>
    <x v="102"/>
  </r>
  <r>
    <x v="757"/>
    <x v="33"/>
    <x v="0"/>
    <x v="0"/>
    <x v="1"/>
    <x v="23"/>
    <x v="0"/>
    <x v="5"/>
    <x v="0"/>
    <x v="2"/>
    <n v="0.2273"/>
    <n v="0.47"/>
    <n v="0.1045"/>
    <x v="17"/>
    <x v="60"/>
    <x v="103"/>
  </r>
  <r>
    <x v="758"/>
    <x v="34"/>
    <x v="0"/>
    <x v="0"/>
    <x v="1"/>
    <x v="0"/>
    <x v="0"/>
    <x v="6"/>
    <x v="1"/>
    <x v="2"/>
    <n v="0.2576"/>
    <n v="0.44"/>
    <n v="0"/>
    <x v="0"/>
    <x v="3"/>
    <x v="3"/>
  </r>
  <r>
    <x v="759"/>
    <x v="34"/>
    <x v="0"/>
    <x v="0"/>
    <x v="1"/>
    <x v="1"/>
    <x v="0"/>
    <x v="6"/>
    <x v="1"/>
    <x v="13"/>
    <n v="0.2273"/>
    <n v="0.59"/>
    <n v="0"/>
    <x v="3"/>
    <x v="7"/>
    <x v="85"/>
  </r>
  <r>
    <x v="760"/>
    <x v="34"/>
    <x v="0"/>
    <x v="0"/>
    <x v="1"/>
    <x v="2"/>
    <x v="0"/>
    <x v="6"/>
    <x v="1"/>
    <x v="14"/>
    <n v="0.16669999999999999"/>
    <n v="0.63"/>
    <n v="0.1045"/>
    <x v="3"/>
    <x v="4"/>
    <x v="4"/>
  </r>
  <r>
    <x v="761"/>
    <x v="34"/>
    <x v="0"/>
    <x v="0"/>
    <x v="1"/>
    <x v="3"/>
    <x v="0"/>
    <x v="6"/>
    <x v="1"/>
    <x v="14"/>
    <n v="0.16669999999999999"/>
    <n v="0.63"/>
    <n v="0.1045"/>
    <x v="3"/>
    <x v="4"/>
    <x v="4"/>
  </r>
  <r>
    <x v="762"/>
    <x v="34"/>
    <x v="0"/>
    <x v="0"/>
    <x v="1"/>
    <x v="5"/>
    <x v="0"/>
    <x v="6"/>
    <x v="1"/>
    <x v="14"/>
    <n v="0.1515"/>
    <n v="0.63"/>
    <n v="0.1343"/>
    <x v="3"/>
    <x v="7"/>
    <x v="85"/>
  </r>
  <r>
    <x v="763"/>
    <x v="34"/>
    <x v="0"/>
    <x v="0"/>
    <x v="1"/>
    <x v="6"/>
    <x v="0"/>
    <x v="6"/>
    <x v="1"/>
    <x v="13"/>
    <n v="0.2273"/>
    <n v="0.55000000000000004"/>
    <n v="0"/>
    <x v="4"/>
    <x v="16"/>
    <x v="20"/>
  </r>
  <r>
    <x v="764"/>
    <x v="34"/>
    <x v="0"/>
    <x v="0"/>
    <x v="1"/>
    <x v="7"/>
    <x v="0"/>
    <x v="6"/>
    <x v="0"/>
    <x v="14"/>
    <n v="0.21210000000000001"/>
    <n v="0.59"/>
    <n v="0"/>
    <x v="3"/>
    <x v="61"/>
    <x v="90"/>
  </r>
  <r>
    <x v="765"/>
    <x v="34"/>
    <x v="0"/>
    <x v="0"/>
    <x v="1"/>
    <x v="8"/>
    <x v="0"/>
    <x v="6"/>
    <x v="0"/>
    <x v="14"/>
    <n v="0.1515"/>
    <n v="0.74"/>
    <n v="0.1343"/>
    <x v="0"/>
    <x v="163"/>
    <x v="174"/>
  </r>
  <r>
    <x v="766"/>
    <x v="34"/>
    <x v="0"/>
    <x v="0"/>
    <x v="1"/>
    <x v="9"/>
    <x v="0"/>
    <x v="6"/>
    <x v="1"/>
    <x v="13"/>
    <n v="0.18179999999999999"/>
    <n v="0.8"/>
    <n v="0.1343"/>
    <x v="0"/>
    <x v="125"/>
    <x v="175"/>
  </r>
  <r>
    <x v="767"/>
    <x v="34"/>
    <x v="0"/>
    <x v="0"/>
    <x v="1"/>
    <x v="10"/>
    <x v="0"/>
    <x v="6"/>
    <x v="1"/>
    <x v="2"/>
    <n v="0.21210000000000001"/>
    <n v="0.51"/>
    <n v="0.1343"/>
    <x v="2"/>
    <x v="24"/>
    <x v="41"/>
  </r>
  <r>
    <x v="768"/>
    <x v="34"/>
    <x v="0"/>
    <x v="0"/>
    <x v="1"/>
    <x v="11"/>
    <x v="0"/>
    <x v="6"/>
    <x v="0"/>
    <x v="1"/>
    <n v="0.2273"/>
    <n v="0.51"/>
    <n v="0.16420000000000001"/>
    <x v="0"/>
    <x v="124"/>
    <x v="37"/>
  </r>
  <r>
    <x v="769"/>
    <x v="34"/>
    <x v="0"/>
    <x v="0"/>
    <x v="1"/>
    <x v="12"/>
    <x v="0"/>
    <x v="6"/>
    <x v="1"/>
    <x v="0"/>
    <n v="0.2424"/>
    <n v="0.48"/>
    <n v="0.16420000000000001"/>
    <x v="1"/>
    <x v="78"/>
    <x v="80"/>
  </r>
  <r>
    <x v="770"/>
    <x v="34"/>
    <x v="0"/>
    <x v="0"/>
    <x v="1"/>
    <x v="13"/>
    <x v="0"/>
    <x v="6"/>
    <x v="1"/>
    <x v="12"/>
    <n v="0.2576"/>
    <n v="0.5"/>
    <n v="0.22389999999999999"/>
    <x v="14"/>
    <x v="26"/>
    <x v="100"/>
  </r>
  <r>
    <x v="771"/>
    <x v="34"/>
    <x v="0"/>
    <x v="0"/>
    <x v="1"/>
    <x v="14"/>
    <x v="0"/>
    <x v="6"/>
    <x v="1"/>
    <x v="17"/>
    <n v="0.2727"/>
    <n v="0.45"/>
    <n v="0.16420000000000001"/>
    <x v="13"/>
    <x v="83"/>
    <x v="134"/>
  </r>
  <r>
    <x v="772"/>
    <x v="34"/>
    <x v="0"/>
    <x v="0"/>
    <x v="1"/>
    <x v="15"/>
    <x v="0"/>
    <x v="6"/>
    <x v="1"/>
    <x v="17"/>
    <n v="0.2727"/>
    <n v="0.48"/>
    <n v="0.25369999999999998"/>
    <x v="14"/>
    <x v="38"/>
    <x v="127"/>
  </r>
  <r>
    <x v="773"/>
    <x v="34"/>
    <x v="0"/>
    <x v="0"/>
    <x v="1"/>
    <x v="16"/>
    <x v="0"/>
    <x v="6"/>
    <x v="1"/>
    <x v="11"/>
    <n v="0.28789999999999999"/>
    <n v="0.42"/>
    <n v="0.22389999999999999"/>
    <x v="1"/>
    <x v="164"/>
    <x v="111"/>
  </r>
  <r>
    <x v="774"/>
    <x v="34"/>
    <x v="0"/>
    <x v="0"/>
    <x v="1"/>
    <x v="17"/>
    <x v="0"/>
    <x v="6"/>
    <x v="1"/>
    <x v="12"/>
    <n v="0.2727"/>
    <n v="0.56000000000000005"/>
    <n v="0.1343"/>
    <x v="22"/>
    <x v="165"/>
    <x v="176"/>
  </r>
  <r>
    <x v="775"/>
    <x v="34"/>
    <x v="0"/>
    <x v="0"/>
    <x v="1"/>
    <x v="18"/>
    <x v="0"/>
    <x v="6"/>
    <x v="1"/>
    <x v="0"/>
    <n v="0.2576"/>
    <n v="0.6"/>
    <n v="0.1045"/>
    <x v="0"/>
    <x v="166"/>
    <x v="107"/>
  </r>
  <r>
    <x v="776"/>
    <x v="34"/>
    <x v="0"/>
    <x v="0"/>
    <x v="1"/>
    <x v="19"/>
    <x v="0"/>
    <x v="6"/>
    <x v="1"/>
    <x v="0"/>
    <n v="0.2424"/>
    <n v="0.65"/>
    <n v="0.1343"/>
    <x v="5"/>
    <x v="46"/>
    <x v="153"/>
  </r>
  <r>
    <x v="777"/>
    <x v="34"/>
    <x v="0"/>
    <x v="0"/>
    <x v="1"/>
    <x v="20"/>
    <x v="0"/>
    <x v="6"/>
    <x v="1"/>
    <x v="0"/>
    <n v="0.2424"/>
    <n v="0.65"/>
    <n v="0.16420000000000001"/>
    <x v="4"/>
    <x v="94"/>
    <x v="68"/>
  </r>
  <r>
    <x v="778"/>
    <x v="34"/>
    <x v="0"/>
    <x v="0"/>
    <x v="1"/>
    <x v="21"/>
    <x v="0"/>
    <x v="6"/>
    <x v="1"/>
    <x v="0"/>
    <n v="0.2424"/>
    <n v="0.7"/>
    <n v="0.16420000000000001"/>
    <x v="4"/>
    <x v="40"/>
    <x v="74"/>
  </r>
  <r>
    <x v="779"/>
    <x v="34"/>
    <x v="0"/>
    <x v="0"/>
    <x v="1"/>
    <x v="22"/>
    <x v="0"/>
    <x v="6"/>
    <x v="1"/>
    <x v="0"/>
    <n v="0.2424"/>
    <n v="0.65"/>
    <n v="0.16420000000000001"/>
    <x v="5"/>
    <x v="108"/>
    <x v="66"/>
  </r>
  <r>
    <x v="780"/>
    <x v="34"/>
    <x v="0"/>
    <x v="0"/>
    <x v="1"/>
    <x v="23"/>
    <x v="0"/>
    <x v="6"/>
    <x v="1"/>
    <x v="0"/>
    <n v="0.2424"/>
    <n v="0.7"/>
    <n v="0.1343"/>
    <x v="5"/>
    <x v="10"/>
    <x v="35"/>
  </r>
  <r>
    <x v="781"/>
    <x v="35"/>
    <x v="0"/>
    <x v="0"/>
    <x v="1"/>
    <x v="0"/>
    <x v="0"/>
    <x v="0"/>
    <x v="1"/>
    <x v="0"/>
    <n v="0.2424"/>
    <n v="0.7"/>
    <n v="0.16420000000000001"/>
    <x v="0"/>
    <x v="49"/>
    <x v="21"/>
  </r>
  <r>
    <x v="782"/>
    <x v="35"/>
    <x v="0"/>
    <x v="0"/>
    <x v="1"/>
    <x v="1"/>
    <x v="0"/>
    <x v="0"/>
    <x v="1"/>
    <x v="0"/>
    <n v="0.2424"/>
    <n v="0.65"/>
    <n v="0.16420000000000001"/>
    <x v="5"/>
    <x v="19"/>
    <x v="109"/>
  </r>
  <r>
    <x v="783"/>
    <x v="35"/>
    <x v="0"/>
    <x v="0"/>
    <x v="1"/>
    <x v="2"/>
    <x v="0"/>
    <x v="0"/>
    <x v="1"/>
    <x v="0"/>
    <n v="0.2424"/>
    <n v="0.75"/>
    <n v="0.16420000000000001"/>
    <x v="2"/>
    <x v="98"/>
    <x v="22"/>
  </r>
  <r>
    <x v="784"/>
    <x v="35"/>
    <x v="0"/>
    <x v="0"/>
    <x v="1"/>
    <x v="3"/>
    <x v="0"/>
    <x v="0"/>
    <x v="1"/>
    <x v="0"/>
    <n v="0.2424"/>
    <n v="0.75"/>
    <n v="0.16420000000000001"/>
    <x v="5"/>
    <x v="3"/>
    <x v="62"/>
  </r>
  <r>
    <x v="785"/>
    <x v="35"/>
    <x v="0"/>
    <x v="0"/>
    <x v="1"/>
    <x v="4"/>
    <x v="0"/>
    <x v="0"/>
    <x v="2"/>
    <x v="1"/>
    <n v="0.2273"/>
    <n v="0.93"/>
    <n v="0.1343"/>
    <x v="3"/>
    <x v="21"/>
    <x v="7"/>
  </r>
  <r>
    <x v="786"/>
    <x v="35"/>
    <x v="0"/>
    <x v="0"/>
    <x v="1"/>
    <x v="5"/>
    <x v="0"/>
    <x v="0"/>
    <x v="2"/>
    <x v="2"/>
    <n v="0.2273"/>
    <n v="1"/>
    <n v="8.9599999999999999E-2"/>
    <x v="3"/>
    <x v="33"/>
    <x v="23"/>
  </r>
  <r>
    <x v="787"/>
    <x v="35"/>
    <x v="0"/>
    <x v="0"/>
    <x v="1"/>
    <x v="6"/>
    <x v="0"/>
    <x v="0"/>
    <x v="2"/>
    <x v="2"/>
    <n v="0.2576"/>
    <n v="1"/>
    <n v="0"/>
    <x v="3"/>
    <x v="22"/>
    <x v="48"/>
  </r>
  <r>
    <x v="788"/>
    <x v="35"/>
    <x v="0"/>
    <x v="0"/>
    <x v="1"/>
    <x v="7"/>
    <x v="0"/>
    <x v="0"/>
    <x v="2"/>
    <x v="1"/>
    <n v="0.2576"/>
    <n v="0.93"/>
    <n v="8.9599999999999999E-2"/>
    <x v="3"/>
    <x v="22"/>
    <x v="48"/>
  </r>
  <r>
    <x v="789"/>
    <x v="35"/>
    <x v="0"/>
    <x v="0"/>
    <x v="1"/>
    <x v="8"/>
    <x v="0"/>
    <x v="0"/>
    <x v="2"/>
    <x v="2"/>
    <n v="0.2273"/>
    <n v="1"/>
    <n v="8.9599999999999999E-2"/>
    <x v="3"/>
    <x v="3"/>
    <x v="98"/>
  </r>
  <r>
    <x v="790"/>
    <x v="35"/>
    <x v="0"/>
    <x v="0"/>
    <x v="1"/>
    <x v="9"/>
    <x v="0"/>
    <x v="0"/>
    <x v="2"/>
    <x v="2"/>
    <n v="0.2273"/>
    <n v="1"/>
    <n v="8.9599999999999999E-2"/>
    <x v="0"/>
    <x v="19"/>
    <x v="25"/>
  </r>
  <r>
    <x v="791"/>
    <x v="35"/>
    <x v="0"/>
    <x v="0"/>
    <x v="1"/>
    <x v="10"/>
    <x v="0"/>
    <x v="0"/>
    <x v="2"/>
    <x v="2"/>
    <n v="0.21210000000000001"/>
    <n v="1"/>
    <n v="0.1343"/>
    <x v="0"/>
    <x v="17"/>
    <x v="19"/>
  </r>
  <r>
    <x v="792"/>
    <x v="35"/>
    <x v="0"/>
    <x v="0"/>
    <x v="1"/>
    <x v="11"/>
    <x v="0"/>
    <x v="0"/>
    <x v="2"/>
    <x v="1"/>
    <n v="0.2273"/>
    <n v="1"/>
    <n v="0.1343"/>
    <x v="5"/>
    <x v="24"/>
    <x v="105"/>
  </r>
  <r>
    <x v="793"/>
    <x v="35"/>
    <x v="0"/>
    <x v="0"/>
    <x v="1"/>
    <x v="12"/>
    <x v="0"/>
    <x v="0"/>
    <x v="2"/>
    <x v="1"/>
    <n v="0.2273"/>
    <n v="1"/>
    <n v="0.16420000000000001"/>
    <x v="22"/>
    <x v="76"/>
    <x v="46"/>
  </r>
  <r>
    <x v="794"/>
    <x v="35"/>
    <x v="0"/>
    <x v="0"/>
    <x v="1"/>
    <x v="13"/>
    <x v="0"/>
    <x v="0"/>
    <x v="2"/>
    <x v="1"/>
    <n v="0.2273"/>
    <n v="1"/>
    <n v="0.16420000000000001"/>
    <x v="22"/>
    <x v="133"/>
    <x v="44"/>
  </r>
  <r>
    <x v="795"/>
    <x v="35"/>
    <x v="0"/>
    <x v="0"/>
    <x v="1"/>
    <x v="14"/>
    <x v="0"/>
    <x v="0"/>
    <x v="2"/>
    <x v="1"/>
    <n v="0.2727"/>
    <n v="1"/>
    <n v="0"/>
    <x v="2"/>
    <x v="54"/>
    <x v="97"/>
  </r>
  <r>
    <x v="796"/>
    <x v="35"/>
    <x v="0"/>
    <x v="0"/>
    <x v="1"/>
    <x v="15"/>
    <x v="0"/>
    <x v="0"/>
    <x v="2"/>
    <x v="1"/>
    <n v="0.2727"/>
    <n v="1"/>
    <n v="0"/>
    <x v="16"/>
    <x v="47"/>
    <x v="122"/>
  </r>
  <r>
    <x v="797"/>
    <x v="35"/>
    <x v="0"/>
    <x v="0"/>
    <x v="1"/>
    <x v="16"/>
    <x v="0"/>
    <x v="0"/>
    <x v="2"/>
    <x v="1"/>
    <n v="0.2273"/>
    <n v="1"/>
    <n v="0.1343"/>
    <x v="1"/>
    <x v="36"/>
    <x v="68"/>
  </r>
  <r>
    <x v="798"/>
    <x v="35"/>
    <x v="0"/>
    <x v="0"/>
    <x v="1"/>
    <x v="17"/>
    <x v="0"/>
    <x v="0"/>
    <x v="1"/>
    <x v="0"/>
    <n v="0.21210000000000001"/>
    <n v="1"/>
    <n v="0.28360000000000002"/>
    <x v="24"/>
    <x v="27"/>
    <x v="53"/>
  </r>
  <r>
    <x v="799"/>
    <x v="35"/>
    <x v="0"/>
    <x v="0"/>
    <x v="1"/>
    <x v="18"/>
    <x v="0"/>
    <x v="0"/>
    <x v="1"/>
    <x v="17"/>
    <n v="0.2424"/>
    <n v="0.93"/>
    <n v="0.44779999999999998"/>
    <x v="4"/>
    <x v="38"/>
    <x v="56"/>
  </r>
  <r>
    <x v="800"/>
    <x v="35"/>
    <x v="0"/>
    <x v="0"/>
    <x v="1"/>
    <x v="19"/>
    <x v="0"/>
    <x v="0"/>
    <x v="1"/>
    <x v="17"/>
    <n v="0.2424"/>
    <n v="0.93"/>
    <n v="0.44779999999999998"/>
    <x v="15"/>
    <x v="78"/>
    <x v="11"/>
  </r>
  <r>
    <x v="801"/>
    <x v="35"/>
    <x v="0"/>
    <x v="0"/>
    <x v="1"/>
    <x v="20"/>
    <x v="0"/>
    <x v="0"/>
    <x v="0"/>
    <x v="11"/>
    <n v="0.28789999999999999"/>
    <n v="0.87"/>
    <n v="0.25369999999999998"/>
    <x v="2"/>
    <x v="27"/>
    <x v="83"/>
  </r>
  <r>
    <x v="802"/>
    <x v="35"/>
    <x v="0"/>
    <x v="0"/>
    <x v="1"/>
    <x v="21"/>
    <x v="0"/>
    <x v="0"/>
    <x v="0"/>
    <x v="12"/>
    <n v="0.2576"/>
    <n v="1"/>
    <n v="0.19400000000000001"/>
    <x v="0"/>
    <x v="42"/>
    <x v="10"/>
  </r>
  <r>
    <x v="803"/>
    <x v="35"/>
    <x v="0"/>
    <x v="0"/>
    <x v="1"/>
    <x v="22"/>
    <x v="0"/>
    <x v="0"/>
    <x v="0"/>
    <x v="12"/>
    <n v="0.2727"/>
    <n v="0.93"/>
    <n v="0.1343"/>
    <x v="4"/>
    <x v="30"/>
    <x v="79"/>
  </r>
  <r>
    <x v="804"/>
    <x v="35"/>
    <x v="0"/>
    <x v="0"/>
    <x v="1"/>
    <x v="23"/>
    <x v="0"/>
    <x v="0"/>
    <x v="0"/>
    <x v="12"/>
    <n v="0.2576"/>
    <n v="0.93"/>
    <n v="0.22389999999999999"/>
    <x v="18"/>
    <x v="15"/>
    <x v="29"/>
  </r>
  <r>
    <x v="805"/>
    <x v="36"/>
    <x v="0"/>
    <x v="0"/>
    <x v="1"/>
    <x v="0"/>
    <x v="0"/>
    <x v="1"/>
    <x v="0"/>
    <x v="12"/>
    <n v="0.2576"/>
    <n v="0.7"/>
    <n v="0.19400000000000001"/>
    <x v="4"/>
    <x v="53"/>
    <x v="21"/>
  </r>
  <r>
    <x v="806"/>
    <x v="36"/>
    <x v="0"/>
    <x v="0"/>
    <x v="1"/>
    <x v="1"/>
    <x v="0"/>
    <x v="1"/>
    <x v="0"/>
    <x v="12"/>
    <n v="0.2273"/>
    <n v="0.65"/>
    <n v="0.41789999999999999"/>
    <x v="17"/>
    <x v="71"/>
    <x v="40"/>
  </r>
  <r>
    <x v="807"/>
    <x v="36"/>
    <x v="0"/>
    <x v="0"/>
    <x v="1"/>
    <x v="2"/>
    <x v="0"/>
    <x v="1"/>
    <x v="0"/>
    <x v="12"/>
    <n v="0.2273"/>
    <n v="0.6"/>
    <n v="0.32840000000000003"/>
    <x v="3"/>
    <x v="32"/>
    <x v="25"/>
  </r>
  <r>
    <x v="808"/>
    <x v="36"/>
    <x v="0"/>
    <x v="0"/>
    <x v="1"/>
    <x v="3"/>
    <x v="0"/>
    <x v="1"/>
    <x v="0"/>
    <x v="12"/>
    <n v="0.28789999999999999"/>
    <n v="0.6"/>
    <n v="8.9599999999999999E-2"/>
    <x v="0"/>
    <x v="3"/>
    <x v="3"/>
  </r>
  <r>
    <x v="809"/>
    <x v="36"/>
    <x v="0"/>
    <x v="0"/>
    <x v="1"/>
    <x v="4"/>
    <x v="0"/>
    <x v="1"/>
    <x v="0"/>
    <x v="12"/>
    <n v="0.2273"/>
    <n v="0.6"/>
    <n v="0.35820000000000002"/>
    <x v="3"/>
    <x v="6"/>
    <x v="5"/>
  </r>
  <r>
    <x v="810"/>
    <x v="36"/>
    <x v="0"/>
    <x v="0"/>
    <x v="1"/>
    <x v="5"/>
    <x v="0"/>
    <x v="1"/>
    <x v="0"/>
    <x v="12"/>
    <n v="0.2576"/>
    <n v="0.6"/>
    <n v="0.22389999999999999"/>
    <x v="3"/>
    <x v="4"/>
    <x v="4"/>
  </r>
  <r>
    <x v="811"/>
    <x v="36"/>
    <x v="0"/>
    <x v="0"/>
    <x v="1"/>
    <x v="6"/>
    <x v="0"/>
    <x v="1"/>
    <x v="0"/>
    <x v="12"/>
    <n v="0.2576"/>
    <n v="0.6"/>
    <n v="0.22389999999999999"/>
    <x v="3"/>
    <x v="4"/>
    <x v="4"/>
  </r>
  <r>
    <x v="812"/>
    <x v="36"/>
    <x v="0"/>
    <x v="0"/>
    <x v="1"/>
    <x v="7"/>
    <x v="0"/>
    <x v="1"/>
    <x v="0"/>
    <x v="0"/>
    <n v="0.2424"/>
    <n v="0.65"/>
    <n v="0.16420000000000001"/>
    <x v="3"/>
    <x v="21"/>
    <x v="7"/>
  </r>
  <r>
    <x v="813"/>
    <x v="36"/>
    <x v="0"/>
    <x v="0"/>
    <x v="1"/>
    <x v="8"/>
    <x v="0"/>
    <x v="1"/>
    <x v="0"/>
    <x v="0"/>
    <n v="0.2576"/>
    <n v="0.65"/>
    <n v="0.1045"/>
    <x v="4"/>
    <x v="144"/>
    <x v="84"/>
  </r>
  <r>
    <x v="814"/>
    <x v="36"/>
    <x v="0"/>
    <x v="0"/>
    <x v="1"/>
    <x v="9"/>
    <x v="0"/>
    <x v="1"/>
    <x v="0"/>
    <x v="17"/>
    <n v="0.28789999999999999"/>
    <n v="0.56000000000000005"/>
    <n v="0.1045"/>
    <x v="18"/>
    <x v="101"/>
    <x v="79"/>
  </r>
  <r>
    <x v="815"/>
    <x v="36"/>
    <x v="0"/>
    <x v="0"/>
    <x v="1"/>
    <x v="10"/>
    <x v="0"/>
    <x v="1"/>
    <x v="0"/>
    <x v="11"/>
    <n v="0.28789999999999999"/>
    <n v="0.52"/>
    <n v="0.25369999999999998"/>
    <x v="13"/>
    <x v="64"/>
    <x v="70"/>
  </r>
  <r>
    <x v="816"/>
    <x v="36"/>
    <x v="0"/>
    <x v="0"/>
    <x v="1"/>
    <x v="11"/>
    <x v="0"/>
    <x v="1"/>
    <x v="0"/>
    <x v="3"/>
    <n v="0.30299999999999999"/>
    <n v="0.49"/>
    <n v="0.25369999999999998"/>
    <x v="32"/>
    <x v="121"/>
    <x v="126"/>
  </r>
  <r>
    <x v="817"/>
    <x v="36"/>
    <x v="0"/>
    <x v="0"/>
    <x v="1"/>
    <x v="12"/>
    <x v="0"/>
    <x v="1"/>
    <x v="0"/>
    <x v="10"/>
    <n v="0.33329999999999999"/>
    <n v="0.46"/>
    <n v="0"/>
    <x v="33"/>
    <x v="167"/>
    <x v="177"/>
  </r>
  <r>
    <x v="818"/>
    <x v="36"/>
    <x v="0"/>
    <x v="0"/>
    <x v="1"/>
    <x v="13"/>
    <x v="0"/>
    <x v="1"/>
    <x v="0"/>
    <x v="10"/>
    <n v="0.36359999999999998"/>
    <n v="0.46"/>
    <n v="0"/>
    <x v="9"/>
    <x v="113"/>
    <x v="58"/>
  </r>
  <r>
    <x v="819"/>
    <x v="36"/>
    <x v="0"/>
    <x v="0"/>
    <x v="1"/>
    <x v="14"/>
    <x v="0"/>
    <x v="1"/>
    <x v="0"/>
    <x v="10"/>
    <n v="0.34849999999999998"/>
    <n v="0.46"/>
    <n v="8.9599999999999999E-2"/>
    <x v="9"/>
    <x v="156"/>
    <x v="143"/>
  </r>
  <r>
    <x v="820"/>
    <x v="36"/>
    <x v="0"/>
    <x v="0"/>
    <x v="1"/>
    <x v="15"/>
    <x v="0"/>
    <x v="1"/>
    <x v="0"/>
    <x v="10"/>
    <n v="0.34849999999999998"/>
    <n v="0.46"/>
    <n v="8.9599999999999999E-2"/>
    <x v="34"/>
    <x v="110"/>
    <x v="58"/>
  </r>
  <r>
    <x v="821"/>
    <x v="36"/>
    <x v="0"/>
    <x v="0"/>
    <x v="1"/>
    <x v="16"/>
    <x v="0"/>
    <x v="1"/>
    <x v="0"/>
    <x v="10"/>
    <n v="0.34849999999999998"/>
    <n v="0.49"/>
    <n v="0.1045"/>
    <x v="35"/>
    <x v="168"/>
    <x v="45"/>
  </r>
  <r>
    <x v="822"/>
    <x v="36"/>
    <x v="0"/>
    <x v="0"/>
    <x v="1"/>
    <x v="17"/>
    <x v="0"/>
    <x v="1"/>
    <x v="0"/>
    <x v="10"/>
    <n v="0.36359999999999998"/>
    <n v="0.46"/>
    <n v="0"/>
    <x v="31"/>
    <x v="106"/>
    <x v="178"/>
  </r>
  <r>
    <x v="823"/>
    <x v="36"/>
    <x v="0"/>
    <x v="0"/>
    <x v="1"/>
    <x v="18"/>
    <x v="0"/>
    <x v="1"/>
    <x v="0"/>
    <x v="11"/>
    <n v="0.30299999999999999"/>
    <n v="0.56000000000000005"/>
    <n v="0.16420000000000001"/>
    <x v="23"/>
    <x v="65"/>
    <x v="53"/>
  </r>
  <r>
    <x v="824"/>
    <x v="36"/>
    <x v="0"/>
    <x v="0"/>
    <x v="1"/>
    <x v="19"/>
    <x v="0"/>
    <x v="1"/>
    <x v="0"/>
    <x v="17"/>
    <n v="0.28789999999999999"/>
    <n v="0.61"/>
    <n v="0.1343"/>
    <x v="5"/>
    <x v="32"/>
    <x v="137"/>
  </r>
  <r>
    <x v="825"/>
    <x v="36"/>
    <x v="0"/>
    <x v="0"/>
    <x v="1"/>
    <x v="20"/>
    <x v="0"/>
    <x v="1"/>
    <x v="0"/>
    <x v="17"/>
    <n v="0.28789999999999999"/>
    <n v="0.61"/>
    <n v="0.1045"/>
    <x v="2"/>
    <x v="144"/>
    <x v="132"/>
  </r>
  <r>
    <x v="826"/>
    <x v="36"/>
    <x v="0"/>
    <x v="0"/>
    <x v="1"/>
    <x v="21"/>
    <x v="0"/>
    <x v="1"/>
    <x v="0"/>
    <x v="12"/>
    <n v="0.30299999999999999"/>
    <n v="0.6"/>
    <n v="0"/>
    <x v="2"/>
    <x v="97"/>
    <x v="110"/>
  </r>
  <r>
    <x v="827"/>
    <x v="36"/>
    <x v="0"/>
    <x v="0"/>
    <x v="1"/>
    <x v="22"/>
    <x v="0"/>
    <x v="1"/>
    <x v="0"/>
    <x v="12"/>
    <n v="0.30299999999999999"/>
    <n v="0.6"/>
    <n v="0"/>
    <x v="2"/>
    <x v="77"/>
    <x v="69"/>
  </r>
  <r>
    <x v="828"/>
    <x v="36"/>
    <x v="0"/>
    <x v="0"/>
    <x v="1"/>
    <x v="23"/>
    <x v="0"/>
    <x v="1"/>
    <x v="0"/>
    <x v="0"/>
    <n v="0.28789999999999999"/>
    <n v="0.65"/>
    <n v="0"/>
    <x v="17"/>
    <x v="16"/>
    <x v="33"/>
  </r>
  <r>
    <x v="829"/>
    <x v="37"/>
    <x v="0"/>
    <x v="0"/>
    <x v="1"/>
    <x v="0"/>
    <x v="0"/>
    <x v="2"/>
    <x v="0"/>
    <x v="0"/>
    <n v="0.28789999999999999"/>
    <n v="0.65"/>
    <n v="0"/>
    <x v="5"/>
    <x v="88"/>
    <x v="93"/>
  </r>
  <r>
    <x v="830"/>
    <x v="37"/>
    <x v="0"/>
    <x v="0"/>
    <x v="1"/>
    <x v="1"/>
    <x v="0"/>
    <x v="2"/>
    <x v="0"/>
    <x v="1"/>
    <n v="0.2727"/>
    <n v="0.75"/>
    <n v="0"/>
    <x v="5"/>
    <x v="22"/>
    <x v="36"/>
  </r>
  <r>
    <x v="831"/>
    <x v="37"/>
    <x v="0"/>
    <x v="0"/>
    <x v="1"/>
    <x v="2"/>
    <x v="0"/>
    <x v="2"/>
    <x v="0"/>
    <x v="2"/>
    <n v="0.2576"/>
    <n v="0.8"/>
    <n v="0"/>
    <x v="3"/>
    <x v="35"/>
    <x v="6"/>
  </r>
  <r>
    <x v="832"/>
    <x v="37"/>
    <x v="0"/>
    <x v="0"/>
    <x v="1"/>
    <x v="3"/>
    <x v="0"/>
    <x v="2"/>
    <x v="0"/>
    <x v="2"/>
    <n v="0.2576"/>
    <n v="0.86"/>
    <n v="0"/>
    <x v="3"/>
    <x v="4"/>
    <x v="4"/>
  </r>
  <r>
    <x v="833"/>
    <x v="37"/>
    <x v="0"/>
    <x v="0"/>
    <x v="1"/>
    <x v="4"/>
    <x v="0"/>
    <x v="2"/>
    <x v="0"/>
    <x v="2"/>
    <n v="0.2576"/>
    <n v="0.86"/>
    <n v="0"/>
    <x v="5"/>
    <x v="4"/>
    <x v="5"/>
  </r>
  <r>
    <x v="834"/>
    <x v="37"/>
    <x v="0"/>
    <x v="0"/>
    <x v="1"/>
    <x v="5"/>
    <x v="0"/>
    <x v="2"/>
    <x v="0"/>
    <x v="2"/>
    <n v="0.2576"/>
    <n v="0.86"/>
    <n v="0"/>
    <x v="5"/>
    <x v="33"/>
    <x v="98"/>
  </r>
  <r>
    <x v="835"/>
    <x v="37"/>
    <x v="0"/>
    <x v="0"/>
    <x v="1"/>
    <x v="6"/>
    <x v="0"/>
    <x v="2"/>
    <x v="0"/>
    <x v="15"/>
    <n v="0.2424"/>
    <n v="0.93"/>
    <n v="0"/>
    <x v="5"/>
    <x v="31"/>
    <x v="33"/>
  </r>
  <r>
    <x v="836"/>
    <x v="37"/>
    <x v="0"/>
    <x v="0"/>
    <x v="1"/>
    <x v="7"/>
    <x v="0"/>
    <x v="2"/>
    <x v="0"/>
    <x v="15"/>
    <n v="0.2424"/>
    <n v="0.86"/>
    <n v="0"/>
    <x v="15"/>
    <x v="121"/>
    <x v="76"/>
  </r>
  <r>
    <x v="837"/>
    <x v="37"/>
    <x v="0"/>
    <x v="0"/>
    <x v="1"/>
    <x v="8"/>
    <x v="0"/>
    <x v="2"/>
    <x v="1"/>
    <x v="13"/>
    <n v="0.2273"/>
    <n v="1"/>
    <n v="0"/>
    <x v="18"/>
    <x v="169"/>
    <x v="179"/>
  </r>
  <r>
    <x v="838"/>
    <x v="37"/>
    <x v="0"/>
    <x v="0"/>
    <x v="1"/>
    <x v="9"/>
    <x v="0"/>
    <x v="2"/>
    <x v="0"/>
    <x v="1"/>
    <n v="0.2727"/>
    <n v="0.8"/>
    <n v="0"/>
    <x v="0"/>
    <x v="168"/>
    <x v="130"/>
  </r>
  <r>
    <x v="839"/>
    <x v="37"/>
    <x v="0"/>
    <x v="0"/>
    <x v="1"/>
    <x v="10"/>
    <x v="0"/>
    <x v="2"/>
    <x v="0"/>
    <x v="0"/>
    <n v="0.2576"/>
    <n v="0.75"/>
    <n v="0.1045"/>
    <x v="15"/>
    <x v="47"/>
    <x v="97"/>
  </r>
  <r>
    <x v="840"/>
    <x v="37"/>
    <x v="0"/>
    <x v="0"/>
    <x v="1"/>
    <x v="11"/>
    <x v="0"/>
    <x v="2"/>
    <x v="0"/>
    <x v="11"/>
    <n v="0.31819999999999998"/>
    <n v="0.65"/>
    <n v="8.9599999999999999E-2"/>
    <x v="16"/>
    <x v="49"/>
    <x v="105"/>
  </r>
  <r>
    <x v="841"/>
    <x v="37"/>
    <x v="0"/>
    <x v="0"/>
    <x v="1"/>
    <x v="12"/>
    <x v="0"/>
    <x v="2"/>
    <x v="1"/>
    <x v="3"/>
    <n v="0.34849999999999998"/>
    <n v="0.62"/>
    <n v="0"/>
    <x v="18"/>
    <x v="79"/>
    <x v="180"/>
  </r>
  <r>
    <x v="842"/>
    <x v="37"/>
    <x v="0"/>
    <x v="0"/>
    <x v="1"/>
    <x v="13"/>
    <x v="0"/>
    <x v="2"/>
    <x v="1"/>
    <x v="5"/>
    <n v="0.36359999999999998"/>
    <n v="0.56999999999999995"/>
    <n v="8.9599999999999999E-2"/>
    <x v="22"/>
    <x v="25"/>
    <x v="37"/>
  </r>
  <r>
    <x v="843"/>
    <x v="37"/>
    <x v="0"/>
    <x v="0"/>
    <x v="1"/>
    <x v="14"/>
    <x v="0"/>
    <x v="2"/>
    <x v="1"/>
    <x v="5"/>
    <n v="0.36359999999999998"/>
    <n v="0.56999999999999995"/>
    <n v="8.9599999999999999E-2"/>
    <x v="1"/>
    <x v="15"/>
    <x v="122"/>
  </r>
  <r>
    <x v="844"/>
    <x v="37"/>
    <x v="0"/>
    <x v="0"/>
    <x v="1"/>
    <x v="15"/>
    <x v="0"/>
    <x v="2"/>
    <x v="1"/>
    <x v="4"/>
    <n v="0.39389999999999997"/>
    <n v="0.54"/>
    <n v="8.9599999999999999E-2"/>
    <x v="17"/>
    <x v="24"/>
    <x v="89"/>
  </r>
  <r>
    <x v="845"/>
    <x v="37"/>
    <x v="0"/>
    <x v="0"/>
    <x v="1"/>
    <x v="16"/>
    <x v="0"/>
    <x v="2"/>
    <x v="1"/>
    <x v="5"/>
    <n v="0.34849999999999998"/>
    <n v="0.56999999999999995"/>
    <n v="0.1343"/>
    <x v="19"/>
    <x v="52"/>
    <x v="181"/>
  </r>
  <r>
    <x v="846"/>
    <x v="37"/>
    <x v="0"/>
    <x v="0"/>
    <x v="1"/>
    <x v="17"/>
    <x v="0"/>
    <x v="2"/>
    <x v="1"/>
    <x v="3"/>
    <n v="0.31819999999999998"/>
    <n v="0.7"/>
    <n v="0.16420000000000001"/>
    <x v="14"/>
    <x v="134"/>
    <x v="182"/>
  </r>
  <r>
    <x v="847"/>
    <x v="37"/>
    <x v="0"/>
    <x v="0"/>
    <x v="1"/>
    <x v="18"/>
    <x v="0"/>
    <x v="2"/>
    <x v="1"/>
    <x v="10"/>
    <n v="0.33329999999999999"/>
    <n v="0.66"/>
    <n v="0.1343"/>
    <x v="2"/>
    <x v="162"/>
    <x v="172"/>
  </r>
  <r>
    <x v="848"/>
    <x v="37"/>
    <x v="0"/>
    <x v="0"/>
    <x v="1"/>
    <x v="19"/>
    <x v="0"/>
    <x v="2"/>
    <x v="1"/>
    <x v="3"/>
    <n v="0.34849999999999998"/>
    <n v="0.7"/>
    <n v="0"/>
    <x v="2"/>
    <x v="170"/>
    <x v="116"/>
  </r>
  <r>
    <x v="849"/>
    <x v="37"/>
    <x v="0"/>
    <x v="0"/>
    <x v="1"/>
    <x v="20"/>
    <x v="0"/>
    <x v="2"/>
    <x v="1"/>
    <x v="3"/>
    <n v="0.33329999999999999"/>
    <n v="0.7"/>
    <n v="0.1045"/>
    <x v="15"/>
    <x v="70"/>
    <x v="39"/>
  </r>
  <r>
    <x v="850"/>
    <x v="37"/>
    <x v="0"/>
    <x v="0"/>
    <x v="1"/>
    <x v="21"/>
    <x v="0"/>
    <x v="2"/>
    <x v="0"/>
    <x v="3"/>
    <n v="0.34849999999999998"/>
    <n v="0.7"/>
    <n v="0"/>
    <x v="0"/>
    <x v="102"/>
    <x v="53"/>
  </r>
  <r>
    <x v="851"/>
    <x v="37"/>
    <x v="0"/>
    <x v="0"/>
    <x v="1"/>
    <x v="22"/>
    <x v="0"/>
    <x v="2"/>
    <x v="0"/>
    <x v="17"/>
    <n v="0.30299999999999999"/>
    <n v="0.81"/>
    <n v="8.9599999999999999E-2"/>
    <x v="0"/>
    <x v="60"/>
    <x v="18"/>
  </r>
  <r>
    <x v="852"/>
    <x v="37"/>
    <x v="0"/>
    <x v="0"/>
    <x v="1"/>
    <x v="23"/>
    <x v="0"/>
    <x v="2"/>
    <x v="1"/>
    <x v="11"/>
    <n v="0.33329999999999999"/>
    <n v="0.81"/>
    <n v="0"/>
    <x v="15"/>
    <x v="23"/>
    <x v="94"/>
  </r>
  <r>
    <x v="853"/>
    <x v="38"/>
    <x v="0"/>
    <x v="0"/>
    <x v="1"/>
    <x v="0"/>
    <x v="0"/>
    <x v="3"/>
    <x v="1"/>
    <x v="17"/>
    <n v="0.31819999999999998"/>
    <n v="0.87"/>
    <n v="0"/>
    <x v="17"/>
    <x v="8"/>
    <x v="98"/>
  </r>
  <r>
    <x v="854"/>
    <x v="38"/>
    <x v="0"/>
    <x v="0"/>
    <x v="1"/>
    <x v="1"/>
    <x v="0"/>
    <x v="3"/>
    <x v="1"/>
    <x v="17"/>
    <n v="0.31819999999999998"/>
    <n v="0.87"/>
    <n v="0"/>
    <x v="3"/>
    <x v="22"/>
    <x v="48"/>
  </r>
  <r>
    <x v="855"/>
    <x v="38"/>
    <x v="0"/>
    <x v="0"/>
    <x v="1"/>
    <x v="2"/>
    <x v="0"/>
    <x v="3"/>
    <x v="1"/>
    <x v="12"/>
    <n v="0.2727"/>
    <n v="0.93"/>
    <n v="0.1045"/>
    <x v="5"/>
    <x v="4"/>
    <x v="5"/>
  </r>
  <r>
    <x v="856"/>
    <x v="38"/>
    <x v="0"/>
    <x v="0"/>
    <x v="1"/>
    <x v="3"/>
    <x v="0"/>
    <x v="3"/>
    <x v="2"/>
    <x v="17"/>
    <n v="0.2727"/>
    <n v="0.93"/>
    <n v="0.16420000000000001"/>
    <x v="3"/>
    <x v="4"/>
    <x v="4"/>
  </r>
  <r>
    <x v="857"/>
    <x v="38"/>
    <x v="0"/>
    <x v="0"/>
    <x v="1"/>
    <x v="4"/>
    <x v="0"/>
    <x v="3"/>
    <x v="0"/>
    <x v="12"/>
    <n v="0.2576"/>
    <n v="0.93"/>
    <n v="0.16420000000000001"/>
    <x v="3"/>
    <x v="35"/>
    <x v="6"/>
  </r>
  <r>
    <x v="858"/>
    <x v="38"/>
    <x v="0"/>
    <x v="0"/>
    <x v="1"/>
    <x v="5"/>
    <x v="0"/>
    <x v="3"/>
    <x v="0"/>
    <x v="12"/>
    <n v="0.2273"/>
    <n v="0.81"/>
    <n v="0.32840000000000003"/>
    <x v="3"/>
    <x v="6"/>
    <x v="5"/>
  </r>
  <r>
    <x v="859"/>
    <x v="38"/>
    <x v="0"/>
    <x v="0"/>
    <x v="1"/>
    <x v="6"/>
    <x v="0"/>
    <x v="3"/>
    <x v="0"/>
    <x v="12"/>
    <n v="0.2273"/>
    <n v="0.7"/>
    <n v="0.32840000000000003"/>
    <x v="3"/>
    <x v="87"/>
    <x v="21"/>
  </r>
  <r>
    <x v="860"/>
    <x v="38"/>
    <x v="0"/>
    <x v="0"/>
    <x v="1"/>
    <x v="7"/>
    <x v="0"/>
    <x v="3"/>
    <x v="0"/>
    <x v="0"/>
    <n v="0.19700000000000001"/>
    <n v="0.65"/>
    <n v="0.41789999999999999"/>
    <x v="0"/>
    <x v="106"/>
    <x v="50"/>
  </r>
  <r>
    <x v="861"/>
    <x v="38"/>
    <x v="0"/>
    <x v="0"/>
    <x v="1"/>
    <x v="8"/>
    <x v="0"/>
    <x v="3"/>
    <x v="0"/>
    <x v="0"/>
    <n v="0.19700000000000001"/>
    <n v="0.56000000000000005"/>
    <n v="0.49249999999999999"/>
    <x v="18"/>
    <x v="171"/>
    <x v="183"/>
  </r>
  <r>
    <x v="862"/>
    <x v="38"/>
    <x v="0"/>
    <x v="0"/>
    <x v="1"/>
    <x v="9"/>
    <x v="0"/>
    <x v="3"/>
    <x v="0"/>
    <x v="0"/>
    <n v="0.19700000000000001"/>
    <n v="0.52"/>
    <n v="0.49249999999999999"/>
    <x v="18"/>
    <x v="172"/>
    <x v="169"/>
  </r>
  <r>
    <x v="863"/>
    <x v="38"/>
    <x v="0"/>
    <x v="0"/>
    <x v="1"/>
    <x v="10"/>
    <x v="0"/>
    <x v="3"/>
    <x v="0"/>
    <x v="1"/>
    <n v="0.18179999999999999"/>
    <n v="0.47"/>
    <n v="0.55220000000000002"/>
    <x v="17"/>
    <x v="100"/>
    <x v="61"/>
  </r>
  <r>
    <x v="864"/>
    <x v="38"/>
    <x v="0"/>
    <x v="0"/>
    <x v="1"/>
    <x v="11"/>
    <x v="0"/>
    <x v="3"/>
    <x v="0"/>
    <x v="1"/>
    <n v="0.18179999999999999"/>
    <n v="0.47"/>
    <n v="0.4627"/>
    <x v="5"/>
    <x v="47"/>
    <x v="89"/>
  </r>
  <r>
    <x v="865"/>
    <x v="38"/>
    <x v="0"/>
    <x v="0"/>
    <x v="1"/>
    <x v="12"/>
    <x v="0"/>
    <x v="3"/>
    <x v="0"/>
    <x v="0"/>
    <n v="0.19700000000000001"/>
    <n v="0.38"/>
    <n v="0.49249999999999999"/>
    <x v="4"/>
    <x v="36"/>
    <x v="32"/>
  </r>
  <r>
    <x v="866"/>
    <x v="38"/>
    <x v="0"/>
    <x v="0"/>
    <x v="1"/>
    <x v="13"/>
    <x v="0"/>
    <x v="3"/>
    <x v="1"/>
    <x v="0"/>
    <n v="0.19700000000000001"/>
    <n v="0.32"/>
    <n v="0.44779999999999998"/>
    <x v="4"/>
    <x v="41"/>
    <x v="89"/>
  </r>
  <r>
    <x v="867"/>
    <x v="38"/>
    <x v="0"/>
    <x v="0"/>
    <x v="1"/>
    <x v="14"/>
    <x v="0"/>
    <x v="3"/>
    <x v="0"/>
    <x v="1"/>
    <n v="0.19700000000000001"/>
    <n v="0.37"/>
    <n v="0.41789999999999999"/>
    <x v="0"/>
    <x v="124"/>
    <x v="37"/>
  </r>
  <r>
    <x v="868"/>
    <x v="38"/>
    <x v="0"/>
    <x v="0"/>
    <x v="1"/>
    <x v="15"/>
    <x v="0"/>
    <x v="3"/>
    <x v="0"/>
    <x v="1"/>
    <n v="0.19700000000000001"/>
    <n v="0.35"/>
    <n v="0.3881"/>
    <x v="15"/>
    <x v="108"/>
    <x v="41"/>
  </r>
  <r>
    <x v="869"/>
    <x v="38"/>
    <x v="0"/>
    <x v="0"/>
    <x v="1"/>
    <x v="16"/>
    <x v="0"/>
    <x v="3"/>
    <x v="0"/>
    <x v="1"/>
    <n v="0.18179999999999999"/>
    <n v="0.35"/>
    <n v="0.52239999999999998"/>
    <x v="17"/>
    <x v="55"/>
    <x v="56"/>
  </r>
  <r>
    <x v="870"/>
    <x v="38"/>
    <x v="0"/>
    <x v="0"/>
    <x v="1"/>
    <x v="17"/>
    <x v="0"/>
    <x v="3"/>
    <x v="0"/>
    <x v="1"/>
    <n v="0.18179999999999999"/>
    <n v="0.32"/>
    <n v="0.58209999999999995"/>
    <x v="17"/>
    <x v="157"/>
    <x v="170"/>
  </r>
  <r>
    <x v="871"/>
    <x v="38"/>
    <x v="0"/>
    <x v="0"/>
    <x v="1"/>
    <x v="18"/>
    <x v="0"/>
    <x v="3"/>
    <x v="0"/>
    <x v="2"/>
    <n v="0.18179999999999999"/>
    <n v="0.32"/>
    <n v="0.3881"/>
    <x v="5"/>
    <x v="137"/>
    <x v="148"/>
  </r>
  <r>
    <x v="872"/>
    <x v="38"/>
    <x v="0"/>
    <x v="0"/>
    <x v="1"/>
    <x v="19"/>
    <x v="0"/>
    <x v="3"/>
    <x v="0"/>
    <x v="13"/>
    <n v="0.1212"/>
    <n v="0.4"/>
    <n v="0.4627"/>
    <x v="5"/>
    <x v="129"/>
    <x v="129"/>
  </r>
  <r>
    <x v="873"/>
    <x v="38"/>
    <x v="0"/>
    <x v="0"/>
    <x v="1"/>
    <x v="20"/>
    <x v="0"/>
    <x v="3"/>
    <x v="0"/>
    <x v="13"/>
    <n v="0.13639999999999999"/>
    <n v="0.4"/>
    <n v="0.32840000000000003"/>
    <x v="0"/>
    <x v="42"/>
    <x v="10"/>
  </r>
  <r>
    <x v="874"/>
    <x v="38"/>
    <x v="0"/>
    <x v="0"/>
    <x v="1"/>
    <x v="21"/>
    <x v="0"/>
    <x v="3"/>
    <x v="0"/>
    <x v="14"/>
    <n v="0.1061"/>
    <n v="0.33"/>
    <n v="0.4627"/>
    <x v="1"/>
    <x v="24"/>
    <x v="60"/>
  </r>
  <r>
    <x v="875"/>
    <x v="38"/>
    <x v="0"/>
    <x v="0"/>
    <x v="1"/>
    <x v="22"/>
    <x v="0"/>
    <x v="3"/>
    <x v="0"/>
    <x v="16"/>
    <n v="0.1061"/>
    <n v="0.33"/>
    <n v="0.35820000000000002"/>
    <x v="3"/>
    <x v="31"/>
    <x v="115"/>
  </r>
  <r>
    <x v="876"/>
    <x v="38"/>
    <x v="0"/>
    <x v="0"/>
    <x v="1"/>
    <x v="23"/>
    <x v="0"/>
    <x v="3"/>
    <x v="0"/>
    <x v="16"/>
    <n v="0.1061"/>
    <n v="0.33"/>
    <n v="0.32840000000000003"/>
    <x v="0"/>
    <x v="33"/>
    <x v="47"/>
  </r>
  <r>
    <x v="877"/>
    <x v="39"/>
    <x v="0"/>
    <x v="0"/>
    <x v="1"/>
    <x v="0"/>
    <x v="0"/>
    <x v="4"/>
    <x v="0"/>
    <x v="18"/>
    <n v="7.5800000000000006E-2"/>
    <n v="0.36"/>
    <n v="0.35820000000000002"/>
    <x v="3"/>
    <x v="19"/>
    <x v="22"/>
  </r>
  <r>
    <x v="878"/>
    <x v="39"/>
    <x v="0"/>
    <x v="0"/>
    <x v="1"/>
    <x v="1"/>
    <x v="0"/>
    <x v="4"/>
    <x v="0"/>
    <x v="18"/>
    <n v="0.1061"/>
    <n v="0.36"/>
    <n v="0.22389999999999999"/>
    <x v="3"/>
    <x v="7"/>
    <x v="85"/>
  </r>
  <r>
    <x v="879"/>
    <x v="39"/>
    <x v="0"/>
    <x v="0"/>
    <x v="1"/>
    <x v="2"/>
    <x v="0"/>
    <x v="4"/>
    <x v="0"/>
    <x v="19"/>
    <n v="7.5800000000000006E-2"/>
    <n v="0.38"/>
    <n v="0.28360000000000002"/>
    <x v="5"/>
    <x v="6"/>
    <x v="6"/>
  </r>
  <r>
    <x v="880"/>
    <x v="39"/>
    <x v="0"/>
    <x v="0"/>
    <x v="1"/>
    <x v="3"/>
    <x v="0"/>
    <x v="4"/>
    <x v="0"/>
    <x v="20"/>
    <n v="7.5800000000000006E-2"/>
    <n v="0.45"/>
    <n v="0.1343"/>
    <x v="3"/>
    <x v="6"/>
    <x v="5"/>
  </r>
  <r>
    <x v="881"/>
    <x v="39"/>
    <x v="0"/>
    <x v="0"/>
    <x v="1"/>
    <x v="5"/>
    <x v="0"/>
    <x v="4"/>
    <x v="0"/>
    <x v="20"/>
    <n v="0.1061"/>
    <n v="0.45"/>
    <n v="0.1045"/>
    <x v="3"/>
    <x v="7"/>
    <x v="85"/>
  </r>
  <r>
    <x v="882"/>
    <x v="39"/>
    <x v="0"/>
    <x v="0"/>
    <x v="1"/>
    <x v="6"/>
    <x v="0"/>
    <x v="4"/>
    <x v="0"/>
    <x v="20"/>
    <n v="0.1515"/>
    <n v="0.45"/>
    <n v="0"/>
    <x v="3"/>
    <x v="30"/>
    <x v="74"/>
  </r>
  <r>
    <x v="883"/>
    <x v="39"/>
    <x v="0"/>
    <x v="0"/>
    <x v="1"/>
    <x v="7"/>
    <x v="0"/>
    <x v="4"/>
    <x v="0"/>
    <x v="20"/>
    <n v="0.1061"/>
    <n v="0.49"/>
    <n v="0.1045"/>
    <x v="17"/>
    <x v="73"/>
    <x v="111"/>
  </r>
  <r>
    <x v="884"/>
    <x v="39"/>
    <x v="0"/>
    <x v="0"/>
    <x v="1"/>
    <x v="8"/>
    <x v="0"/>
    <x v="4"/>
    <x v="0"/>
    <x v="18"/>
    <n v="0.13639999999999999"/>
    <n v="0.42"/>
    <n v="0"/>
    <x v="5"/>
    <x v="173"/>
    <x v="184"/>
  </r>
  <r>
    <x v="885"/>
    <x v="39"/>
    <x v="0"/>
    <x v="0"/>
    <x v="1"/>
    <x v="9"/>
    <x v="0"/>
    <x v="4"/>
    <x v="0"/>
    <x v="16"/>
    <n v="0.13639999999999999"/>
    <n v="0.39"/>
    <n v="0.16420000000000001"/>
    <x v="17"/>
    <x v="138"/>
    <x v="92"/>
  </r>
  <r>
    <x v="886"/>
    <x v="39"/>
    <x v="0"/>
    <x v="0"/>
    <x v="1"/>
    <x v="10"/>
    <x v="0"/>
    <x v="4"/>
    <x v="0"/>
    <x v="14"/>
    <n v="0.18179999999999999"/>
    <n v="0.36"/>
    <n v="0"/>
    <x v="1"/>
    <x v="82"/>
    <x v="29"/>
  </r>
  <r>
    <x v="887"/>
    <x v="39"/>
    <x v="0"/>
    <x v="0"/>
    <x v="1"/>
    <x v="11"/>
    <x v="0"/>
    <x v="4"/>
    <x v="1"/>
    <x v="14"/>
    <n v="0.1515"/>
    <n v="0.43"/>
    <n v="0.16420000000000001"/>
    <x v="5"/>
    <x v="71"/>
    <x v="102"/>
  </r>
  <r>
    <x v="888"/>
    <x v="39"/>
    <x v="0"/>
    <x v="0"/>
    <x v="1"/>
    <x v="12"/>
    <x v="0"/>
    <x v="4"/>
    <x v="1"/>
    <x v="15"/>
    <n v="0.18179999999999999"/>
    <n v="0.4"/>
    <n v="0.22389999999999999"/>
    <x v="17"/>
    <x v="77"/>
    <x v="42"/>
  </r>
  <r>
    <x v="889"/>
    <x v="39"/>
    <x v="0"/>
    <x v="0"/>
    <x v="1"/>
    <x v="13"/>
    <x v="0"/>
    <x v="4"/>
    <x v="0"/>
    <x v="15"/>
    <n v="0.16669999999999999"/>
    <n v="0.4"/>
    <n v="0.25369999999999998"/>
    <x v="4"/>
    <x v="28"/>
    <x v="83"/>
  </r>
  <r>
    <x v="890"/>
    <x v="39"/>
    <x v="0"/>
    <x v="0"/>
    <x v="1"/>
    <x v="14"/>
    <x v="0"/>
    <x v="4"/>
    <x v="0"/>
    <x v="2"/>
    <n v="0.18179999999999999"/>
    <n v="0.34"/>
    <n v="0.29849999999999999"/>
    <x v="4"/>
    <x v="90"/>
    <x v="154"/>
  </r>
  <r>
    <x v="891"/>
    <x v="39"/>
    <x v="0"/>
    <x v="0"/>
    <x v="1"/>
    <x v="15"/>
    <x v="0"/>
    <x v="4"/>
    <x v="1"/>
    <x v="2"/>
    <n v="0.18179999999999999"/>
    <n v="0.34"/>
    <n v="0.28360000000000002"/>
    <x v="0"/>
    <x v="124"/>
    <x v="37"/>
  </r>
  <r>
    <x v="892"/>
    <x v="39"/>
    <x v="0"/>
    <x v="0"/>
    <x v="1"/>
    <x v="16"/>
    <x v="0"/>
    <x v="4"/>
    <x v="1"/>
    <x v="2"/>
    <n v="0.19700000000000001"/>
    <n v="0.37"/>
    <n v="0.25369999999999998"/>
    <x v="18"/>
    <x v="109"/>
    <x v="67"/>
  </r>
  <r>
    <x v="893"/>
    <x v="39"/>
    <x v="0"/>
    <x v="0"/>
    <x v="1"/>
    <x v="17"/>
    <x v="0"/>
    <x v="4"/>
    <x v="1"/>
    <x v="2"/>
    <n v="0.19700000000000001"/>
    <n v="0.34"/>
    <n v="0.25369999999999998"/>
    <x v="14"/>
    <x v="174"/>
    <x v="150"/>
  </r>
  <r>
    <x v="894"/>
    <x v="39"/>
    <x v="0"/>
    <x v="0"/>
    <x v="1"/>
    <x v="18"/>
    <x v="0"/>
    <x v="4"/>
    <x v="1"/>
    <x v="15"/>
    <n v="0.16669999999999999"/>
    <n v="0.47"/>
    <n v="0.29849999999999999"/>
    <x v="4"/>
    <x v="175"/>
    <x v="185"/>
  </r>
  <r>
    <x v="895"/>
    <x v="39"/>
    <x v="0"/>
    <x v="0"/>
    <x v="1"/>
    <x v="19"/>
    <x v="0"/>
    <x v="4"/>
    <x v="2"/>
    <x v="14"/>
    <n v="0.1212"/>
    <n v="0.86"/>
    <n v="0.25369999999999998"/>
    <x v="5"/>
    <x v="61"/>
    <x v="39"/>
  </r>
  <r>
    <x v="896"/>
    <x v="39"/>
    <x v="0"/>
    <x v="0"/>
    <x v="1"/>
    <x v="20"/>
    <x v="0"/>
    <x v="4"/>
    <x v="2"/>
    <x v="14"/>
    <n v="0.1515"/>
    <n v="0.86"/>
    <n v="0.16420000000000001"/>
    <x v="3"/>
    <x v="151"/>
    <x v="11"/>
  </r>
  <r>
    <x v="897"/>
    <x v="39"/>
    <x v="0"/>
    <x v="0"/>
    <x v="1"/>
    <x v="21"/>
    <x v="0"/>
    <x v="4"/>
    <x v="1"/>
    <x v="14"/>
    <n v="0.1515"/>
    <n v="0.86"/>
    <n v="0.16420000000000001"/>
    <x v="3"/>
    <x v="93"/>
    <x v="56"/>
  </r>
  <r>
    <x v="898"/>
    <x v="39"/>
    <x v="0"/>
    <x v="0"/>
    <x v="1"/>
    <x v="22"/>
    <x v="0"/>
    <x v="4"/>
    <x v="2"/>
    <x v="13"/>
    <n v="0.16669999999999999"/>
    <n v="0.8"/>
    <n v="0.16420000000000001"/>
    <x v="17"/>
    <x v="76"/>
    <x v="66"/>
  </r>
  <r>
    <x v="899"/>
    <x v="39"/>
    <x v="0"/>
    <x v="0"/>
    <x v="1"/>
    <x v="23"/>
    <x v="0"/>
    <x v="4"/>
    <x v="2"/>
    <x v="13"/>
    <n v="0.1515"/>
    <n v="0.8"/>
    <n v="0.19400000000000001"/>
    <x v="3"/>
    <x v="53"/>
    <x v="18"/>
  </r>
  <r>
    <x v="900"/>
    <x v="40"/>
    <x v="0"/>
    <x v="0"/>
    <x v="1"/>
    <x v="0"/>
    <x v="0"/>
    <x v="5"/>
    <x v="2"/>
    <x v="14"/>
    <n v="0.13639999999999999"/>
    <n v="0.86"/>
    <n v="0.19400000000000001"/>
    <x v="3"/>
    <x v="20"/>
    <x v="0"/>
  </r>
  <r>
    <x v="901"/>
    <x v="40"/>
    <x v="0"/>
    <x v="0"/>
    <x v="1"/>
    <x v="1"/>
    <x v="0"/>
    <x v="5"/>
    <x v="2"/>
    <x v="14"/>
    <n v="0.1515"/>
    <n v="0.8"/>
    <n v="0.1343"/>
    <x v="3"/>
    <x v="7"/>
    <x v="85"/>
  </r>
  <r>
    <x v="902"/>
    <x v="40"/>
    <x v="0"/>
    <x v="0"/>
    <x v="1"/>
    <x v="2"/>
    <x v="0"/>
    <x v="5"/>
    <x v="2"/>
    <x v="14"/>
    <n v="0.1515"/>
    <n v="0.8"/>
    <n v="0.1343"/>
    <x v="3"/>
    <x v="35"/>
    <x v="6"/>
  </r>
  <r>
    <x v="903"/>
    <x v="40"/>
    <x v="0"/>
    <x v="0"/>
    <x v="1"/>
    <x v="4"/>
    <x v="0"/>
    <x v="5"/>
    <x v="1"/>
    <x v="14"/>
    <n v="0.13639999999999999"/>
    <n v="0.59"/>
    <n v="0.22389999999999999"/>
    <x v="3"/>
    <x v="4"/>
    <x v="4"/>
  </r>
  <r>
    <x v="904"/>
    <x v="40"/>
    <x v="0"/>
    <x v="0"/>
    <x v="1"/>
    <x v="5"/>
    <x v="0"/>
    <x v="5"/>
    <x v="1"/>
    <x v="16"/>
    <n v="0.1212"/>
    <n v="0.5"/>
    <n v="0.22389999999999999"/>
    <x v="3"/>
    <x v="8"/>
    <x v="24"/>
  </r>
  <r>
    <x v="905"/>
    <x v="40"/>
    <x v="0"/>
    <x v="0"/>
    <x v="1"/>
    <x v="6"/>
    <x v="0"/>
    <x v="5"/>
    <x v="1"/>
    <x v="16"/>
    <n v="0.1212"/>
    <n v="0.54"/>
    <n v="0.28360000000000002"/>
    <x v="3"/>
    <x v="16"/>
    <x v="132"/>
  </r>
  <r>
    <x v="906"/>
    <x v="40"/>
    <x v="0"/>
    <x v="0"/>
    <x v="1"/>
    <x v="7"/>
    <x v="0"/>
    <x v="5"/>
    <x v="0"/>
    <x v="18"/>
    <n v="7.5800000000000006E-2"/>
    <n v="0.5"/>
    <n v="0.41789999999999999"/>
    <x v="3"/>
    <x v="176"/>
    <x v="111"/>
  </r>
  <r>
    <x v="907"/>
    <x v="40"/>
    <x v="0"/>
    <x v="0"/>
    <x v="1"/>
    <x v="8"/>
    <x v="0"/>
    <x v="5"/>
    <x v="0"/>
    <x v="18"/>
    <n v="7.5800000000000006E-2"/>
    <n v="0.49"/>
    <n v="0.32840000000000003"/>
    <x v="2"/>
    <x v="177"/>
    <x v="106"/>
  </r>
  <r>
    <x v="908"/>
    <x v="40"/>
    <x v="0"/>
    <x v="0"/>
    <x v="1"/>
    <x v="9"/>
    <x v="0"/>
    <x v="5"/>
    <x v="0"/>
    <x v="16"/>
    <n v="0.1061"/>
    <n v="0.42"/>
    <n v="0.35820000000000002"/>
    <x v="5"/>
    <x v="178"/>
    <x v="78"/>
  </r>
  <r>
    <x v="909"/>
    <x v="40"/>
    <x v="0"/>
    <x v="0"/>
    <x v="1"/>
    <x v="10"/>
    <x v="0"/>
    <x v="5"/>
    <x v="0"/>
    <x v="16"/>
    <n v="0.1061"/>
    <n v="0.42"/>
    <n v="0.29849999999999999"/>
    <x v="5"/>
    <x v="60"/>
    <x v="17"/>
  </r>
  <r>
    <x v="910"/>
    <x v="40"/>
    <x v="0"/>
    <x v="0"/>
    <x v="1"/>
    <x v="11"/>
    <x v="0"/>
    <x v="5"/>
    <x v="0"/>
    <x v="14"/>
    <n v="0.1212"/>
    <n v="0.39"/>
    <n v="0.35820000000000002"/>
    <x v="5"/>
    <x v="100"/>
    <x v="79"/>
  </r>
  <r>
    <x v="911"/>
    <x v="40"/>
    <x v="0"/>
    <x v="0"/>
    <x v="1"/>
    <x v="12"/>
    <x v="0"/>
    <x v="5"/>
    <x v="0"/>
    <x v="13"/>
    <n v="0.13639999999999999"/>
    <n v="0.34"/>
    <n v="0.3881"/>
    <x v="17"/>
    <x v="65"/>
    <x v="83"/>
  </r>
  <r>
    <x v="912"/>
    <x v="40"/>
    <x v="0"/>
    <x v="0"/>
    <x v="1"/>
    <x v="13"/>
    <x v="0"/>
    <x v="5"/>
    <x v="0"/>
    <x v="15"/>
    <n v="0.16669999999999999"/>
    <n v="0.28999999999999998"/>
    <n v="0.29849999999999999"/>
    <x v="0"/>
    <x v="79"/>
    <x v="69"/>
  </r>
  <r>
    <x v="913"/>
    <x v="40"/>
    <x v="0"/>
    <x v="0"/>
    <x v="1"/>
    <x v="14"/>
    <x v="0"/>
    <x v="5"/>
    <x v="0"/>
    <x v="2"/>
    <n v="0.18179999999999999"/>
    <n v="0.27"/>
    <n v="0.28360000000000002"/>
    <x v="15"/>
    <x v="76"/>
    <x v="61"/>
  </r>
  <r>
    <x v="914"/>
    <x v="40"/>
    <x v="0"/>
    <x v="0"/>
    <x v="1"/>
    <x v="15"/>
    <x v="0"/>
    <x v="5"/>
    <x v="0"/>
    <x v="2"/>
    <n v="0.19700000000000001"/>
    <n v="0.25"/>
    <n v="0.25369999999999998"/>
    <x v="3"/>
    <x v="54"/>
    <x v="89"/>
  </r>
  <r>
    <x v="915"/>
    <x v="40"/>
    <x v="0"/>
    <x v="0"/>
    <x v="1"/>
    <x v="16"/>
    <x v="0"/>
    <x v="5"/>
    <x v="0"/>
    <x v="2"/>
    <n v="0.18179999999999999"/>
    <n v="0.27"/>
    <n v="0.29849999999999999"/>
    <x v="17"/>
    <x v="83"/>
    <x v="138"/>
  </r>
  <r>
    <x v="916"/>
    <x v="40"/>
    <x v="0"/>
    <x v="0"/>
    <x v="1"/>
    <x v="17"/>
    <x v="0"/>
    <x v="5"/>
    <x v="0"/>
    <x v="15"/>
    <n v="0.18179999999999999"/>
    <n v="0.26"/>
    <n v="0.19400000000000001"/>
    <x v="15"/>
    <x v="136"/>
    <x v="186"/>
  </r>
  <r>
    <x v="917"/>
    <x v="40"/>
    <x v="0"/>
    <x v="0"/>
    <x v="1"/>
    <x v="18"/>
    <x v="0"/>
    <x v="5"/>
    <x v="0"/>
    <x v="13"/>
    <n v="0.18179999999999999"/>
    <n v="0.28000000000000003"/>
    <n v="0.1343"/>
    <x v="0"/>
    <x v="174"/>
    <x v="187"/>
  </r>
  <r>
    <x v="918"/>
    <x v="40"/>
    <x v="0"/>
    <x v="0"/>
    <x v="1"/>
    <x v="19"/>
    <x v="0"/>
    <x v="5"/>
    <x v="0"/>
    <x v="14"/>
    <n v="0.16669999999999999"/>
    <n v="0.28000000000000003"/>
    <n v="0.1045"/>
    <x v="4"/>
    <x v="59"/>
    <x v="59"/>
  </r>
  <r>
    <x v="919"/>
    <x v="40"/>
    <x v="0"/>
    <x v="0"/>
    <x v="1"/>
    <x v="20"/>
    <x v="0"/>
    <x v="5"/>
    <x v="0"/>
    <x v="14"/>
    <n v="0.18179999999999999"/>
    <n v="0.31"/>
    <n v="8.9599999999999999E-2"/>
    <x v="17"/>
    <x v="139"/>
    <x v="54"/>
  </r>
  <r>
    <x v="920"/>
    <x v="40"/>
    <x v="0"/>
    <x v="0"/>
    <x v="1"/>
    <x v="21"/>
    <x v="0"/>
    <x v="5"/>
    <x v="0"/>
    <x v="14"/>
    <n v="0.21210000000000001"/>
    <n v="0.39"/>
    <n v="0"/>
    <x v="4"/>
    <x v="14"/>
    <x v="44"/>
  </r>
  <r>
    <x v="921"/>
    <x v="40"/>
    <x v="0"/>
    <x v="0"/>
    <x v="1"/>
    <x v="22"/>
    <x v="0"/>
    <x v="5"/>
    <x v="0"/>
    <x v="16"/>
    <n v="0.19700000000000001"/>
    <n v="0.39"/>
    <n v="0"/>
    <x v="17"/>
    <x v="12"/>
    <x v="41"/>
  </r>
  <r>
    <x v="922"/>
    <x v="40"/>
    <x v="0"/>
    <x v="0"/>
    <x v="1"/>
    <x v="23"/>
    <x v="0"/>
    <x v="5"/>
    <x v="0"/>
    <x v="16"/>
    <n v="0.1515"/>
    <n v="0.42"/>
    <n v="0.1045"/>
    <x v="5"/>
    <x v="39"/>
    <x v="19"/>
  </r>
  <r>
    <x v="923"/>
    <x v="41"/>
    <x v="0"/>
    <x v="0"/>
    <x v="1"/>
    <x v="0"/>
    <x v="0"/>
    <x v="6"/>
    <x v="0"/>
    <x v="18"/>
    <n v="0.13639999999999999"/>
    <n v="0.49"/>
    <n v="0.1045"/>
    <x v="4"/>
    <x v="98"/>
    <x v="8"/>
  </r>
  <r>
    <x v="924"/>
    <x v="41"/>
    <x v="0"/>
    <x v="0"/>
    <x v="1"/>
    <x v="1"/>
    <x v="0"/>
    <x v="6"/>
    <x v="0"/>
    <x v="18"/>
    <n v="0.13639999999999999"/>
    <n v="0.54"/>
    <n v="8.9599999999999999E-2"/>
    <x v="5"/>
    <x v="8"/>
    <x v="85"/>
  </r>
  <r>
    <x v="925"/>
    <x v="41"/>
    <x v="0"/>
    <x v="0"/>
    <x v="1"/>
    <x v="2"/>
    <x v="0"/>
    <x v="6"/>
    <x v="0"/>
    <x v="18"/>
    <n v="0.13639999999999999"/>
    <n v="0.54"/>
    <n v="8.9599999999999999E-2"/>
    <x v="3"/>
    <x v="35"/>
    <x v="6"/>
  </r>
  <r>
    <x v="926"/>
    <x v="41"/>
    <x v="0"/>
    <x v="0"/>
    <x v="1"/>
    <x v="5"/>
    <x v="0"/>
    <x v="6"/>
    <x v="0"/>
    <x v="19"/>
    <n v="0.1212"/>
    <n v="0.63"/>
    <n v="8.9599999999999999E-2"/>
    <x v="3"/>
    <x v="22"/>
    <x v="48"/>
  </r>
  <r>
    <x v="927"/>
    <x v="41"/>
    <x v="0"/>
    <x v="0"/>
    <x v="1"/>
    <x v="6"/>
    <x v="0"/>
    <x v="6"/>
    <x v="0"/>
    <x v="18"/>
    <n v="0.18179999999999999"/>
    <n v="0.68"/>
    <n v="0"/>
    <x v="5"/>
    <x v="140"/>
    <x v="108"/>
  </r>
  <r>
    <x v="928"/>
    <x v="41"/>
    <x v="0"/>
    <x v="0"/>
    <x v="1"/>
    <x v="7"/>
    <x v="0"/>
    <x v="6"/>
    <x v="0"/>
    <x v="19"/>
    <n v="0.16669999999999999"/>
    <n v="0.73"/>
    <n v="0"/>
    <x v="5"/>
    <x v="26"/>
    <x v="30"/>
  </r>
  <r>
    <x v="929"/>
    <x v="41"/>
    <x v="0"/>
    <x v="0"/>
    <x v="1"/>
    <x v="8"/>
    <x v="0"/>
    <x v="6"/>
    <x v="0"/>
    <x v="18"/>
    <n v="0.1212"/>
    <n v="0.74"/>
    <n v="0.16420000000000001"/>
    <x v="17"/>
    <x v="179"/>
    <x v="182"/>
  </r>
  <r>
    <x v="930"/>
    <x v="41"/>
    <x v="0"/>
    <x v="0"/>
    <x v="1"/>
    <x v="9"/>
    <x v="0"/>
    <x v="6"/>
    <x v="0"/>
    <x v="16"/>
    <n v="0.1212"/>
    <n v="0.74"/>
    <n v="0.22389999999999999"/>
    <x v="1"/>
    <x v="126"/>
    <x v="188"/>
  </r>
  <r>
    <x v="931"/>
    <x v="41"/>
    <x v="0"/>
    <x v="0"/>
    <x v="1"/>
    <x v="10"/>
    <x v="0"/>
    <x v="6"/>
    <x v="0"/>
    <x v="14"/>
    <n v="0.13639999999999999"/>
    <n v="0.69"/>
    <n v="0.19400000000000001"/>
    <x v="2"/>
    <x v="87"/>
    <x v="40"/>
  </r>
  <r>
    <x v="932"/>
    <x v="41"/>
    <x v="0"/>
    <x v="0"/>
    <x v="1"/>
    <x v="11"/>
    <x v="0"/>
    <x v="6"/>
    <x v="0"/>
    <x v="1"/>
    <n v="0.2273"/>
    <n v="0.47"/>
    <n v="0.1343"/>
    <x v="6"/>
    <x v="15"/>
    <x v="37"/>
  </r>
  <r>
    <x v="933"/>
    <x v="41"/>
    <x v="0"/>
    <x v="0"/>
    <x v="1"/>
    <x v="12"/>
    <x v="0"/>
    <x v="6"/>
    <x v="0"/>
    <x v="1"/>
    <n v="0.2273"/>
    <n v="0.47"/>
    <n v="0.1343"/>
    <x v="18"/>
    <x v="27"/>
    <x v="68"/>
  </r>
  <r>
    <x v="934"/>
    <x v="41"/>
    <x v="0"/>
    <x v="0"/>
    <x v="1"/>
    <x v="13"/>
    <x v="0"/>
    <x v="6"/>
    <x v="0"/>
    <x v="0"/>
    <n v="0.2273"/>
    <n v="0.35"/>
    <n v="0.19400000000000001"/>
    <x v="27"/>
    <x v="121"/>
    <x v="14"/>
  </r>
  <r>
    <x v="935"/>
    <x v="41"/>
    <x v="0"/>
    <x v="0"/>
    <x v="1"/>
    <x v="14"/>
    <x v="0"/>
    <x v="6"/>
    <x v="0"/>
    <x v="11"/>
    <n v="0.28789999999999999"/>
    <n v="0.26"/>
    <n v="0.25369999999999998"/>
    <x v="26"/>
    <x v="28"/>
    <x v="11"/>
  </r>
  <r>
    <x v="936"/>
    <x v="41"/>
    <x v="0"/>
    <x v="0"/>
    <x v="1"/>
    <x v="15"/>
    <x v="0"/>
    <x v="6"/>
    <x v="0"/>
    <x v="3"/>
    <n v="0.31819999999999998"/>
    <n v="0.21"/>
    <n v="0.16420000000000001"/>
    <x v="6"/>
    <x v="133"/>
    <x v="30"/>
  </r>
  <r>
    <x v="937"/>
    <x v="41"/>
    <x v="0"/>
    <x v="0"/>
    <x v="1"/>
    <x v="16"/>
    <x v="0"/>
    <x v="6"/>
    <x v="0"/>
    <x v="11"/>
    <n v="0.28789999999999999"/>
    <n v="0.28000000000000003"/>
    <n v="0.19400000000000001"/>
    <x v="24"/>
    <x v="180"/>
    <x v="139"/>
  </r>
  <r>
    <x v="938"/>
    <x v="41"/>
    <x v="0"/>
    <x v="0"/>
    <x v="1"/>
    <x v="17"/>
    <x v="0"/>
    <x v="6"/>
    <x v="0"/>
    <x v="11"/>
    <n v="0.33329999999999999"/>
    <n v="0.24"/>
    <n v="0"/>
    <x v="25"/>
    <x v="181"/>
    <x v="189"/>
  </r>
  <r>
    <x v="939"/>
    <x v="41"/>
    <x v="0"/>
    <x v="0"/>
    <x v="1"/>
    <x v="18"/>
    <x v="0"/>
    <x v="6"/>
    <x v="0"/>
    <x v="17"/>
    <n v="0.31819999999999998"/>
    <n v="0.28000000000000003"/>
    <n v="0"/>
    <x v="14"/>
    <x v="158"/>
    <x v="177"/>
  </r>
  <r>
    <x v="940"/>
    <x v="41"/>
    <x v="0"/>
    <x v="0"/>
    <x v="1"/>
    <x v="19"/>
    <x v="0"/>
    <x v="6"/>
    <x v="0"/>
    <x v="12"/>
    <n v="0.30299999999999999"/>
    <n v="0.33"/>
    <n v="0"/>
    <x v="18"/>
    <x v="111"/>
    <x v="129"/>
  </r>
  <r>
    <x v="941"/>
    <x v="41"/>
    <x v="0"/>
    <x v="0"/>
    <x v="1"/>
    <x v="20"/>
    <x v="0"/>
    <x v="6"/>
    <x v="0"/>
    <x v="1"/>
    <n v="0.2273"/>
    <n v="0.55000000000000004"/>
    <n v="0.1343"/>
    <x v="4"/>
    <x v="124"/>
    <x v="55"/>
  </r>
  <r>
    <x v="942"/>
    <x v="41"/>
    <x v="0"/>
    <x v="0"/>
    <x v="1"/>
    <x v="21"/>
    <x v="0"/>
    <x v="6"/>
    <x v="0"/>
    <x v="2"/>
    <n v="0.21210000000000001"/>
    <n v="0.59"/>
    <n v="0.1343"/>
    <x v="5"/>
    <x v="24"/>
    <x v="105"/>
  </r>
  <r>
    <x v="943"/>
    <x v="41"/>
    <x v="0"/>
    <x v="0"/>
    <x v="1"/>
    <x v="22"/>
    <x v="0"/>
    <x v="6"/>
    <x v="0"/>
    <x v="2"/>
    <n v="0.2273"/>
    <n v="0.64"/>
    <n v="8.9599999999999999E-2"/>
    <x v="4"/>
    <x v="40"/>
    <x v="74"/>
  </r>
  <r>
    <x v="944"/>
    <x v="41"/>
    <x v="0"/>
    <x v="0"/>
    <x v="1"/>
    <x v="23"/>
    <x v="0"/>
    <x v="6"/>
    <x v="0"/>
    <x v="15"/>
    <n v="0.2424"/>
    <n v="0.69"/>
    <n v="0"/>
    <x v="2"/>
    <x v="41"/>
    <x v="26"/>
  </r>
  <r>
    <x v="945"/>
    <x v="42"/>
    <x v="0"/>
    <x v="0"/>
    <x v="1"/>
    <x v="0"/>
    <x v="0"/>
    <x v="0"/>
    <x v="0"/>
    <x v="13"/>
    <n v="0.19700000000000001"/>
    <n v="0.69"/>
    <n v="8.9599999999999999E-2"/>
    <x v="0"/>
    <x v="2"/>
    <x v="33"/>
  </r>
  <r>
    <x v="946"/>
    <x v="42"/>
    <x v="0"/>
    <x v="0"/>
    <x v="1"/>
    <x v="1"/>
    <x v="0"/>
    <x v="0"/>
    <x v="0"/>
    <x v="14"/>
    <n v="0.21210000000000001"/>
    <n v="0.86"/>
    <n v="0"/>
    <x v="4"/>
    <x v="97"/>
    <x v="108"/>
  </r>
  <r>
    <x v="947"/>
    <x v="42"/>
    <x v="0"/>
    <x v="0"/>
    <x v="1"/>
    <x v="2"/>
    <x v="0"/>
    <x v="0"/>
    <x v="0"/>
    <x v="14"/>
    <n v="0.21210000000000001"/>
    <n v="0.8"/>
    <n v="0"/>
    <x v="4"/>
    <x v="0"/>
    <x v="93"/>
  </r>
  <r>
    <x v="948"/>
    <x v="42"/>
    <x v="0"/>
    <x v="0"/>
    <x v="1"/>
    <x v="3"/>
    <x v="0"/>
    <x v="0"/>
    <x v="0"/>
    <x v="16"/>
    <n v="0.19700000000000001"/>
    <n v="0.8"/>
    <n v="0"/>
    <x v="0"/>
    <x v="7"/>
    <x v="98"/>
  </r>
  <r>
    <x v="949"/>
    <x v="42"/>
    <x v="0"/>
    <x v="0"/>
    <x v="1"/>
    <x v="4"/>
    <x v="0"/>
    <x v="0"/>
    <x v="0"/>
    <x v="16"/>
    <n v="0.16669999999999999"/>
    <n v="0.74"/>
    <n v="8.9599999999999999E-2"/>
    <x v="3"/>
    <x v="22"/>
    <x v="48"/>
  </r>
  <r>
    <x v="950"/>
    <x v="42"/>
    <x v="0"/>
    <x v="0"/>
    <x v="1"/>
    <x v="5"/>
    <x v="0"/>
    <x v="0"/>
    <x v="0"/>
    <x v="16"/>
    <n v="0.16669999999999999"/>
    <n v="0.74"/>
    <n v="8.9599999999999999E-2"/>
    <x v="3"/>
    <x v="4"/>
    <x v="4"/>
  </r>
  <r>
    <x v="951"/>
    <x v="42"/>
    <x v="0"/>
    <x v="0"/>
    <x v="1"/>
    <x v="6"/>
    <x v="0"/>
    <x v="0"/>
    <x v="0"/>
    <x v="16"/>
    <n v="0.13639999999999999"/>
    <n v="0.93"/>
    <n v="0.19400000000000001"/>
    <x v="5"/>
    <x v="4"/>
    <x v="5"/>
  </r>
  <r>
    <x v="952"/>
    <x v="42"/>
    <x v="0"/>
    <x v="0"/>
    <x v="1"/>
    <x v="7"/>
    <x v="0"/>
    <x v="0"/>
    <x v="0"/>
    <x v="16"/>
    <n v="0.1515"/>
    <n v="0.8"/>
    <n v="0.1045"/>
    <x v="4"/>
    <x v="33"/>
    <x v="62"/>
  </r>
  <r>
    <x v="953"/>
    <x v="42"/>
    <x v="0"/>
    <x v="0"/>
    <x v="1"/>
    <x v="8"/>
    <x v="0"/>
    <x v="0"/>
    <x v="0"/>
    <x v="14"/>
    <n v="0.1515"/>
    <n v="0.86"/>
    <n v="0.1343"/>
    <x v="4"/>
    <x v="95"/>
    <x v="33"/>
  </r>
  <r>
    <x v="954"/>
    <x v="42"/>
    <x v="0"/>
    <x v="0"/>
    <x v="1"/>
    <x v="9"/>
    <x v="0"/>
    <x v="0"/>
    <x v="0"/>
    <x v="13"/>
    <n v="0.18179999999999999"/>
    <n v="0.64"/>
    <n v="0.1343"/>
    <x v="2"/>
    <x v="101"/>
    <x v="74"/>
  </r>
  <r>
    <x v="955"/>
    <x v="42"/>
    <x v="0"/>
    <x v="0"/>
    <x v="1"/>
    <x v="10"/>
    <x v="0"/>
    <x v="0"/>
    <x v="0"/>
    <x v="1"/>
    <n v="0.21210000000000001"/>
    <n v="0.41"/>
    <n v="0.25369999999999998"/>
    <x v="23"/>
    <x v="13"/>
    <x v="11"/>
  </r>
  <r>
    <x v="956"/>
    <x v="42"/>
    <x v="0"/>
    <x v="0"/>
    <x v="1"/>
    <x v="11"/>
    <x v="0"/>
    <x v="0"/>
    <x v="0"/>
    <x v="11"/>
    <n v="0.2727"/>
    <n v="0.28000000000000003"/>
    <n v="0.32840000000000003"/>
    <x v="36"/>
    <x v="151"/>
    <x v="181"/>
  </r>
  <r>
    <x v="957"/>
    <x v="42"/>
    <x v="0"/>
    <x v="0"/>
    <x v="1"/>
    <x v="12"/>
    <x v="0"/>
    <x v="0"/>
    <x v="0"/>
    <x v="11"/>
    <n v="0.2727"/>
    <n v="0.39"/>
    <n v="0.4627"/>
    <x v="37"/>
    <x v="139"/>
    <x v="151"/>
  </r>
  <r>
    <x v="958"/>
    <x v="42"/>
    <x v="0"/>
    <x v="0"/>
    <x v="1"/>
    <x v="13"/>
    <x v="0"/>
    <x v="0"/>
    <x v="0"/>
    <x v="11"/>
    <n v="0.2727"/>
    <n v="0.39"/>
    <n v="0.41789999999999999"/>
    <x v="38"/>
    <x v="145"/>
    <x v="169"/>
  </r>
  <r>
    <x v="959"/>
    <x v="42"/>
    <x v="0"/>
    <x v="0"/>
    <x v="1"/>
    <x v="14"/>
    <x v="0"/>
    <x v="0"/>
    <x v="0"/>
    <x v="10"/>
    <n v="0.31819999999999998"/>
    <n v="0.31"/>
    <n v="0.28360000000000002"/>
    <x v="36"/>
    <x v="92"/>
    <x v="151"/>
  </r>
  <r>
    <x v="960"/>
    <x v="42"/>
    <x v="0"/>
    <x v="0"/>
    <x v="1"/>
    <x v="15"/>
    <x v="0"/>
    <x v="0"/>
    <x v="0"/>
    <x v="10"/>
    <n v="0.30299999999999999"/>
    <n v="0.28999999999999998"/>
    <n v="0.41789999999999999"/>
    <x v="9"/>
    <x v="69"/>
    <x v="177"/>
  </r>
  <r>
    <x v="961"/>
    <x v="42"/>
    <x v="0"/>
    <x v="0"/>
    <x v="1"/>
    <x v="16"/>
    <x v="0"/>
    <x v="0"/>
    <x v="0"/>
    <x v="10"/>
    <n v="0.30299999999999999"/>
    <n v="0.28999999999999998"/>
    <n v="0.41789999999999999"/>
    <x v="35"/>
    <x v="145"/>
    <x v="190"/>
  </r>
  <r>
    <x v="962"/>
    <x v="42"/>
    <x v="0"/>
    <x v="0"/>
    <x v="1"/>
    <x v="17"/>
    <x v="0"/>
    <x v="0"/>
    <x v="0"/>
    <x v="3"/>
    <n v="0.28789999999999999"/>
    <n v="0.31"/>
    <n v="0.52239999999999998"/>
    <x v="31"/>
    <x v="182"/>
    <x v="120"/>
  </r>
  <r>
    <x v="963"/>
    <x v="42"/>
    <x v="0"/>
    <x v="0"/>
    <x v="1"/>
    <x v="18"/>
    <x v="0"/>
    <x v="0"/>
    <x v="0"/>
    <x v="17"/>
    <n v="0.2576"/>
    <n v="0.38"/>
    <n v="0.32840000000000003"/>
    <x v="17"/>
    <x v="91"/>
    <x v="37"/>
  </r>
  <r>
    <x v="964"/>
    <x v="42"/>
    <x v="0"/>
    <x v="0"/>
    <x v="1"/>
    <x v="19"/>
    <x v="0"/>
    <x v="0"/>
    <x v="0"/>
    <x v="17"/>
    <n v="0.2727"/>
    <n v="0.38"/>
    <n v="0.16420000000000001"/>
    <x v="4"/>
    <x v="87"/>
    <x v="102"/>
  </r>
  <r>
    <x v="965"/>
    <x v="42"/>
    <x v="0"/>
    <x v="0"/>
    <x v="1"/>
    <x v="20"/>
    <x v="0"/>
    <x v="0"/>
    <x v="0"/>
    <x v="12"/>
    <n v="0.2576"/>
    <n v="0.41"/>
    <n v="0.22389999999999999"/>
    <x v="5"/>
    <x v="87"/>
    <x v="1"/>
  </r>
  <r>
    <x v="966"/>
    <x v="42"/>
    <x v="0"/>
    <x v="0"/>
    <x v="1"/>
    <x v="21"/>
    <x v="0"/>
    <x v="0"/>
    <x v="0"/>
    <x v="12"/>
    <n v="0.30299999999999999"/>
    <n v="0.41"/>
    <n v="0"/>
    <x v="14"/>
    <x v="76"/>
    <x v="41"/>
  </r>
  <r>
    <x v="967"/>
    <x v="42"/>
    <x v="0"/>
    <x v="0"/>
    <x v="1"/>
    <x v="22"/>
    <x v="0"/>
    <x v="0"/>
    <x v="0"/>
    <x v="0"/>
    <n v="0.2576"/>
    <n v="0.44"/>
    <n v="8.9599999999999999E-2"/>
    <x v="15"/>
    <x v="87"/>
    <x v="79"/>
  </r>
  <r>
    <x v="968"/>
    <x v="42"/>
    <x v="0"/>
    <x v="0"/>
    <x v="1"/>
    <x v="23"/>
    <x v="0"/>
    <x v="0"/>
    <x v="0"/>
    <x v="1"/>
    <n v="0.2273"/>
    <n v="0.51"/>
    <n v="0.1343"/>
    <x v="5"/>
    <x v="17"/>
    <x v="2"/>
  </r>
  <r>
    <x v="969"/>
    <x v="43"/>
    <x v="0"/>
    <x v="0"/>
    <x v="1"/>
    <x v="0"/>
    <x v="0"/>
    <x v="1"/>
    <x v="0"/>
    <x v="2"/>
    <n v="0.2273"/>
    <n v="0.64"/>
    <n v="0.1045"/>
    <x v="2"/>
    <x v="60"/>
    <x v="21"/>
  </r>
  <r>
    <x v="970"/>
    <x v="43"/>
    <x v="0"/>
    <x v="0"/>
    <x v="1"/>
    <x v="1"/>
    <x v="0"/>
    <x v="1"/>
    <x v="0"/>
    <x v="2"/>
    <n v="0.2273"/>
    <n v="0.59"/>
    <n v="8.9599999999999999E-2"/>
    <x v="5"/>
    <x v="140"/>
    <x v="108"/>
  </r>
  <r>
    <x v="971"/>
    <x v="43"/>
    <x v="0"/>
    <x v="0"/>
    <x v="1"/>
    <x v="2"/>
    <x v="0"/>
    <x v="1"/>
    <x v="1"/>
    <x v="2"/>
    <n v="0.2273"/>
    <n v="0.75"/>
    <n v="8.9599999999999999E-2"/>
    <x v="5"/>
    <x v="23"/>
    <x v="25"/>
  </r>
  <r>
    <x v="972"/>
    <x v="43"/>
    <x v="0"/>
    <x v="0"/>
    <x v="1"/>
    <x v="3"/>
    <x v="0"/>
    <x v="1"/>
    <x v="1"/>
    <x v="2"/>
    <n v="0.2273"/>
    <n v="0.69"/>
    <n v="0.1045"/>
    <x v="17"/>
    <x v="21"/>
    <x v="47"/>
  </r>
  <r>
    <x v="973"/>
    <x v="43"/>
    <x v="0"/>
    <x v="0"/>
    <x v="1"/>
    <x v="4"/>
    <x v="0"/>
    <x v="1"/>
    <x v="1"/>
    <x v="2"/>
    <n v="0.21210000000000001"/>
    <n v="0.69"/>
    <n v="0.16420000000000001"/>
    <x v="3"/>
    <x v="6"/>
    <x v="5"/>
  </r>
  <r>
    <x v="974"/>
    <x v="43"/>
    <x v="0"/>
    <x v="0"/>
    <x v="1"/>
    <x v="6"/>
    <x v="0"/>
    <x v="1"/>
    <x v="1"/>
    <x v="2"/>
    <n v="0.21210000000000001"/>
    <n v="0.69"/>
    <n v="0.1343"/>
    <x v="4"/>
    <x v="35"/>
    <x v="36"/>
  </r>
  <r>
    <x v="975"/>
    <x v="43"/>
    <x v="0"/>
    <x v="0"/>
    <x v="1"/>
    <x v="7"/>
    <x v="0"/>
    <x v="1"/>
    <x v="1"/>
    <x v="1"/>
    <n v="0.2727"/>
    <n v="0.55000000000000004"/>
    <n v="0"/>
    <x v="3"/>
    <x v="35"/>
    <x v="6"/>
  </r>
  <r>
    <x v="976"/>
    <x v="43"/>
    <x v="0"/>
    <x v="0"/>
    <x v="1"/>
    <x v="8"/>
    <x v="0"/>
    <x v="1"/>
    <x v="1"/>
    <x v="1"/>
    <n v="0.2273"/>
    <n v="0.64"/>
    <n v="0.19400000000000001"/>
    <x v="5"/>
    <x v="48"/>
    <x v="47"/>
  </r>
  <r>
    <x v="977"/>
    <x v="43"/>
    <x v="0"/>
    <x v="0"/>
    <x v="1"/>
    <x v="9"/>
    <x v="0"/>
    <x v="1"/>
    <x v="1"/>
    <x v="0"/>
    <n v="0.2273"/>
    <n v="0.6"/>
    <n v="0.22389999999999999"/>
    <x v="6"/>
    <x v="96"/>
    <x v="105"/>
  </r>
  <r>
    <x v="978"/>
    <x v="43"/>
    <x v="0"/>
    <x v="0"/>
    <x v="1"/>
    <x v="10"/>
    <x v="0"/>
    <x v="1"/>
    <x v="0"/>
    <x v="11"/>
    <n v="0.2727"/>
    <n v="0.45"/>
    <n v="0.32840000000000003"/>
    <x v="21"/>
    <x v="132"/>
    <x v="136"/>
  </r>
  <r>
    <x v="979"/>
    <x v="43"/>
    <x v="0"/>
    <x v="0"/>
    <x v="1"/>
    <x v="11"/>
    <x v="0"/>
    <x v="1"/>
    <x v="0"/>
    <x v="3"/>
    <n v="0.28789999999999999"/>
    <n v="0.39"/>
    <n v="0.44779999999999998"/>
    <x v="7"/>
    <x v="132"/>
    <x v="59"/>
  </r>
  <r>
    <x v="980"/>
    <x v="43"/>
    <x v="0"/>
    <x v="0"/>
    <x v="1"/>
    <x v="12"/>
    <x v="0"/>
    <x v="1"/>
    <x v="0"/>
    <x v="5"/>
    <n v="0.31819999999999998"/>
    <n v="0.32"/>
    <n v="0.4627"/>
    <x v="39"/>
    <x v="111"/>
    <x v="148"/>
  </r>
  <r>
    <x v="981"/>
    <x v="43"/>
    <x v="0"/>
    <x v="0"/>
    <x v="1"/>
    <x v="13"/>
    <x v="0"/>
    <x v="1"/>
    <x v="0"/>
    <x v="4"/>
    <n v="0.39389999999999997"/>
    <n v="0.28999999999999998"/>
    <n v="0.35820000000000002"/>
    <x v="40"/>
    <x v="50"/>
    <x v="38"/>
  </r>
  <r>
    <x v="982"/>
    <x v="43"/>
    <x v="0"/>
    <x v="0"/>
    <x v="1"/>
    <x v="14"/>
    <x v="0"/>
    <x v="1"/>
    <x v="1"/>
    <x v="9"/>
    <n v="0.40910000000000002"/>
    <n v="0.3"/>
    <n v="0.41789999999999999"/>
    <x v="41"/>
    <x v="59"/>
    <x v="143"/>
  </r>
  <r>
    <x v="983"/>
    <x v="43"/>
    <x v="0"/>
    <x v="0"/>
    <x v="1"/>
    <x v="15"/>
    <x v="0"/>
    <x v="1"/>
    <x v="1"/>
    <x v="9"/>
    <n v="0.40910000000000002"/>
    <n v="0.3"/>
    <n v="0.29849999999999999"/>
    <x v="11"/>
    <x v="183"/>
    <x v="123"/>
  </r>
  <r>
    <x v="984"/>
    <x v="43"/>
    <x v="0"/>
    <x v="0"/>
    <x v="1"/>
    <x v="16"/>
    <x v="0"/>
    <x v="1"/>
    <x v="1"/>
    <x v="6"/>
    <n v="0.42420000000000002"/>
    <n v="0.28000000000000003"/>
    <n v="0.32840000000000003"/>
    <x v="32"/>
    <x v="184"/>
    <x v="87"/>
  </r>
  <r>
    <x v="985"/>
    <x v="43"/>
    <x v="0"/>
    <x v="0"/>
    <x v="1"/>
    <x v="17"/>
    <x v="0"/>
    <x v="1"/>
    <x v="0"/>
    <x v="6"/>
    <n v="0.42420000000000002"/>
    <n v="0.28000000000000003"/>
    <n v="0.32840000000000003"/>
    <x v="36"/>
    <x v="73"/>
    <x v="139"/>
  </r>
  <r>
    <x v="986"/>
    <x v="43"/>
    <x v="0"/>
    <x v="0"/>
    <x v="1"/>
    <x v="18"/>
    <x v="0"/>
    <x v="1"/>
    <x v="0"/>
    <x v="9"/>
    <n v="0.40910000000000002"/>
    <n v="0.32"/>
    <n v="0.29849999999999999"/>
    <x v="26"/>
    <x v="78"/>
    <x v="76"/>
  </r>
  <r>
    <x v="987"/>
    <x v="43"/>
    <x v="0"/>
    <x v="0"/>
    <x v="1"/>
    <x v="19"/>
    <x v="0"/>
    <x v="1"/>
    <x v="0"/>
    <x v="9"/>
    <n v="0.40910000000000002"/>
    <n v="0.35"/>
    <n v="0.28360000000000002"/>
    <x v="16"/>
    <x v="54"/>
    <x v="42"/>
  </r>
  <r>
    <x v="988"/>
    <x v="43"/>
    <x v="0"/>
    <x v="0"/>
    <x v="1"/>
    <x v="20"/>
    <x v="0"/>
    <x v="1"/>
    <x v="0"/>
    <x v="9"/>
    <n v="0.40910000000000002"/>
    <n v="0.35"/>
    <n v="0.32840000000000003"/>
    <x v="13"/>
    <x v="1"/>
    <x v="105"/>
  </r>
  <r>
    <x v="989"/>
    <x v="43"/>
    <x v="0"/>
    <x v="0"/>
    <x v="1"/>
    <x v="21"/>
    <x v="0"/>
    <x v="1"/>
    <x v="0"/>
    <x v="9"/>
    <n v="0.40910000000000002"/>
    <n v="0.35"/>
    <n v="0.35820000000000002"/>
    <x v="15"/>
    <x v="108"/>
    <x v="41"/>
  </r>
  <r>
    <x v="990"/>
    <x v="43"/>
    <x v="0"/>
    <x v="0"/>
    <x v="1"/>
    <x v="22"/>
    <x v="0"/>
    <x v="1"/>
    <x v="0"/>
    <x v="9"/>
    <n v="0.40910000000000002"/>
    <n v="0.35"/>
    <n v="0.29849999999999999"/>
    <x v="2"/>
    <x v="17"/>
    <x v="9"/>
  </r>
  <r>
    <x v="991"/>
    <x v="43"/>
    <x v="0"/>
    <x v="0"/>
    <x v="1"/>
    <x v="23"/>
    <x v="0"/>
    <x v="1"/>
    <x v="0"/>
    <x v="9"/>
    <n v="0.40910000000000002"/>
    <n v="0.35"/>
    <n v="0.35820000000000002"/>
    <x v="0"/>
    <x v="2"/>
    <x v="33"/>
  </r>
  <r>
    <x v="992"/>
    <x v="44"/>
    <x v="0"/>
    <x v="0"/>
    <x v="1"/>
    <x v="0"/>
    <x v="0"/>
    <x v="2"/>
    <x v="0"/>
    <x v="4"/>
    <n v="0.39389999999999997"/>
    <n v="0.37"/>
    <n v="0.35820000000000002"/>
    <x v="0"/>
    <x v="21"/>
    <x v="62"/>
  </r>
  <r>
    <x v="993"/>
    <x v="44"/>
    <x v="0"/>
    <x v="0"/>
    <x v="1"/>
    <x v="1"/>
    <x v="0"/>
    <x v="2"/>
    <x v="0"/>
    <x v="4"/>
    <n v="0.39389999999999997"/>
    <n v="0.37"/>
    <n v="0.35820000000000002"/>
    <x v="5"/>
    <x v="8"/>
    <x v="85"/>
  </r>
  <r>
    <x v="994"/>
    <x v="44"/>
    <x v="0"/>
    <x v="0"/>
    <x v="1"/>
    <x v="2"/>
    <x v="0"/>
    <x v="2"/>
    <x v="0"/>
    <x v="5"/>
    <n v="0.33329999999999999"/>
    <n v="0.4"/>
    <n v="0.29849999999999999"/>
    <x v="3"/>
    <x v="6"/>
    <x v="5"/>
  </r>
  <r>
    <x v="995"/>
    <x v="44"/>
    <x v="0"/>
    <x v="0"/>
    <x v="1"/>
    <x v="3"/>
    <x v="0"/>
    <x v="2"/>
    <x v="0"/>
    <x v="10"/>
    <n v="0.31819999999999998"/>
    <n v="0.46"/>
    <n v="0.22389999999999999"/>
    <x v="5"/>
    <x v="4"/>
    <x v="5"/>
  </r>
  <r>
    <x v="996"/>
    <x v="44"/>
    <x v="0"/>
    <x v="0"/>
    <x v="1"/>
    <x v="4"/>
    <x v="0"/>
    <x v="2"/>
    <x v="0"/>
    <x v="3"/>
    <n v="0.30299999999999999"/>
    <n v="0.53"/>
    <n v="0.28360000000000002"/>
    <x v="3"/>
    <x v="6"/>
    <x v="5"/>
  </r>
  <r>
    <x v="997"/>
    <x v="44"/>
    <x v="0"/>
    <x v="0"/>
    <x v="1"/>
    <x v="5"/>
    <x v="0"/>
    <x v="2"/>
    <x v="0"/>
    <x v="3"/>
    <n v="0.30299999999999999"/>
    <n v="0.53"/>
    <n v="0.28360000000000002"/>
    <x v="3"/>
    <x v="35"/>
    <x v="6"/>
  </r>
  <r>
    <x v="998"/>
    <x v="44"/>
    <x v="0"/>
    <x v="0"/>
    <x v="1"/>
    <x v="6"/>
    <x v="0"/>
    <x v="2"/>
    <x v="0"/>
    <x v="10"/>
    <n v="0.30299999999999999"/>
    <n v="0.46"/>
    <n v="0.29849999999999999"/>
    <x v="5"/>
    <x v="18"/>
    <x v="132"/>
  </r>
  <r>
    <x v="999"/>
    <x v="44"/>
    <x v="0"/>
    <x v="0"/>
    <x v="1"/>
    <x v="7"/>
    <x v="0"/>
    <x v="2"/>
    <x v="0"/>
    <x v="10"/>
    <n v="0.30299999999999999"/>
    <n v="0.46"/>
    <n v="0.29849999999999999"/>
    <x v="4"/>
    <x v="185"/>
    <x v="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x v="0"/>
    <x v="0"/>
    <x v="0"/>
    <x v="0"/>
    <x v="0"/>
    <x v="0"/>
    <x v="0"/>
    <n v="0.81"/>
    <n v="0"/>
    <x v="0"/>
    <x v="0"/>
    <x v="0"/>
  </r>
  <r>
    <n v="2"/>
    <x v="0"/>
    <x v="0"/>
    <n v="0"/>
    <x v="0"/>
    <x v="1"/>
    <x v="0"/>
    <x v="0"/>
    <x v="0"/>
    <x v="1"/>
    <x v="1"/>
    <n v="0.8"/>
    <n v="0"/>
    <x v="1"/>
    <x v="1"/>
    <x v="1"/>
  </r>
  <r>
    <n v="3"/>
    <x v="0"/>
    <x v="0"/>
    <n v="0"/>
    <x v="0"/>
    <x v="2"/>
    <x v="0"/>
    <x v="0"/>
    <x v="0"/>
    <x v="1"/>
    <x v="1"/>
    <n v="0.8"/>
    <n v="0"/>
    <x v="2"/>
    <x v="2"/>
    <x v="2"/>
  </r>
  <r>
    <n v="4"/>
    <x v="0"/>
    <x v="0"/>
    <n v="0"/>
    <x v="0"/>
    <x v="3"/>
    <x v="0"/>
    <x v="0"/>
    <x v="0"/>
    <x v="0"/>
    <x v="0"/>
    <n v="0.75"/>
    <n v="0"/>
    <x v="0"/>
    <x v="3"/>
    <x v="3"/>
  </r>
  <r>
    <n v="5"/>
    <x v="0"/>
    <x v="0"/>
    <n v="0"/>
    <x v="0"/>
    <x v="4"/>
    <x v="0"/>
    <x v="0"/>
    <x v="0"/>
    <x v="0"/>
    <x v="0"/>
    <n v="0.75"/>
    <n v="0"/>
    <x v="3"/>
    <x v="4"/>
    <x v="4"/>
  </r>
  <r>
    <n v="6"/>
    <x v="0"/>
    <x v="0"/>
    <n v="0"/>
    <x v="0"/>
    <x v="5"/>
    <x v="0"/>
    <x v="0"/>
    <x v="1"/>
    <x v="0"/>
    <x v="2"/>
    <n v="0.75"/>
    <n v="8.9599999999999999E-2"/>
    <x v="3"/>
    <x v="4"/>
    <x v="4"/>
  </r>
  <r>
    <n v="7"/>
    <x v="0"/>
    <x v="0"/>
    <n v="0"/>
    <x v="0"/>
    <x v="6"/>
    <x v="0"/>
    <x v="0"/>
    <x v="0"/>
    <x v="1"/>
    <x v="1"/>
    <n v="0.8"/>
    <n v="0"/>
    <x v="4"/>
    <x v="5"/>
    <x v="5"/>
  </r>
  <r>
    <n v="8"/>
    <x v="0"/>
    <x v="0"/>
    <n v="0"/>
    <x v="0"/>
    <x v="7"/>
    <x v="0"/>
    <x v="0"/>
    <x v="0"/>
    <x v="2"/>
    <x v="2"/>
    <n v="0.86"/>
    <n v="0"/>
    <x v="5"/>
    <x v="6"/>
    <x v="6"/>
  </r>
  <r>
    <n v="9"/>
    <x v="0"/>
    <x v="0"/>
    <n v="0"/>
    <x v="0"/>
    <x v="8"/>
    <x v="0"/>
    <x v="0"/>
    <x v="0"/>
    <x v="0"/>
    <x v="3"/>
    <n v="0.75"/>
    <n v="0"/>
    <x v="5"/>
    <x v="7"/>
    <x v="7"/>
  </r>
  <r>
    <n v="10"/>
    <x v="0"/>
    <x v="0"/>
    <n v="0"/>
    <x v="0"/>
    <x v="9"/>
    <x v="0"/>
    <x v="0"/>
    <x v="0"/>
    <x v="3"/>
    <x v="4"/>
    <n v="0.76"/>
    <n v="0"/>
    <x v="1"/>
    <x v="8"/>
    <x v="8"/>
  </r>
  <r>
    <n v="11"/>
    <x v="0"/>
    <x v="0"/>
    <n v="0"/>
    <x v="0"/>
    <x v="10"/>
    <x v="0"/>
    <x v="0"/>
    <x v="0"/>
    <x v="4"/>
    <x v="5"/>
    <n v="0.76"/>
    <n v="0.25369999999999998"/>
    <x v="6"/>
    <x v="9"/>
    <x v="9"/>
  </r>
  <r>
    <n v="12"/>
    <x v="0"/>
    <x v="0"/>
    <n v="0"/>
    <x v="0"/>
    <x v="11"/>
    <x v="0"/>
    <x v="0"/>
    <x v="0"/>
    <x v="5"/>
    <x v="6"/>
    <n v="0.81"/>
    <n v="0.28360000000000002"/>
    <x v="7"/>
    <x v="10"/>
    <x v="10"/>
  </r>
  <r>
    <n v="13"/>
    <x v="0"/>
    <x v="0"/>
    <n v="0"/>
    <x v="0"/>
    <x v="12"/>
    <x v="0"/>
    <x v="0"/>
    <x v="0"/>
    <x v="6"/>
    <x v="7"/>
    <n v="0.77"/>
    <n v="0.28360000000000002"/>
    <x v="8"/>
    <x v="11"/>
    <x v="11"/>
  </r>
  <r>
    <n v="14"/>
    <x v="0"/>
    <x v="0"/>
    <n v="0"/>
    <x v="0"/>
    <x v="13"/>
    <x v="0"/>
    <x v="0"/>
    <x v="1"/>
    <x v="7"/>
    <x v="8"/>
    <n v="0.72"/>
    <n v="0.29849999999999999"/>
    <x v="9"/>
    <x v="12"/>
    <x v="12"/>
  </r>
  <r>
    <n v="15"/>
    <x v="0"/>
    <x v="0"/>
    <n v="0"/>
    <x v="0"/>
    <x v="14"/>
    <x v="0"/>
    <x v="0"/>
    <x v="1"/>
    <x v="7"/>
    <x v="8"/>
    <n v="0.72"/>
    <n v="0.28360000000000002"/>
    <x v="10"/>
    <x v="13"/>
    <x v="13"/>
  </r>
  <r>
    <n v="16"/>
    <x v="0"/>
    <x v="0"/>
    <n v="0"/>
    <x v="0"/>
    <x v="15"/>
    <x v="0"/>
    <x v="0"/>
    <x v="1"/>
    <x v="8"/>
    <x v="9"/>
    <n v="0.77"/>
    <n v="0.29849999999999999"/>
    <x v="11"/>
    <x v="14"/>
    <x v="14"/>
  </r>
  <r>
    <n v="17"/>
    <x v="0"/>
    <x v="0"/>
    <n v="0"/>
    <x v="0"/>
    <x v="16"/>
    <x v="0"/>
    <x v="0"/>
    <x v="1"/>
    <x v="6"/>
    <x v="7"/>
    <n v="0.82"/>
    <n v="0.29849999999999999"/>
    <x v="12"/>
    <x v="15"/>
    <x v="15"/>
  </r>
  <r>
    <n v="18"/>
    <x v="0"/>
    <x v="0"/>
    <n v="0"/>
    <x v="0"/>
    <x v="17"/>
    <x v="0"/>
    <x v="0"/>
    <x v="1"/>
    <x v="8"/>
    <x v="3"/>
    <n v="0.82"/>
    <n v="0.28360000000000002"/>
    <x v="13"/>
    <x v="15"/>
    <x v="16"/>
  </r>
  <r>
    <n v="19"/>
    <x v="0"/>
    <x v="0"/>
    <n v="0"/>
    <x v="0"/>
    <x v="18"/>
    <x v="0"/>
    <x v="0"/>
    <x v="2"/>
    <x v="6"/>
    <x v="7"/>
    <n v="0.88"/>
    <n v="0.25369999999999998"/>
    <x v="14"/>
    <x v="16"/>
    <x v="17"/>
  </r>
  <r>
    <n v="20"/>
    <x v="0"/>
    <x v="0"/>
    <n v="0"/>
    <x v="0"/>
    <x v="19"/>
    <x v="0"/>
    <x v="0"/>
    <x v="2"/>
    <x v="6"/>
    <x v="7"/>
    <n v="0.88"/>
    <n v="0.25369999999999998"/>
    <x v="15"/>
    <x v="17"/>
    <x v="18"/>
  </r>
  <r>
    <n v="21"/>
    <x v="0"/>
    <x v="0"/>
    <n v="0"/>
    <x v="0"/>
    <x v="20"/>
    <x v="0"/>
    <x v="0"/>
    <x v="1"/>
    <x v="9"/>
    <x v="10"/>
    <n v="0.87"/>
    <n v="0.25369999999999998"/>
    <x v="16"/>
    <x v="18"/>
    <x v="9"/>
  </r>
  <r>
    <n v="22"/>
    <x v="0"/>
    <x v="0"/>
    <n v="0"/>
    <x v="0"/>
    <x v="21"/>
    <x v="0"/>
    <x v="0"/>
    <x v="1"/>
    <x v="9"/>
    <x v="10"/>
    <n v="0.87"/>
    <n v="0.19400000000000001"/>
    <x v="0"/>
    <x v="17"/>
    <x v="19"/>
  </r>
  <r>
    <n v="23"/>
    <x v="0"/>
    <x v="0"/>
    <n v="0"/>
    <x v="0"/>
    <x v="22"/>
    <x v="0"/>
    <x v="0"/>
    <x v="1"/>
    <x v="9"/>
    <x v="10"/>
    <n v="0.94"/>
    <n v="0.22389999999999999"/>
    <x v="16"/>
    <x v="19"/>
    <x v="20"/>
  </r>
  <r>
    <n v="24"/>
    <x v="0"/>
    <x v="0"/>
    <n v="0"/>
    <x v="0"/>
    <x v="23"/>
    <x v="0"/>
    <x v="0"/>
    <x v="1"/>
    <x v="7"/>
    <x v="3"/>
    <n v="0.88"/>
    <n v="0.29849999999999999"/>
    <x v="13"/>
    <x v="9"/>
    <x v="21"/>
  </r>
  <r>
    <n v="25"/>
    <x v="1"/>
    <x v="0"/>
    <n v="0"/>
    <x v="0"/>
    <x v="0"/>
    <x v="0"/>
    <x v="1"/>
    <x v="1"/>
    <x v="7"/>
    <x v="8"/>
    <n v="0.88"/>
    <n v="0.29849999999999999"/>
    <x v="17"/>
    <x v="0"/>
    <x v="22"/>
  </r>
  <r>
    <n v="26"/>
    <x v="1"/>
    <x v="0"/>
    <n v="0"/>
    <x v="0"/>
    <x v="1"/>
    <x v="0"/>
    <x v="1"/>
    <x v="1"/>
    <x v="8"/>
    <x v="9"/>
    <n v="0.94"/>
    <n v="0.25369999999999998"/>
    <x v="5"/>
    <x v="20"/>
    <x v="22"/>
  </r>
  <r>
    <n v="27"/>
    <x v="1"/>
    <x v="0"/>
    <n v="0"/>
    <x v="0"/>
    <x v="2"/>
    <x v="0"/>
    <x v="1"/>
    <x v="1"/>
    <x v="6"/>
    <x v="7"/>
    <n v="1"/>
    <n v="0.28360000000000002"/>
    <x v="5"/>
    <x v="21"/>
    <x v="23"/>
  </r>
  <r>
    <n v="28"/>
    <x v="1"/>
    <x v="0"/>
    <n v="0"/>
    <x v="0"/>
    <x v="3"/>
    <x v="0"/>
    <x v="1"/>
    <x v="1"/>
    <x v="7"/>
    <x v="8"/>
    <n v="0.94"/>
    <n v="0.19400000000000001"/>
    <x v="4"/>
    <x v="22"/>
    <x v="24"/>
  </r>
  <r>
    <n v="29"/>
    <x v="1"/>
    <x v="0"/>
    <n v="0"/>
    <x v="0"/>
    <x v="4"/>
    <x v="0"/>
    <x v="1"/>
    <x v="1"/>
    <x v="7"/>
    <x v="3"/>
    <n v="0.94"/>
    <n v="0.19400000000000001"/>
    <x v="4"/>
    <x v="4"/>
    <x v="6"/>
  </r>
  <r>
    <n v="30"/>
    <x v="1"/>
    <x v="0"/>
    <n v="0"/>
    <x v="0"/>
    <x v="6"/>
    <x v="0"/>
    <x v="1"/>
    <x v="2"/>
    <x v="6"/>
    <x v="7"/>
    <n v="0.77"/>
    <n v="0.29849999999999999"/>
    <x v="3"/>
    <x v="6"/>
    <x v="5"/>
  </r>
  <r>
    <n v="31"/>
    <x v="1"/>
    <x v="0"/>
    <n v="0"/>
    <x v="0"/>
    <x v="7"/>
    <x v="0"/>
    <x v="1"/>
    <x v="1"/>
    <x v="9"/>
    <x v="10"/>
    <n v="0.76"/>
    <n v="0.19400000000000001"/>
    <x v="3"/>
    <x v="4"/>
    <x v="4"/>
  </r>
  <r>
    <n v="32"/>
    <x v="1"/>
    <x v="0"/>
    <n v="0"/>
    <x v="0"/>
    <x v="8"/>
    <x v="0"/>
    <x v="1"/>
    <x v="2"/>
    <x v="9"/>
    <x v="10"/>
    <n v="0.71"/>
    <n v="0.22389999999999999"/>
    <x v="3"/>
    <x v="21"/>
    <x v="7"/>
  </r>
  <r>
    <n v="33"/>
    <x v="1"/>
    <x v="0"/>
    <n v="0"/>
    <x v="0"/>
    <x v="9"/>
    <x v="0"/>
    <x v="1"/>
    <x v="1"/>
    <x v="4"/>
    <x v="3"/>
    <n v="0.76"/>
    <n v="0.22389999999999999"/>
    <x v="5"/>
    <x v="23"/>
    <x v="25"/>
  </r>
  <r>
    <n v="34"/>
    <x v="1"/>
    <x v="0"/>
    <n v="0"/>
    <x v="0"/>
    <x v="10"/>
    <x v="0"/>
    <x v="1"/>
    <x v="1"/>
    <x v="5"/>
    <x v="4"/>
    <n v="0.81"/>
    <n v="0.22389999999999999"/>
    <x v="18"/>
    <x v="24"/>
    <x v="26"/>
  </r>
  <r>
    <n v="35"/>
    <x v="1"/>
    <x v="0"/>
    <n v="0"/>
    <x v="0"/>
    <x v="11"/>
    <x v="0"/>
    <x v="1"/>
    <x v="1"/>
    <x v="5"/>
    <x v="6"/>
    <n v="0.71"/>
    <n v="0.25369999999999998"/>
    <x v="19"/>
    <x v="25"/>
    <x v="27"/>
  </r>
  <r>
    <n v="36"/>
    <x v="1"/>
    <x v="0"/>
    <n v="0"/>
    <x v="0"/>
    <x v="12"/>
    <x v="0"/>
    <x v="1"/>
    <x v="1"/>
    <x v="5"/>
    <x v="6"/>
    <n v="0.66"/>
    <n v="0.29849999999999999"/>
    <x v="20"/>
    <x v="26"/>
    <x v="15"/>
  </r>
  <r>
    <n v="37"/>
    <x v="1"/>
    <x v="0"/>
    <n v="0"/>
    <x v="0"/>
    <x v="13"/>
    <x v="0"/>
    <x v="1"/>
    <x v="1"/>
    <x v="5"/>
    <x v="4"/>
    <n v="0.66"/>
    <n v="0.1343"/>
    <x v="16"/>
    <x v="27"/>
    <x v="28"/>
  </r>
  <r>
    <n v="38"/>
    <x v="1"/>
    <x v="0"/>
    <n v="0"/>
    <x v="0"/>
    <x v="14"/>
    <x v="0"/>
    <x v="1"/>
    <x v="2"/>
    <x v="5"/>
    <x v="3"/>
    <n v="0.76"/>
    <n v="0.19400000000000001"/>
    <x v="17"/>
    <x v="11"/>
    <x v="29"/>
  </r>
  <r>
    <n v="39"/>
    <x v="1"/>
    <x v="0"/>
    <n v="0"/>
    <x v="0"/>
    <x v="15"/>
    <x v="0"/>
    <x v="1"/>
    <x v="2"/>
    <x v="10"/>
    <x v="6"/>
    <n v="0.81"/>
    <n v="0.16420000000000001"/>
    <x v="21"/>
    <x v="11"/>
    <x v="30"/>
  </r>
  <r>
    <n v="40"/>
    <x v="1"/>
    <x v="0"/>
    <n v="0"/>
    <x v="0"/>
    <x v="16"/>
    <x v="0"/>
    <x v="1"/>
    <x v="2"/>
    <x v="10"/>
    <x v="6"/>
    <n v="0.71"/>
    <n v="0.16420000000000001"/>
    <x v="14"/>
    <x v="28"/>
    <x v="31"/>
  </r>
  <r>
    <n v="41"/>
    <x v="1"/>
    <x v="0"/>
    <n v="0"/>
    <x v="0"/>
    <x v="17"/>
    <x v="0"/>
    <x v="1"/>
    <x v="0"/>
    <x v="10"/>
    <x v="6"/>
    <n v="0.56999999999999995"/>
    <n v="0.19400000000000001"/>
    <x v="18"/>
    <x v="29"/>
    <x v="32"/>
  </r>
  <r>
    <n v="42"/>
    <x v="1"/>
    <x v="0"/>
    <n v="0"/>
    <x v="0"/>
    <x v="18"/>
    <x v="0"/>
    <x v="1"/>
    <x v="1"/>
    <x v="5"/>
    <x v="6"/>
    <n v="0.46"/>
    <n v="0.32840000000000003"/>
    <x v="22"/>
    <x v="30"/>
    <x v="26"/>
  </r>
  <r>
    <n v="43"/>
    <x v="1"/>
    <x v="0"/>
    <n v="0"/>
    <x v="0"/>
    <x v="19"/>
    <x v="0"/>
    <x v="1"/>
    <x v="0"/>
    <x v="3"/>
    <x v="0"/>
    <n v="0.42"/>
    <n v="0.44779999999999998"/>
    <x v="5"/>
    <x v="31"/>
    <x v="33"/>
  </r>
  <r>
    <n v="44"/>
    <x v="1"/>
    <x v="0"/>
    <n v="0"/>
    <x v="0"/>
    <x v="20"/>
    <x v="0"/>
    <x v="1"/>
    <x v="0"/>
    <x v="11"/>
    <x v="3"/>
    <n v="0.39"/>
    <n v="0.35820000000000002"/>
    <x v="2"/>
    <x v="19"/>
    <x v="34"/>
  </r>
  <r>
    <n v="45"/>
    <x v="1"/>
    <x v="0"/>
    <n v="0"/>
    <x v="0"/>
    <x v="21"/>
    <x v="0"/>
    <x v="1"/>
    <x v="0"/>
    <x v="12"/>
    <x v="11"/>
    <n v="0.44"/>
    <n v="0.32840000000000003"/>
    <x v="16"/>
    <x v="32"/>
    <x v="35"/>
  </r>
  <r>
    <n v="46"/>
    <x v="1"/>
    <x v="0"/>
    <n v="0"/>
    <x v="0"/>
    <x v="22"/>
    <x v="0"/>
    <x v="1"/>
    <x v="0"/>
    <x v="0"/>
    <x v="12"/>
    <n v="0.44"/>
    <n v="0.29849999999999999"/>
    <x v="3"/>
    <x v="33"/>
    <x v="23"/>
  </r>
  <r>
    <n v="47"/>
    <x v="1"/>
    <x v="0"/>
    <n v="0"/>
    <x v="0"/>
    <x v="23"/>
    <x v="0"/>
    <x v="1"/>
    <x v="0"/>
    <x v="1"/>
    <x v="11"/>
    <n v="0.47"/>
    <n v="0.16420000000000001"/>
    <x v="3"/>
    <x v="21"/>
    <x v="7"/>
  </r>
  <r>
    <n v="48"/>
    <x v="2"/>
    <x v="0"/>
    <n v="0"/>
    <x v="0"/>
    <x v="0"/>
    <x v="0"/>
    <x v="2"/>
    <x v="0"/>
    <x v="1"/>
    <x v="13"/>
    <n v="0.44"/>
    <n v="0.35820000000000002"/>
    <x v="3"/>
    <x v="34"/>
    <x v="36"/>
  </r>
  <r>
    <n v="49"/>
    <x v="2"/>
    <x v="0"/>
    <n v="0"/>
    <x v="0"/>
    <x v="1"/>
    <x v="0"/>
    <x v="2"/>
    <x v="0"/>
    <x v="2"/>
    <x v="3"/>
    <n v="0.44"/>
    <n v="0.41789999999999999"/>
    <x v="3"/>
    <x v="6"/>
    <x v="5"/>
  </r>
  <r>
    <n v="50"/>
    <x v="2"/>
    <x v="0"/>
    <n v="0"/>
    <x v="0"/>
    <x v="4"/>
    <x v="0"/>
    <x v="2"/>
    <x v="0"/>
    <x v="13"/>
    <x v="14"/>
    <n v="0.47"/>
    <n v="0.3881"/>
    <x v="3"/>
    <x v="4"/>
    <x v="4"/>
  </r>
  <r>
    <n v="51"/>
    <x v="2"/>
    <x v="0"/>
    <n v="0"/>
    <x v="0"/>
    <x v="5"/>
    <x v="0"/>
    <x v="2"/>
    <x v="0"/>
    <x v="13"/>
    <x v="14"/>
    <n v="0.47"/>
    <n v="0.28360000000000002"/>
    <x v="3"/>
    <x v="35"/>
    <x v="6"/>
  </r>
  <r>
    <n v="52"/>
    <x v="2"/>
    <x v="0"/>
    <n v="0"/>
    <x v="0"/>
    <x v="6"/>
    <x v="0"/>
    <x v="2"/>
    <x v="0"/>
    <x v="14"/>
    <x v="15"/>
    <n v="0.5"/>
    <n v="0.3881"/>
    <x v="3"/>
    <x v="10"/>
    <x v="33"/>
  </r>
  <r>
    <n v="53"/>
    <x v="2"/>
    <x v="0"/>
    <n v="0"/>
    <x v="0"/>
    <x v="7"/>
    <x v="0"/>
    <x v="2"/>
    <x v="0"/>
    <x v="14"/>
    <x v="14"/>
    <n v="0.5"/>
    <n v="0.19400000000000001"/>
    <x v="5"/>
    <x v="36"/>
    <x v="37"/>
  </r>
  <r>
    <n v="54"/>
    <x v="2"/>
    <x v="0"/>
    <n v="0"/>
    <x v="0"/>
    <x v="8"/>
    <x v="0"/>
    <x v="2"/>
    <x v="0"/>
    <x v="14"/>
    <x v="16"/>
    <n v="0.5"/>
    <n v="0.28360000000000002"/>
    <x v="5"/>
    <x v="37"/>
    <x v="38"/>
  </r>
  <r>
    <n v="55"/>
    <x v="2"/>
    <x v="0"/>
    <n v="0"/>
    <x v="0"/>
    <x v="9"/>
    <x v="0"/>
    <x v="2"/>
    <x v="0"/>
    <x v="13"/>
    <x v="14"/>
    <n v="0.43"/>
    <n v="0.3881"/>
    <x v="18"/>
    <x v="38"/>
    <x v="39"/>
  </r>
  <r>
    <n v="56"/>
    <x v="2"/>
    <x v="0"/>
    <n v="0"/>
    <x v="0"/>
    <x v="10"/>
    <x v="0"/>
    <x v="2"/>
    <x v="0"/>
    <x v="15"/>
    <x v="17"/>
    <n v="0.43"/>
    <n v="0.25369999999999998"/>
    <x v="16"/>
    <x v="39"/>
    <x v="40"/>
  </r>
  <r>
    <n v="57"/>
    <x v="2"/>
    <x v="0"/>
    <n v="0"/>
    <x v="0"/>
    <x v="11"/>
    <x v="0"/>
    <x v="2"/>
    <x v="0"/>
    <x v="2"/>
    <x v="18"/>
    <n v="0.4"/>
    <n v="0.32840000000000003"/>
    <x v="22"/>
    <x v="40"/>
    <x v="41"/>
  </r>
  <r>
    <n v="58"/>
    <x v="2"/>
    <x v="0"/>
    <n v="0"/>
    <x v="0"/>
    <x v="12"/>
    <x v="0"/>
    <x v="2"/>
    <x v="0"/>
    <x v="1"/>
    <x v="12"/>
    <n v="0.35"/>
    <n v="0.29849999999999999"/>
    <x v="23"/>
    <x v="41"/>
    <x v="42"/>
  </r>
  <r>
    <n v="59"/>
    <x v="2"/>
    <x v="0"/>
    <n v="0"/>
    <x v="0"/>
    <x v="13"/>
    <x v="0"/>
    <x v="2"/>
    <x v="0"/>
    <x v="0"/>
    <x v="3"/>
    <n v="0.35"/>
    <n v="0.28360000000000002"/>
    <x v="1"/>
    <x v="42"/>
    <x v="42"/>
  </r>
  <r>
    <n v="60"/>
    <x v="2"/>
    <x v="0"/>
    <n v="0"/>
    <x v="0"/>
    <x v="14"/>
    <x v="0"/>
    <x v="2"/>
    <x v="0"/>
    <x v="12"/>
    <x v="19"/>
    <n v="0.3"/>
    <n v="0.28360000000000002"/>
    <x v="16"/>
    <x v="43"/>
    <x v="43"/>
  </r>
  <r>
    <n v="61"/>
    <x v="2"/>
    <x v="0"/>
    <n v="0"/>
    <x v="0"/>
    <x v="15"/>
    <x v="0"/>
    <x v="2"/>
    <x v="0"/>
    <x v="12"/>
    <x v="19"/>
    <n v="0.3"/>
    <n v="0.25369999999999998"/>
    <x v="24"/>
    <x v="29"/>
    <x v="44"/>
  </r>
  <r>
    <n v="62"/>
    <x v="2"/>
    <x v="0"/>
    <n v="0"/>
    <x v="0"/>
    <x v="16"/>
    <x v="0"/>
    <x v="2"/>
    <x v="0"/>
    <x v="12"/>
    <x v="19"/>
    <n v="0.3"/>
    <n v="0.25369999999999998"/>
    <x v="14"/>
    <x v="28"/>
    <x v="31"/>
  </r>
  <r>
    <n v="63"/>
    <x v="2"/>
    <x v="0"/>
    <n v="0"/>
    <x v="0"/>
    <x v="17"/>
    <x v="0"/>
    <x v="2"/>
    <x v="0"/>
    <x v="0"/>
    <x v="11"/>
    <n v="0.3"/>
    <n v="0.22389999999999999"/>
    <x v="16"/>
    <x v="44"/>
    <x v="45"/>
  </r>
  <r>
    <n v="64"/>
    <x v="2"/>
    <x v="0"/>
    <n v="0"/>
    <x v="0"/>
    <x v="18"/>
    <x v="0"/>
    <x v="2"/>
    <x v="0"/>
    <x v="0"/>
    <x v="2"/>
    <n v="0.32"/>
    <n v="0.1045"/>
    <x v="14"/>
    <x v="45"/>
    <x v="45"/>
  </r>
  <r>
    <n v="65"/>
    <x v="2"/>
    <x v="0"/>
    <n v="0"/>
    <x v="0"/>
    <x v="19"/>
    <x v="0"/>
    <x v="2"/>
    <x v="0"/>
    <x v="2"/>
    <x v="2"/>
    <n v="0.47"/>
    <n v="0"/>
    <x v="1"/>
    <x v="46"/>
    <x v="14"/>
  </r>
  <r>
    <n v="66"/>
    <x v="2"/>
    <x v="0"/>
    <n v="0"/>
    <x v="0"/>
    <x v="20"/>
    <x v="0"/>
    <x v="2"/>
    <x v="0"/>
    <x v="2"/>
    <x v="3"/>
    <n v="0.47"/>
    <n v="0.1045"/>
    <x v="0"/>
    <x v="47"/>
    <x v="46"/>
  </r>
  <r>
    <n v="67"/>
    <x v="2"/>
    <x v="0"/>
    <n v="0"/>
    <x v="0"/>
    <x v="21"/>
    <x v="0"/>
    <x v="2"/>
    <x v="0"/>
    <x v="15"/>
    <x v="13"/>
    <n v="0.64"/>
    <n v="0.1343"/>
    <x v="0"/>
    <x v="47"/>
    <x v="46"/>
  </r>
  <r>
    <n v="68"/>
    <x v="2"/>
    <x v="0"/>
    <n v="0"/>
    <x v="0"/>
    <x v="22"/>
    <x v="0"/>
    <x v="2"/>
    <x v="0"/>
    <x v="14"/>
    <x v="20"/>
    <n v="0.69"/>
    <n v="0.1343"/>
    <x v="3"/>
    <x v="32"/>
    <x v="25"/>
  </r>
  <r>
    <n v="69"/>
    <x v="2"/>
    <x v="0"/>
    <n v="0"/>
    <x v="0"/>
    <x v="23"/>
    <x v="0"/>
    <x v="2"/>
    <x v="0"/>
    <x v="15"/>
    <x v="12"/>
    <n v="0.55000000000000004"/>
    <n v="0.1045"/>
    <x v="5"/>
    <x v="48"/>
    <x v="47"/>
  </r>
  <r>
    <n v="70"/>
    <x v="3"/>
    <x v="0"/>
    <n v="0"/>
    <x v="0"/>
    <x v="0"/>
    <x v="0"/>
    <x v="3"/>
    <x v="0"/>
    <x v="13"/>
    <x v="3"/>
    <n v="0.55000000000000004"/>
    <n v="0.1045"/>
    <x v="3"/>
    <x v="34"/>
    <x v="36"/>
  </r>
  <r>
    <n v="71"/>
    <x v="3"/>
    <x v="0"/>
    <n v="0"/>
    <x v="0"/>
    <x v="1"/>
    <x v="0"/>
    <x v="3"/>
    <x v="0"/>
    <x v="13"/>
    <x v="18"/>
    <n v="0.59"/>
    <n v="0.1045"/>
    <x v="3"/>
    <x v="6"/>
    <x v="5"/>
  </r>
  <r>
    <n v="72"/>
    <x v="3"/>
    <x v="0"/>
    <n v="0"/>
    <x v="0"/>
    <x v="2"/>
    <x v="0"/>
    <x v="3"/>
    <x v="0"/>
    <x v="14"/>
    <x v="20"/>
    <n v="0.63"/>
    <n v="0.1343"/>
    <x v="3"/>
    <x v="4"/>
    <x v="4"/>
  </r>
  <r>
    <n v="73"/>
    <x v="3"/>
    <x v="0"/>
    <n v="0"/>
    <x v="0"/>
    <x v="4"/>
    <x v="0"/>
    <x v="3"/>
    <x v="0"/>
    <x v="14"/>
    <x v="18"/>
    <n v="0.63"/>
    <n v="8.9599999999999999E-2"/>
    <x v="3"/>
    <x v="6"/>
    <x v="5"/>
  </r>
  <r>
    <n v="74"/>
    <x v="3"/>
    <x v="0"/>
    <n v="0"/>
    <x v="0"/>
    <x v="5"/>
    <x v="0"/>
    <x v="3"/>
    <x v="0"/>
    <x v="16"/>
    <x v="20"/>
    <n v="0.68"/>
    <n v="0.1045"/>
    <x v="3"/>
    <x v="22"/>
    <x v="48"/>
  </r>
  <r>
    <n v="75"/>
    <x v="3"/>
    <x v="0"/>
    <n v="0"/>
    <x v="0"/>
    <x v="6"/>
    <x v="0"/>
    <x v="3"/>
    <x v="0"/>
    <x v="16"/>
    <x v="20"/>
    <n v="0.74"/>
    <n v="0.1045"/>
    <x v="3"/>
    <x v="49"/>
    <x v="9"/>
  </r>
  <r>
    <n v="76"/>
    <x v="3"/>
    <x v="0"/>
    <n v="0"/>
    <x v="0"/>
    <x v="7"/>
    <x v="0"/>
    <x v="3"/>
    <x v="0"/>
    <x v="16"/>
    <x v="20"/>
    <n v="0.74"/>
    <n v="0.1343"/>
    <x v="4"/>
    <x v="50"/>
    <x v="12"/>
  </r>
  <r>
    <n v="77"/>
    <x v="3"/>
    <x v="0"/>
    <n v="0"/>
    <x v="0"/>
    <x v="8"/>
    <x v="0"/>
    <x v="3"/>
    <x v="0"/>
    <x v="14"/>
    <x v="20"/>
    <n v="0.69"/>
    <n v="0.16420000000000001"/>
    <x v="4"/>
    <x v="51"/>
    <x v="49"/>
  </r>
  <r>
    <n v="78"/>
    <x v="3"/>
    <x v="0"/>
    <n v="0"/>
    <x v="0"/>
    <x v="9"/>
    <x v="0"/>
    <x v="3"/>
    <x v="0"/>
    <x v="13"/>
    <x v="20"/>
    <n v="0.64"/>
    <n v="0.22389999999999999"/>
    <x v="4"/>
    <x v="52"/>
    <x v="50"/>
  </r>
  <r>
    <n v="79"/>
    <x v="3"/>
    <x v="0"/>
    <n v="0"/>
    <x v="0"/>
    <x v="10"/>
    <x v="0"/>
    <x v="3"/>
    <x v="1"/>
    <x v="13"/>
    <x v="14"/>
    <n v="0.69"/>
    <n v="0.32840000000000003"/>
    <x v="2"/>
    <x v="53"/>
    <x v="51"/>
  </r>
  <r>
    <n v="80"/>
    <x v="3"/>
    <x v="0"/>
    <n v="0"/>
    <x v="0"/>
    <x v="11"/>
    <x v="0"/>
    <x v="3"/>
    <x v="0"/>
    <x v="1"/>
    <x v="12"/>
    <n v="0.51"/>
    <n v="0.29849999999999999"/>
    <x v="18"/>
    <x v="54"/>
    <x v="52"/>
  </r>
  <r>
    <n v="81"/>
    <x v="3"/>
    <x v="0"/>
    <n v="0"/>
    <x v="0"/>
    <x v="12"/>
    <x v="0"/>
    <x v="3"/>
    <x v="0"/>
    <x v="1"/>
    <x v="11"/>
    <n v="0.51"/>
    <n v="0.16420000000000001"/>
    <x v="6"/>
    <x v="43"/>
    <x v="53"/>
  </r>
  <r>
    <n v="82"/>
    <x v="3"/>
    <x v="0"/>
    <n v="0"/>
    <x v="0"/>
    <x v="13"/>
    <x v="0"/>
    <x v="3"/>
    <x v="0"/>
    <x v="0"/>
    <x v="11"/>
    <n v="0.56000000000000005"/>
    <n v="0.19400000000000001"/>
    <x v="25"/>
    <x v="55"/>
    <x v="54"/>
  </r>
  <r>
    <n v="83"/>
    <x v="3"/>
    <x v="0"/>
    <n v="0"/>
    <x v="0"/>
    <x v="14"/>
    <x v="0"/>
    <x v="3"/>
    <x v="0"/>
    <x v="12"/>
    <x v="2"/>
    <n v="0.52"/>
    <n v="0.22389999999999999"/>
    <x v="14"/>
    <x v="25"/>
    <x v="55"/>
  </r>
  <r>
    <n v="84"/>
    <x v="3"/>
    <x v="0"/>
    <n v="0"/>
    <x v="0"/>
    <x v="15"/>
    <x v="0"/>
    <x v="3"/>
    <x v="0"/>
    <x v="17"/>
    <x v="1"/>
    <n v="0.52"/>
    <n v="0.25369999999999998"/>
    <x v="26"/>
    <x v="41"/>
    <x v="32"/>
  </r>
  <r>
    <n v="85"/>
    <x v="3"/>
    <x v="0"/>
    <n v="0"/>
    <x v="0"/>
    <x v="16"/>
    <x v="0"/>
    <x v="3"/>
    <x v="0"/>
    <x v="11"/>
    <x v="0"/>
    <n v="0.49"/>
    <n v="0.25369999999999998"/>
    <x v="13"/>
    <x v="56"/>
    <x v="56"/>
  </r>
  <r>
    <n v="86"/>
    <x v="3"/>
    <x v="0"/>
    <n v="0"/>
    <x v="0"/>
    <x v="17"/>
    <x v="0"/>
    <x v="3"/>
    <x v="0"/>
    <x v="17"/>
    <x v="1"/>
    <n v="0.48"/>
    <n v="0.22389999999999999"/>
    <x v="22"/>
    <x v="57"/>
    <x v="57"/>
  </r>
  <r>
    <n v="87"/>
    <x v="3"/>
    <x v="0"/>
    <n v="0"/>
    <x v="0"/>
    <x v="18"/>
    <x v="0"/>
    <x v="3"/>
    <x v="0"/>
    <x v="12"/>
    <x v="2"/>
    <n v="0.48"/>
    <n v="0.19400000000000001"/>
    <x v="0"/>
    <x v="58"/>
    <x v="58"/>
  </r>
  <r>
    <n v="88"/>
    <x v="3"/>
    <x v="0"/>
    <n v="0"/>
    <x v="0"/>
    <x v="19"/>
    <x v="0"/>
    <x v="3"/>
    <x v="0"/>
    <x v="0"/>
    <x v="2"/>
    <n v="0.48"/>
    <n v="0.1045"/>
    <x v="4"/>
    <x v="59"/>
    <x v="59"/>
  </r>
  <r>
    <n v="89"/>
    <x v="3"/>
    <x v="0"/>
    <n v="0"/>
    <x v="0"/>
    <x v="20"/>
    <x v="0"/>
    <x v="3"/>
    <x v="0"/>
    <x v="0"/>
    <x v="2"/>
    <n v="0.48"/>
    <n v="0.1045"/>
    <x v="5"/>
    <x v="42"/>
    <x v="60"/>
  </r>
  <r>
    <n v="90"/>
    <x v="3"/>
    <x v="0"/>
    <n v="0"/>
    <x v="0"/>
    <x v="21"/>
    <x v="0"/>
    <x v="3"/>
    <x v="0"/>
    <x v="1"/>
    <x v="1"/>
    <n v="0.64"/>
    <n v="0"/>
    <x v="3"/>
    <x v="41"/>
    <x v="61"/>
  </r>
  <r>
    <n v="91"/>
    <x v="3"/>
    <x v="0"/>
    <n v="0"/>
    <x v="0"/>
    <x v="22"/>
    <x v="0"/>
    <x v="3"/>
    <x v="0"/>
    <x v="1"/>
    <x v="2"/>
    <n v="0.64"/>
    <n v="8.9599999999999999E-2"/>
    <x v="5"/>
    <x v="60"/>
    <x v="17"/>
  </r>
  <r>
    <n v="92"/>
    <x v="3"/>
    <x v="0"/>
    <n v="0"/>
    <x v="0"/>
    <x v="23"/>
    <x v="0"/>
    <x v="3"/>
    <x v="0"/>
    <x v="2"/>
    <x v="11"/>
    <n v="0.69"/>
    <n v="8.9599999999999999E-2"/>
    <x v="4"/>
    <x v="33"/>
    <x v="62"/>
  </r>
  <r>
    <n v="93"/>
    <x v="4"/>
    <x v="0"/>
    <n v="0"/>
    <x v="0"/>
    <x v="0"/>
    <x v="0"/>
    <x v="4"/>
    <x v="0"/>
    <x v="2"/>
    <x v="2"/>
    <n v="0.64"/>
    <n v="0"/>
    <x v="3"/>
    <x v="8"/>
    <x v="24"/>
  </r>
  <r>
    <n v="94"/>
    <x v="4"/>
    <x v="0"/>
    <n v="0"/>
    <x v="0"/>
    <x v="1"/>
    <x v="0"/>
    <x v="4"/>
    <x v="0"/>
    <x v="13"/>
    <x v="13"/>
    <n v="0.74"/>
    <n v="8.9599999999999999E-2"/>
    <x v="3"/>
    <x v="8"/>
    <x v="24"/>
  </r>
  <r>
    <n v="95"/>
    <x v="4"/>
    <x v="0"/>
    <n v="0"/>
    <x v="0"/>
    <x v="2"/>
    <x v="0"/>
    <x v="4"/>
    <x v="0"/>
    <x v="13"/>
    <x v="13"/>
    <n v="0.74"/>
    <n v="8.9599999999999999E-2"/>
    <x v="3"/>
    <x v="6"/>
    <x v="5"/>
  </r>
  <r>
    <n v="96"/>
    <x v="4"/>
    <x v="0"/>
    <n v="0"/>
    <x v="0"/>
    <x v="4"/>
    <x v="0"/>
    <x v="4"/>
    <x v="0"/>
    <x v="0"/>
    <x v="11"/>
    <n v="0.48"/>
    <n v="0.22389999999999999"/>
    <x v="3"/>
    <x v="6"/>
    <x v="5"/>
  </r>
  <r>
    <n v="97"/>
    <x v="4"/>
    <x v="0"/>
    <n v="0"/>
    <x v="0"/>
    <x v="5"/>
    <x v="0"/>
    <x v="4"/>
    <x v="0"/>
    <x v="1"/>
    <x v="11"/>
    <n v="0.47"/>
    <n v="0.16420000000000001"/>
    <x v="3"/>
    <x v="35"/>
    <x v="6"/>
  </r>
  <r>
    <n v="98"/>
    <x v="4"/>
    <x v="0"/>
    <n v="0"/>
    <x v="0"/>
    <x v="6"/>
    <x v="0"/>
    <x v="4"/>
    <x v="0"/>
    <x v="2"/>
    <x v="13"/>
    <n v="0.47"/>
    <n v="0.22389999999999999"/>
    <x v="3"/>
    <x v="39"/>
    <x v="63"/>
  </r>
  <r>
    <n v="99"/>
    <x v="4"/>
    <x v="0"/>
    <n v="0"/>
    <x v="0"/>
    <x v="7"/>
    <x v="0"/>
    <x v="4"/>
    <x v="0"/>
    <x v="15"/>
    <x v="18"/>
    <n v="0.43"/>
    <n v="0.19400000000000001"/>
    <x v="5"/>
    <x v="61"/>
    <x v="39"/>
  </r>
  <r>
    <n v="100"/>
    <x v="4"/>
    <x v="0"/>
    <n v="0"/>
    <x v="0"/>
    <x v="8"/>
    <x v="0"/>
    <x v="4"/>
    <x v="0"/>
    <x v="2"/>
    <x v="18"/>
    <n v="0.4"/>
    <n v="0.29849999999999999"/>
    <x v="0"/>
    <x v="62"/>
    <x v="64"/>
  </r>
  <r>
    <n v="101"/>
    <x v="4"/>
    <x v="0"/>
    <n v="0"/>
    <x v="0"/>
    <x v="9"/>
    <x v="0"/>
    <x v="4"/>
    <x v="0"/>
    <x v="1"/>
    <x v="13"/>
    <n v="0.37"/>
    <n v="0.32840000000000003"/>
    <x v="15"/>
    <x v="63"/>
    <x v="65"/>
  </r>
  <r>
    <n v="102"/>
    <x v="4"/>
    <x v="0"/>
    <n v="0"/>
    <x v="0"/>
    <x v="10"/>
    <x v="0"/>
    <x v="4"/>
    <x v="0"/>
    <x v="1"/>
    <x v="13"/>
    <n v="0.37"/>
    <n v="0.32840000000000003"/>
    <x v="17"/>
    <x v="42"/>
    <x v="52"/>
  </r>
  <r>
    <n v="103"/>
    <x v="4"/>
    <x v="0"/>
    <n v="0"/>
    <x v="0"/>
    <x v="11"/>
    <x v="0"/>
    <x v="4"/>
    <x v="0"/>
    <x v="12"/>
    <x v="11"/>
    <n v="0.33"/>
    <n v="0.32840000000000003"/>
    <x v="6"/>
    <x v="60"/>
    <x v="66"/>
  </r>
  <r>
    <n v="104"/>
    <x v="4"/>
    <x v="0"/>
    <n v="0"/>
    <x v="0"/>
    <x v="12"/>
    <x v="0"/>
    <x v="4"/>
    <x v="0"/>
    <x v="12"/>
    <x v="11"/>
    <n v="0.33"/>
    <n v="0.32840000000000003"/>
    <x v="2"/>
    <x v="64"/>
    <x v="67"/>
  </r>
  <r>
    <n v="105"/>
    <x v="4"/>
    <x v="0"/>
    <n v="0"/>
    <x v="0"/>
    <x v="13"/>
    <x v="0"/>
    <x v="4"/>
    <x v="0"/>
    <x v="17"/>
    <x v="2"/>
    <n v="0.3"/>
    <n v="0.29849999999999999"/>
    <x v="15"/>
    <x v="65"/>
    <x v="68"/>
  </r>
  <r>
    <n v="106"/>
    <x v="4"/>
    <x v="0"/>
    <n v="0"/>
    <x v="0"/>
    <x v="14"/>
    <x v="0"/>
    <x v="4"/>
    <x v="0"/>
    <x v="11"/>
    <x v="0"/>
    <n v="0.28000000000000003"/>
    <n v="0.19400000000000001"/>
    <x v="22"/>
    <x v="15"/>
    <x v="69"/>
  </r>
  <r>
    <n v="107"/>
    <x v="4"/>
    <x v="0"/>
    <n v="0"/>
    <x v="0"/>
    <x v="15"/>
    <x v="0"/>
    <x v="4"/>
    <x v="0"/>
    <x v="11"/>
    <x v="0"/>
    <n v="0.28000000000000003"/>
    <n v="0.19400000000000001"/>
    <x v="18"/>
    <x v="11"/>
    <x v="69"/>
  </r>
  <r>
    <n v="108"/>
    <x v="4"/>
    <x v="0"/>
    <n v="0"/>
    <x v="0"/>
    <x v="16"/>
    <x v="0"/>
    <x v="4"/>
    <x v="0"/>
    <x v="11"/>
    <x v="21"/>
    <n v="0.28000000000000003"/>
    <n v="8.9599999999999999E-2"/>
    <x v="17"/>
    <x v="66"/>
    <x v="70"/>
  </r>
  <r>
    <n v="109"/>
    <x v="4"/>
    <x v="0"/>
    <n v="0"/>
    <x v="0"/>
    <x v="17"/>
    <x v="0"/>
    <x v="4"/>
    <x v="0"/>
    <x v="0"/>
    <x v="11"/>
    <n v="0.38"/>
    <n v="0.19400000000000001"/>
    <x v="17"/>
    <x v="67"/>
    <x v="71"/>
  </r>
  <r>
    <n v="110"/>
    <x v="4"/>
    <x v="0"/>
    <n v="0"/>
    <x v="0"/>
    <x v="18"/>
    <x v="0"/>
    <x v="4"/>
    <x v="0"/>
    <x v="0"/>
    <x v="19"/>
    <n v="0.38"/>
    <n v="0.1343"/>
    <x v="0"/>
    <x v="68"/>
    <x v="72"/>
  </r>
  <r>
    <n v="111"/>
    <x v="4"/>
    <x v="0"/>
    <n v="0"/>
    <x v="0"/>
    <x v="19"/>
    <x v="0"/>
    <x v="4"/>
    <x v="0"/>
    <x v="0"/>
    <x v="2"/>
    <n v="0.38"/>
    <n v="0.1045"/>
    <x v="2"/>
    <x v="69"/>
    <x v="73"/>
  </r>
  <r>
    <n v="112"/>
    <x v="4"/>
    <x v="0"/>
    <n v="0"/>
    <x v="0"/>
    <x v="20"/>
    <x v="0"/>
    <x v="4"/>
    <x v="0"/>
    <x v="1"/>
    <x v="11"/>
    <n v="0.47"/>
    <n v="0.16420000000000001"/>
    <x v="18"/>
    <x v="70"/>
    <x v="70"/>
  </r>
  <r>
    <n v="113"/>
    <x v="4"/>
    <x v="0"/>
    <n v="0"/>
    <x v="0"/>
    <x v="21"/>
    <x v="0"/>
    <x v="4"/>
    <x v="0"/>
    <x v="2"/>
    <x v="13"/>
    <n v="0.51"/>
    <n v="0.19400000000000001"/>
    <x v="0"/>
    <x v="71"/>
    <x v="74"/>
  </r>
  <r>
    <n v="114"/>
    <x v="4"/>
    <x v="0"/>
    <n v="0"/>
    <x v="0"/>
    <x v="22"/>
    <x v="0"/>
    <x v="4"/>
    <x v="0"/>
    <x v="15"/>
    <x v="13"/>
    <n v="0.55000000000000004"/>
    <n v="0.1343"/>
    <x v="5"/>
    <x v="40"/>
    <x v="51"/>
  </r>
  <r>
    <n v="115"/>
    <x v="4"/>
    <x v="0"/>
    <n v="0"/>
    <x v="0"/>
    <x v="23"/>
    <x v="0"/>
    <x v="4"/>
    <x v="0"/>
    <x v="2"/>
    <x v="2"/>
    <n v="0.47"/>
    <n v="0"/>
    <x v="5"/>
    <x v="72"/>
    <x v="75"/>
  </r>
  <r>
    <n v="116"/>
    <x v="5"/>
    <x v="0"/>
    <n v="0"/>
    <x v="0"/>
    <x v="0"/>
    <x v="0"/>
    <x v="5"/>
    <x v="0"/>
    <x v="15"/>
    <x v="19"/>
    <n v="0.55000000000000004"/>
    <n v="0"/>
    <x v="3"/>
    <x v="48"/>
    <x v="62"/>
  </r>
  <r>
    <n v="117"/>
    <x v="5"/>
    <x v="0"/>
    <n v="0"/>
    <x v="0"/>
    <x v="1"/>
    <x v="0"/>
    <x v="5"/>
    <x v="0"/>
    <x v="13"/>
    <x v="11"/>
    <n v="0.64"/>
    <n v="0"/>
    <x v="3"/>
    <x v="22"/>
    <x v="48"/>
  </r>
  <r>
    <n v="118"/>
    <x v="5"/>
    <x v="0"/>
    <n v="0"/>
    <x v="0"/>
    <x v="2"/>
    <x v="0"/>
    <x v="5"/>
    <x v="0"/>
    <x v="13"/>
    <x v="11"/>
    <n v="0.64"/>
    <n v="0"/>
    <x v="3"/>
    <x v="6"/>
    <x v="5"/>
  </r>
  <r>
    <n v="119"/>
    <x v="5"/>
    <x v="0"/>
    <n v="0"/>
    <x v="0"/>
    <x v="4"/>
    <x v="0"/>
    <x v="5"/>
    <x v="1"/>
    <x v="13"/>
    <x v="13"/>
    <n v="0.64"/>
    <n v="8.9599999999999999E-2"/>
    <x v="3"/>
    <x v="4"/>
    <x v="4"/>
  </r>
  <r>
    <n v="120"/>
    <x v="5"/>
    <x v="0"/>
    <n v="0"/>
    <x v="0"/>
    <x v="5"/>
    <x v="0"/>
    <x v="5"/>
    <x v="1"/>
    <x v="14"/>
    <x v="18"/>
    <n v="0.69"/>
    <n v="8.9599999999999999E-2"/>
    <x v="3"/>
    <x v="22"/>
    <x v="48"/>
  </r>
  <r>
    <n v="121"/>
    <x v="5"/>
    <x v="0"/>
    <n v="0"/>
    <x v="0"/>
    <x v="6"/>
    <x v="0"/>
    <x v="5"/>
    <x v="1"/>
    <x v="14"/>
    <x v="17"/>
    <n v="0.63"/>
    <n v="0.1045"/>
    <x v="3"/>
    <x v="49"/>
    <x v="9"/>
  </r>
  <r>
    <n v="122"/>
    <x v="5"/>
    <x v="0"/>
    <n v="0"/>
    <x v="0"/>
    <x v="7"/>
    <x v="0"/>
    <x v="5"/>
    <x v="1"/>
    <x v="13"/>
    <x v="11"/>
    <n v="0.59"/>
    <n v="0"/>
    <x v="3"/>
    <x v="73"/>
    <x v="76"/>
  </r>
  <r>
    <n v="123"/>
    <x v="5"/>
    <x v="0"/>
    <n v="0"/>
    <x v="0"/>
    <x v="8"/>
    <x v="0"/>
    <x v="5"/>
    <x v="0"/>
    <x v="13"/>
    <x v="11"/>
    <n v="0.59"/>
    <n v="0"/>
    <x v="0"/>
    <x v="74"/>
    <x v="77"/>
  </r>
  <r>
    <n v="124"/>
    <x v="5"/>
    <x v="0"/>
    <n v="0"/>
    <x v="0"/>
    <x v="9"/>
    <x v="0"/>
    <x v="5"/>
    <x v="1"/>
    <x v="15"/>
    <x v="19"/>
    <n v="0.51"/>
    <n v="0"/>
    <x v="15"/>
    <x v="75"/>
    <x v="78"/>
  </r>
  <r>
    <n v="125"/>
    <x v="5"/>
    <x v="0"/>
    <n v="0"/>
    <x v="0"/>
    <x v="10"/>
    <x v="0"/>
    <x v="5"/>
    <x v="0"/>
    <x v="2"/>
    <x v="2"/>
    <n v="0.47"/>
    <n v="0"/>
    <x v="0"/>
    <x v="76"/>
    <x v="79"/>
  </r>
  <r>
    <n v="126"/>
    <x v="5"/>
    <x v="0"/>
    <n v="0"/>
    <x v="0"/>
    <x v="11"/>
    <x v="0"/>
    <x v="5"/>
    <x v="0"/>
    <x v="1"/>
    <x v="2"/>
    <n v="0.44"/>
    <n v="8.9599999999999999E-2"/>
    <x v="4"/>
    <x v="77"/>
    <x v="29"/>
  </r>
  <r>
    <n v="127"/>
    <x v="5"/>
    <x v="0"/>
    <n v="0"/>
    <x v="0"/>
    <x v="12"/>
    <x v="0"/>
    <x v="5"/>
    <x v="0"/>
    <x v="12"/>
    <x v="0"/>
    <n v="0.35"/>
    <n v="0"/>
    <x v="15"/>
    <x v="78"/>
    <x v="11"/>
  </r>
  <r>
    <n v="128"/>
    <x v="5"/>
    <x v="0"/>
    <n v="0"/>
    <x v="0"/>
    <x v="13"/>
    <x v="0"/>
    <x v="5"/>
    <x v="0"/>
    <x v="12"/>
    <x v="1"/>
    <n v="0.35"/>
    <n v="0.1045"/>
    <x v="6"/>
    <x v="11"/>
    <x v="16"/>
  </r>
  <r>
    <n v="129"/>
    <x v="5"/>
    <x v="0"/>
    <n v="0"/>
    <x v="0"/>
    <x v="14"/>
    <x v="0"/>
    <x v="5"/>
    <x v="0"/>
    <x v="17"/>
    <x v="1"/>
    <n v="0.36"/>
    <n v="0.16420000000000001"/>
    <x v="16"/>
    <x v="79"/>
    <x v="27"/>
  </r>
  <r>
    <n v="130"/>
    <x v="5"/>
    <x v="0"/>
    <n v="0"/>
    <x v="0"/>
    <x v="15"/>
    <x v="0"/>
    <x v="5"/>
    <x v="0"/>
    <x v="17"/>
    <x v="1"/>
    <n v="0.36"/>
    <n v="0"/>
    <x v="1"/>
    <x v="25"/>
    <x v="69"/>
  </r>
  <r>
    <n v="131"/>
    <x v="5"/>
    <x v="0"/>
    <n v="0"/>
    <x v="0"/>
    <x v="16"/>
    <x v="0"/>
    <x v="5"/>
    <x v="0"/>
    <x v="12"/>
    <x v="2"/>
    <n v="0.38"/>
    <n v="0.16420000000000001"/>
    <x v="6"/>
    <x v="64"/>
    <x v="80"/>
  </r>
  <r>
    <n v="132"/>
    <x v="5"/>
    <x v="0"/>
    <n v="0"/>
    <x v="0"/>
    <x v="17"/>
    <x v="0"/>
    <x v="5"/>
    <x v="0"/>
    <x v="1"/>
    <x v="11"/>
    <n v="0.51"/>
    <n v="0.16420000000000001"/>
    <x v="14"/>
    <x v="80"/>
    <x v="81"/>
  </r>
  <r>
    <n v="133"/>
    <x v="5"/>
    <x v="0"/>
    <n v="0"/>
    <x v="0"/>
    <x v="18"/>
    <x v="0"/>
    <x v="5"/>
    <x v="0"/>
    <x v="1"/>
    <x v="11"/>
    <n v="0.51"/>
    <n v="0.1343"/>
    <x v="2"/>
    <x v="81"/>
    <x v="82"/>
  </r>
  <r>
    <n v="134"/>
    <x v="5"/>
    <x v="0"/>
    <n v="0"/>
    <x v="0"/>
    <x v="19"/>
    <x v="0"/>
    <x v="5"/>
    <x v="0"/>
    <x v="1"/>
    <x v="2"/>
    <n v="0.55000000000000004"/>
    <n v="8.9599999999999999E-2"/>
    <x v="0"/>
    <x v="63"/>
    <x v="59"/>
  </r>
  <r>
    <n v="135"/>
    <x v="5"/>
    <x v="0"/>
    <n v="0"/>
    <x v="0"/>
    <x v="20"/>
    <x v="0"/>
    <x v="5"/>
    <x v="0"/>
    <x v="2"/>
    <x v="12"/>
    <n v="0.51"/>
    <n v="0.16420000000000001"/>
    <x v="0"/>
    <x v="43"/>
    <x v="83"/>
  </r>
  <r>
    <n v="136"/>
    <x v="5"/>
    <x v="0"/>
    <n v="0"/>
    <x v="0"/>
    <x v="21"/>
    <x v="0"/>
    <x v="5"/>
    <x v="1"/>
    <x v="1"/>
    <x v="12"/>
    <n v="0.55000000000000004"/>
    <n v="0.22389999999999999"/>
    <x v="3"/>
    <x v="41"/>
    <x v="61"/>
  </r>
  <r>
    <n v="137"/>
    <x v="5"/>
    <x v="0"/>
    <n v="0"/>
    <x v="0"/>
    <x v="22"/>
    <x v="0"/>
    <x v="5"/>
    <x v="1"/>
    <x v="1"/>
    <x v="12"/>
    <n v="0.51"/>
    <n v="0.28360000000000002"/>
    <x v="5"/>
    <x v="82"/>
    <x v="46"/>
  </r>
  <r>
    <n v="138"/>
    <x v="5"/>
    <x v="0"/>
    <n v="0"/>
    <x v="0"/>
    <x v="23"/>
    <x v="0"/>
    <x v="5"/>
    <x v="1"/>
    <x v="2"/>
    <x v="13"/>
    <n v="0.59"/>
    <n v="0.19400000000000001"/>
    <x v="17"/>
    <x v="23"/>
    <x v="84"/>
  </r>
  <r>
    <n v="139"/>
    <x v="6"/>
    <x v="0"/>
    <n v="0"/>
    <x v="0"/>
    <x v="0"/>
    <x v="0"/>
    <x v="6"/>
    <x v="1"/>
    <x v="2"/>
    <x v="13"/>
    <n v="0.64"/>
    <n v="0.19400000000000001"/>
    <x v="17"/>
    <x v="0"/>
    <x v="22"/>
  </r>
  <r>
    <n v="140"/>
    <x v="6"/>
    <x v="0"/>
    <n v="0"/>
    <x v="0"/>
    <x v="1"/>
    <x v="0"/>
    <x v="6"/>
    <x v="1"/>
    <x v="2"/>
    <x v="13"/>
    <n v="0.69"/>
    <n v="0.22389999999999999"/>
    <x v="4"/>
    <x v="34"/>
    <x v="85"/>
  </r>
  <r>
    <n v="141"/>
    <x v="6"/>
    <x v="0"/>
    <n v="0"/>
    <x v="0"/>
    <x v="2"/>
    <x v="0"/>
    <x v="6"/>
    <x v="1"/>
    <x v="2"/>
    <x v="13"/>
    <n v="0.69"/>
    <n v="0.22389999999999999"/>
    <x v="3"/>
    <x v="4"/>
    <x v="4"/>
  </r>
  <r>
    <n v="142"/>
    <x v="6"/>
    <x v="0"/>
    <n v="0"/>
    <x v="0"/>
    <x v="4"/>
    <x v="0"/>
    <x v="6"/>
    <x v="1"/>
    <x v="2"/>
    <x v="12"/>
    <n v="0.69"/>
    <n v="0.1343"/>
    <x v="3"/>
    <x v="4"/>
    <x v="4"/>
  </r>
  <r>
    <n v="143"/>
    <x v="6"/>
    <x v="0"/>
    <n v="0"/>
    <x v="0"/>
    <x v="5"/>
    <x v="0"/>
    <x v="6"/>
    <x v="2"/>
    <x v="1"/>
    <x v="1"/>
    <n v="0.55000000000000004"/>
    <n v="0"/>
    <x v="3"/>
    <x v="34"/>
    <x v="36"/>
  </r>
  <r>
    <n v="144"/>
    <x v="6"/>
    <x v="0"/>
    <n v="0"/>
    <x v="0"/>
    <x v="6"/>
    <x v="0"/>
    <x v="6"/>
    <x v="1"/>
    <x v="2"/>
    <x v="2"/>
    <n v="0.69"/>
    <n v="0"/>
    <x v="1"/>
    <x v="16"/>
    <x v="19"/>
  </r>
  <r>
    <n v="145"/>
    <x v="6"/>
    <x v="0"/>
    <n v="0"/>
    <x v="0"/>
    <x v="7"/>
    <x v="0"/>
    <x v="6"/>
    <x v="0"/>
    <x v="2"/>
    <x v="12"/>
    <n v="0.69"/>
    <n v="0.1343"/>
    <x v="1"/>
    <x v="83"/>
    <x v="11"/>
  </r>
  <r>
    <n v="146"/>
    <x v="6"/>
    <x v="0"/>
    <n v="0"/>
    <x v="0"/>
    <x v="8"/>
    <x v="0"/>
    <x v="6"/>
    <x v="0"/>
    <x v="2"/>
    <x v="13"/>
    <n v="0.51"/>
    <n v="0.25369999999999998"/>
    <x v="20"/>
    <x v="84"/>
    <x v="86"/>
  </r>
  <r>
    <n v="147"/>
    <x v="6"/>
    <x v="0"/>
    <n v="0"/>
    <x v="0"/>
    <x v="9"/>
    <x v="0"/>
    <x v="6"/>
    <x v="0"/>
    <x v="2"/>
    <x v="18"/>
    <n v="0.47"/>
    <n v="0.29849999999999999"/>
    <x v="14"/>
    <x v="85"/>
    <x v="87"/>
  </r>
  <r>
    <n v="148"/>
    <x v="6"/>
    <x v="0"/>
    <n v="0"/>
    <x v="0"/>
    <x v="10"/>
    <x v="0"/>
    <x v="6"/>
    <x v="0"/>
    <x v="1"/>
    <x v="13"/>
    <n v="0.37"/>
    <n v="0.32840000000000003"/>
    <x v="19"/>
    <x v="12"/>
    <x v="55"/>
  </r>
  <r>
    <n v="149"/>
    <x v="6"/>
    <x v="0"/>
    <n v="0"/>
    <x v="0"/>
    <x v="11"/>
    <x v="0"/>
    <x v="6"/>
    <x v="1"/>
    <x v="2"/>
    <x v="13"/>
    <n v="0.4"/>
    <n v="0.22389999999999999"/>
    <x v="21"/>
    <x v="41"/>
    <x v="16"/>
  </r>
  <r>
    <n v="150"/>
    <x v="6"/>
    <x v="0"/>
    <n v="0"/>
    <x v="0"/>
    <x v="12"/>
    <x v="0"/>
    <x v="6"/>
    <x v="1"/>
    <x v="2"/>
    <x v="13"/>
    <n v="0.37"/>
    <n v="0.25369999999999998"/>
    <x v="14"/>
    <x v="54"/>
    <x v="29"/>
  </r>
  <r>
    <n v="151"/>
    <x v="6"/>
    <x v="0"/>
    <n v="0"/>
    <x v="0"/>
    <x v="13"/>
    <x v="0"/>
    <x v="6"/>
    <x v="1"/>
    <x v="2"/>
    <x v="18"/>
    <n v="0.37"/>
    <n v="0.28360000000000002"/>
    <x v="14"/>
    <x v="27"/>
    <x v="88"/>
  </r>
  <r>
    <n v="152"/>
    <x v="6"/>
    <x v="0"/>
    <n v="0"/>
    <x v="0"/>
    <x v="14"/>
    <x v="0"/>
    <x v="6"/>
    <x v="1"/>
    <x v="2"/>
    <x v="13"/>
    <n v="0.4"/>
    <n v="0.25369999999999998"/>
    <x v="18"/>
    <x v="30"/>
    <x v="89"/>
  </r>
  <r>
    <n v="153"/>
    <x v="6"/>
    <x v="0"/>
    <n v="0"/>
    <x v="0"/>
    <x v="15"/>
    <x v="0"/>
    <x v="6"/>
    <x v="1"/>
    <x v="2"/>
    <x v="12"/>
    <n v="0.37"/>
    <n v="0.16420000000000001"/>
    <x v="14"/>
    <x v="36"/>
    <x v="44"/>
  </r>
  <r>
    <n v="154"/>
    <x v="6"/>
    <x v="0"/>
    <n v="0"/>
    <x v="0"/>
    <x v="16"/>
    <x v="0"/>
    <x v="6"/>
    <x v="1"/>
    <x v="2"/>
    <x v="12"/>
    <n v="0.37"/>
    <n v="0.16420000000000001"/>
    <x v="2"/>
    <x v="70"/>
    <x v="90"/>
  </r>
  <r>
    <n v="155"/>
    <x v="6"/>
    <x v="0"/>
    <n v="0"/>
    <x v="0"/>
    <x v="17"/>
    <x v="0"/>
    <x v="6"/>
    <x v="1"/>
    <x v="2"/>
    <x v="2"/>
    <n v="0.37"/>
    <n v="0"/>
    <x v="14"/>
    <x v="86"/>
    <x v="91"/>
  </r>
  <r>
    <n v="156"/>
    <x v="6"/>
    <x v="0"/>
    <n v="0"/>
    <x v="0"/>
    <x v="18"/>
    <x v="0"/>
    <x v="6"/>
    <x v="0"/>
    <x v="2"/>
    <x v="11"/>
    <n v="0.4"/>
    <n v="8.9599999999999999E-2"/>
    <x v="18"/>
    <x v="75"/>
    <x v="92"/>
  </r>
  <r>
    <n v="157"/>
    <x v="6"/>
    <x v="0"/>
    <n v="0"/>
    <x v="0"/>
    <x v="19"/>
    <x v="0"/>
    <x v="6"/>
    <x v="0"/>
    <x v="13"/>
    <x v="13"/>
    <n v="0.55000000000000004"/>
    <n v="8.9599999999999999E-2"/>
    <x v="0"/>
    <x v="50"/>
    <x v="76"/>
  </r>
  <r>
    <n v="158"/>
    <x v="6"/>
    <x v="0"/>
    <n v="0"/>
    <x v="0"/>
    <x v="20"/>
    <x v="0"/>
    <x v="6"/>
    <x v="0"/>
    <x v="15"/>
    <x v="12"/>
    <n v="0.47"/>
    <n v="0.1045"/>
    <x v="5"/>
    <x v="54"/>
    <x v="41"/>
  </r>
  <r>
    <n v="159"/>
    <x v="6"/>
    <x v="0"/>
    <n v="0"/>
    <x v="0"/>
    <x v="21"/>
    <x v="0"/>
    <x v="6"/>
    <x v="0"/>
    <x v="15"/>
    <x v="13"/>
    <n v="0.47"/>
    <n v="0.1343"/>
    <x v="3"/>
    <x v="87"/>
    <x v="21"/>
  </r>
  <r>
    <n v="160"/>
    <x v="6"/>
    <x v="0"/>
    <n v="0"/>
    <x v="0"/>
    <x v="22"/>
    <x v="0"/>
    <x v="6"/>
    <x v="1"/>
    <x v="15"/>
    <x v="13"/>
    <n v="0.43"/>
    <n v="0.16420000000000001"/>
    <x v="4"/>
    <x v="60"/>
    <x v="9"/>
  </r>
  <r>
    <n v="161"/>
    <x v="6"/>
    <x v="0"/>
    <n v="0"/>
    <x v="0"/>
    <x v="23"/>
    <x v="0"/>
    <x v="6"/>
    <x v="1"/>
    <x v="15"/>
    <x v="13"/>
    <n v="0.51"/>
    <n v="0.16420000000000001"/>
    <x v="5"/>
    <x v="88"/>
    <x v="93"/>
  </r>
  <r>
    <n v="162"/>
    <x v="7"/>
    <x v="0"/>
    <n v="0"/>
    <x v="0"/>
    <x v="0"/>
    <x v="0"/>
    <x v="0"/>
    <x v="1"/>
    <x v="15"/>
    <x v="13"/>
    <n v="0.51"/>
    <n v="0.16420000000000001"/>
    <x v="5"/>
    <x v="9"/>
    <x v="94"/>
  </r>
  <r>
    <n v="163"/>
    <x v="7"/>
    <x v="0"/>
    <n v="0"/>
    <x v="0"/>
    <x v="1"/>
    <x v="0"/>
    <x v="0"/>
    <x v="1"/>
    <x v="15"/>
    <x v="12"/>
    <n v="0.55000000000000004"/>
    <n v="8.9599999999999999E-2"/>
    <x v="5"/>
    <x v="89"/>
    <x v="0"/>
  </r>
  <r>
    <n v="164"/>
    <x v="7"/>
    <x v="0"/>
    <n v="0"/>
    <x v="0"/>
    <x v="2"/>
    <x v="0"/>
    <x v="0"/>
    <x v="1"/>
    <x v="15"/>
    <x v="19"/>
    <n v="0.55000000000000004"/>
    <n v="0"/>
    <x v="0"/>
    <x v="0"/>
    <x v="0"/>
  </r>
  <r>
    <n v="165"/>
    <x v="7"/>
    <x v="0"/>
    <n v="0"/>
    <x v="0"/>
    <x v="3"/>
    <x v="0"/>
    <x v="0"/>
    <x v="2"/>
    <x v="15"/>
    <x v="13"/>
    <n v="0.55000000000000004"/>
    <n v="0.16420000000000001"/>
    <x v="3"/>
    <x v="7"/>
    <x v="85"/>
  </r>
  <r>
    <n v="166"/>
    <x v="7"/>
    <x v="0"/>
    <n v="0"/>
    <x v="0"/>
    <x v="4"/>
    <x v="0"/>
    <x v="0"/>
    <x v="2"/>
    <x v="15"/>
    <x v="13"/>
    <n v="0.55000000000000004"/>
    <n v="0.16420000000000001"/>
    <x v="3"/>
    <x v="4"/>
    <x v="4"/>
  </r>
  <r>
    <n v="167"/>
    <x v="7"/>
    <x v="0"/>
    <n v="0"/>
    <x v="0"/>
    <x v="5"/>
    <x v="0"/>
    <x v="0"/>
    <x v="1"/>
    <x v="13"/>
    <x v="17"/>
    <n v="0.74"/>
    <n v="0.16420000000000001"/>
    <x v="3"/>
    <x v="34"/>
    <x v="36"/>
  </r>
  <r>
    <n v="168"/>
    <x v="7"/>
    <x v="0"/>
    <n v="0"/>
    <x v="0"/>
    <x v="6"/>
    <x v="0"/>
    <x v="0"/>
    <x v="1"/>
    <x v="13"/>
    <x v="17"/>
    <n v="0.74"/>
    <n v="0.16420000000000001"/>
    <x v="3"/>
    <x v="6"/>
    <x v="5"/>
  </r>
  <r>
    <n v="169"/>
    <x v="7"/>
    <x v="0"/>
    <n v="0"/>
    <x v="0"/>
    <x v="7"/>
    <x v="0"/>
    <x v="0"/>
    <x v="1"/>
    <x v="13"/>
    <x v="18"/>
    <n v="0.74"/>
    <n v="0.1045"/>
    <x v="5"/>
    <x v="21"/>
    <x v="23"/>
  </r>
  <r>
    <n v="170"/>
    <x v="7"/>
    <x v="0"/>
    <n v="0"/>
    <x v="0"/>
    <x v="8"/>
    <x v="0"/>
    <x v="0"/>
    <x v="2"/>
    <x v="13"/>
    <x v="18"/>
    <n v="0.93"/>
    <n v="0.1045"/>
    <x v="3"/>
    <x v="89"/>
    <x v="93"/>
  </r>
  <r>
    <n v="171"/>
    <x v="7"/>
    <x v="0"/>
    <n v="0"/>
    <x v="0"/>
    <x v="9"/>
    <x v="0"/>
    <x v="0"/>
    <x v="2"/>
    <x v="13"/>
    <x v="18"/>
    <n v="0.93"/>
    <n v="0.1045"/>
    <x v="3"/>
    <x v="32"/>
    <x v="25"/>
  </r>
  <r>
    <n v="172"/>
    <x v="7"/>
    <x v="0"/>
    <n v="0"/>
    <x v="0"/>
    <x v="10"/>
    <x v="0"/>
    <x v="0"/>
    <x v="1"/>
    <x v="15"/>
    <x v="13"/>
    <n v="0.8"/>
    <n v="0.16420000000000001"/>
    <x v="2"/>
    <x v="90"/>
    <x v="42"/>
  </r>
  <r>
    <n v="173"/>
    <x v="7"/>
    <x v="0"/>
    <n v="0"/>
    <x v="0"/>
    <x v="11"/>
    <x v="0"/>
    <x v="0"/>
    <x v="1"/>
    <x v="2"/>
    <x v="18"/>
    <n v="0.69"/>
    <n v="0.3881"/>
    <x v="4"/>
    <x v="91"/>
    <x v="69"/>
  </r>
  <r>
    <n v="174"/>
    <x v="7"/>
    <x v="0"/>
    <n v="0"/>
    <x v="0"/>
    <x v="12"/>
    <x v="0"/>
    <x v="0"/>
    <x v="1"/>
    <x v="2"/>
    <x v="18"/>
    <n v="0.59"/>
    <n v="0.35820000000000002"/>
    <x v="1"/>
    <x v="92"/>
    <x v="95"/>
  </r>
  <r>
    <n v="175"/>
    <x v="7"/>
    <x v="0"/>
    <n v="0"/>
    <x v="0"/>
    <x v="13"/>
    <x v="0"/>
    <x v="0"/>
    <x v="0"/>
    <x v="2"/>
    <x v="18"/>
    <n v="0.44"/>
    <n v="0.32840000000000003"/>
    <x v="18"/>
    <x v="73"/>
    <x v="96"/>
  </r>
  <r>
    <n v="176"/>
    <x v="7"/>
    <x v="0"/>
    <n v="0"/>
    <x v="0"/>
    <x v="14"/>
    <x v="0"/>
    <x v="0"/>
    <x v="0"/>
    <x v="2"/>
    <x v="17"/>
    <n v="0.32"/>
    <n v="0.49249999999999999"/>
    <x v="6"/>
    <x v="93"/>
    <x v="76"/>
  </r>
  <r>
    <n v="177"/>
    <x v="7"/>
    <x v="0"/>
    <n v="0"/>
    <x v="0"/>
    <x v="15"/>
    <x v="0"/>
    <x v="0"/>
    <x v="0"/>
    <x v="2"/>
    <x v="17"/>
    <n v="0.32"/>
    <n v="0.44779999999999998"/>
    <x v="2"/>
    <x v="94"/>
    <x v="30"/>
  </r>
  <r>
    <n v="178"/>
    <x v="7"/>
    <x v="0"/>
    <n v="0"/>
    <x v="0"/>
    <x v="16"/>
    <x v="0"/>
    <x v="0"/>
    <x v="0"/>
    <x v="15"/>
    <x v="14"/>
    <n v="0.28999999999999998"/>
    <n v="0.44779999999999998"/>
    <x v="1"/>
    <x v="56"/>
    <x v="31"/>
  </r>
  <r>
    <n v="179"/>
    <x v="7"/>
    <x v="0"/>
    <n v="0"/>
    <x v="0"/>
    <x v="17"/>
    <x v="0"/>
    <x v="0"/>
    <x v="0"/>
    <x v="13"/>
    <x v="16"/>
    <n v="0.37"/>
    <n v="0.55220000000000002"/>
    <x v="2"/>
    <x v="27"/>
    <x v="83"/>
  </r>
  <r>
    <n v="180"/>
    <x v="7"/>
    <x v="0"/>
    <n v="0"/>
    <x v="0"/>
    <x v="18"/>
    <x v="0"/>
    <x v="0"/>
    <x v="0"/>
    <x v="14"/>
    <x v="16"/>
    <n v="0.39"/>
    <n v="0.29849999999999999"/>
    <x v="0"/>
    <x v="15"/>
    <x v="97"/>
  </r>
  <r>
    <n v="181"/>
    <x v="7"/>
    <x v="0"/>
    <n v="0"/>
    <x v="0"/>
    <x v="19"/>
    <x v="0"/>
    <x v="0"/>
    <x v="0"/>
    <x v="14"/>
    <x v="16"/>
    <n v="0.36"/>
    <n v="0.25369999999999998"/>
    <x v="17"/>
    <x v="16"/>
    <x v="33"/>
  </r>
  <r>
    <n v="182"/>
    <x v="7"/>
    <x v="0"/>
    <n v="0"/>
    <x v="0"/>
    <x v="20"/>
    <x v="0"/>
    <x v="0"/>
    <x v="0"/>
    <x v="16"/>
    <x v="16"/>
    <n v="0.36"/>
    <n v="0.25369999999999998"/>
    <x v="3"/>
    <x v="95"/>
    <x v="20"/>
  </r>
  <r>
    <n v="183"/>
    <x v="7"/>
    <x v="0"/>
    <n v="0"/>
    <x v="0"/>
    <x v="21"/>
    <x v="0"/>
    <x v="0"/>
    <x v="0"/>
    <x v="16"/>
    <x v="15"/>
    <n v="0.39"/>
    <n v="0.35820000000000002"/>
    <x v="4"/>
    <x v="96"/>
    <x v="18"/>
  </r>
  <r>
    <n v="184"/>
    <x v="7"/>
    <x v="0"/>
    <n v="0"/>
    <x v="0"/>
    <x v="22"/>
    <x v="0"/>
    <x v="0"/>
    <x v="0"/>
    <x v="16"/>
    <x v="15"/>
    <n v="0.36"/>
    <n v="0.3881"/>
    <x v="5"/>
    <x v="39"/>
    <x v="19"/>
  </r>
  <r>
    <n v="185"/>
    <x v="7"/>
    <x v="0"/>
    <n v="0"/>
    <x v="0"/>
    <x v="23"/>
    <x v="0"/>
    <x v="0"/>
    <x v="0"/>
    <x v="18"/>
    <x v="22"/>
    <n v="0.39"/>
    <n v="0.44779999999999998"/>
    <x v="3"/>
    <x v="97"/>
    <x v="34"/>
  </r>
  <r>
    <n v="186"/>
    <x v="8"/>
    <x v="0"/>
    <n v="0"/>
    <x v="0"/>
    <x v="0"/>
    <x v="0"/>
    <x v="1"/>
    <x v="0"/>
    <x v="18"/>
    <x v="23"/>
    <n v="0.42"/>
    <n v="0.3881"/>
    <x v="5"/>
    <x v="9"/>
    <x v="94"/>
  </r>
  <r>
    <n v="187"/>
    <x v="8"/>
    <x v="0"/>
    <n v="0"/>
    <x v="0"/>
    <x v="1"/>
    <x v="0"/>
    <x v="1"/>
    <x v="0"/>
    <x v="18"/>
    <x v="22"/>
    <n v="0.42"/>
    <n v="0.4627"/>
    <x v="3"/>
    <x v="98"/>
    <x v="47"/>
  </r>
  <r>
    <n v="188"/>
    <x v="8"/>
    <x v="0"/>
    <n v="0"/>
    <x v="0"/>
    <x v="2"/>
    <x v="0"/>
    <x v="1"/>
    <x v="0"/>
    <x v="18"/>
    <x v="22"/>
    <n v="0.46"/>
    <n v="0.4627"/>
    <x v="3"/>
    <x v="48"/>
    <x v="62"/>
  </r>
  <r>
    <n v="189"/>
    <x v="8"/>
    <x v="0"/>
    <n v="0"/>
    <x v="0"/>
    <x v="3"/>
    <x v="0"/>
    <x v="1"/>
    <x v="0"/>
    <x v="18"/>
    <x v="23"/>
    <n v="0.46"/>
    <n v="0.41789999999999999"/>
    <x v="3"/>
    <x v="22"/>
    <x v="48"/>
  </r>
  <r>
    <n v="190"/>
    <x v="8"/>
    <x v="0"/>
    <n v="0"/>
    <x v="0"/>
    <x v="4"/>
    <x v="0"/>
    <x v="1"/>
    <x v="0"/>
    <x v="19"/>
    <x v="24"/>
    <n v="0.53"/>
    <n v="0.19400000000000001"/>
    <x v="3"/>
    <x v="4"/>
    <x v="4"/>
  </r>
  <r>
    <n v="191"/>
    <x v="8"/>
    <x v="0"/>
    <n v="0"/>
    <x v="0"/>
    <x v="5"/>
    <x v="0"/>
    <x v="1"/>
    <x v="0"/>
    <x v="19"/>
    <x v="24"/>
    <n v="0.53"/>
    <n v="0.19400000000000001"/>
    <x v="3"/>
    <x v="4"/>
    <x v="4"/>
  </r>
  <r>
    <n v="192"/>
    <x v="8"/>
    <x v="0"/>
    <n v="0"/>
    <x v="0"/>
    <x v="6"/>
    <x v="0"/>
    <x v="1"/>
    <x v="0"/>
    <x v="18"/>
    <x v="24"/>
    <n v="0.49"/>
    <n v="0.28360000000000002"/>
    <x v="3"/>
    <x v="4"/>
    <x v="4"/>
  </r>
  <r>
    <n v="193"/>
    <x v="8"/>
    <x v="0"/>
    <n v="0"/>
    <x v="0"/>
    <x v="7"/>
    <x v="0"/>
    <x v="1"/>
    <x v="0"/>
    <x v="19"/>
    <x v="24"/>
    <n v="0.53"/>
    <n v="0.19400000000000001"/>
    <x v="5"/>
    <x v="34"/>
    <x v="24"/>
  </r>
  <r>
    <n v="194"/>
    <x v="8"/>
    <x v="0"/>
    <n v="0"/>
    <x v="0"/>
    <x v="8"/>
    <x v="0"/>
    <x v="1"/>
    <x v="0"/>
    <x v="18"/>
    <x v="24"/>
    <n v="0.49"/>
    <n v="0.28360000000000002"/>
    <x v="3"/>
    <x v="3"/>
    <x v="98"/>
  </r>
  <r>
    <n v="195"/>
    <x v="8"/>
    <x v="0"/>
    <n v="0"/>
    <x v="0"/>
    <x v="9"/>
    <x v="0"/>
    <x v="1"/>
    <x v="0"/>
    <x v="16"/>
    <x v="23"/>
    <n v="0.46"/>
    <n v="0.52239999999999998"/>
    <x v="3"/>
    <x v="23"/>
    <x v="75"/>
  </r>
  <r>
    <n v="196"/>
    <x v="8"/>
    <x v="0"/>
    <n v="0"/>
    <x v="0"/>
    <x v="10"/>
    <x v="0"/>
    <x v="1"/>
    <x v="0"/>
    <x v="14"/>
    <x v="15"/>
    <n v="0.43"/>
    <n v="0.3881"/>
    <x v="3"/>
    <x v="47"/>
    <x v="99"/>
  </r>
  <r>
    <n v="197"/>
    <x v="8"/>
    <x v="0"/>
    <n v="0"/>
    <x v="0"/>
    <x v="11"/>
    <x v="0"/>
    <x v="1"/>
    <x v="0"/>
    <x v="13"/>
    <x v="16"/>
    <n v="0.4"/>
    <n v="0.52239999999999998"/>
    <x v="4"/>
    <x v="12"/>
    <x v="99"/>
  </r>
  <r>
    <n v="198"/>
    <x v="8"/>
    <x v="0"/>
    <n v="0"/>
    <x v="0"/>
    <x v="12"/>
    <x v="0"/>
    <x v="1"/>
    <x v="0"/>
    <x v="15"/>
    <x v="14"/>
    <n v="0.37"/>
    <n v="0.44779999999999998"/>
    <x v="17"/>
    <x v="55"/>
    <x v="56"/>
  </r>
  <r>
    <n v="199"/>
    <x v="8"/>
    <x v="0"/>
    <n v="0"/>
    <x v="0"/>
    <x v="13"/>
    <x v="0"/>
    <x v="1"/>
    <x v="0"/>
    <x v="2"/>
    <x v="17"/>
    <n v="0.34"/>
    <n v="0.44779999999999998"/>
    <x v="15"/>
    <x v="94"/>
    <x v="28"/>
  </r>
  <r>
    <n v="200"/>
    <x v="8"/>
    <x v="0"/>
    <n v="0"/>
    <x v="0"/>
    <x v="14"/>
    <x v="0"/>
    <x v="1"/>
    <x v="0"/>
    <x v="1"/>
    <x v="18"/>
    <n v="0.32"/>
    <n v="0.4627"/>
    <x v="1"/>
    <x v="27"/>
    <x v="44"/>
  </r>
  <r>
    <n v="201"/>
    <x v="8"/>
    <x v="0"/>
    <n v="0"/>
    <x v="0"/>
    <x v="15"/>
    <x v="0"/>
    <x v="1"/>
    <x v="0"/>
    <x v="1"/>
    <x v="13"/>
    <n v="0.35"/>
    <n v="0.35820000000000002"/>
    <x v="2"/>
    <x v="99"/>
    <x v="100"/>
  </r>
  <r>
    <n v="202"/>
    <x v="8"/>
    <x v="0"/>
    <n v="0"/>
    <x v="0"/>
    <x v="16"/>
    <x v="0"/>
    <x v="1"/>
    <x v="0"/>
    <x v="2"/>
    <x v="17"/>
    <n v="0.34"/>
    <n v="0.44779999999999998"/>
    <x v="23"/>
    <x v="55"/>
    <x v="101"/>
  </r>
  <r>
    <n v="203"/>
    <x v="8"/>
    <x v="0"/>
    <n v="0"/>
    <x v="0"/>
    <x v="17"/>
    <x v="0"/>
    <x v="1"/>
    <x v="0"/>
    <x v="15"/>
    <x v="20"/>
    <n v="0.37"/>
    <n v="0.3881"/>
    <x v="0"/>
    <x v="79"/>
    <x v="69"/>
  </r>
  <r>
    <n v="204"/>
    <x v="8"/>
    <x v="0"/>
    <n v="0"/>
    <x v="0"/>
    <x v="18"/>
    <x v="0"/>
    <x v="1"/>
    <x v="0"/>
    <x v="13"/>
    <x v="14"/>
    <n v="0.4"/>
    <n v="0.32840000000000003"/>
    <x v="17"/>
    <x v="100"/>
    <x v="61"/>
  </r>
  <r>
    <n v="205"/>
    <x v="8"/>
    <x v="0"/>
    <n v="0"/>
    <x v="0"/>
    <x v="19"/>
    <x v="0"/>
    <x v="1"/>
    <x v="0"/>
    <x v="13"/>
    <x v="14"/>
    <n v="0.43"/>
    <n v="0.32840000000000003"/>
    <x v="5"/>
    <x v="71"/>
    <x v="102"/>
  </r>
  <r>
    <n v="206"/>
    <x v="8"/>
    <x v="0"/>
    <n v="0"/>
    <x v="0"/>
    <x v="20"/>
    <x v="0"/>
    <x v="1"/>
    <x v="0"/>
    <x v="14"/>
    <x v="16"/>
    <n v="0.46"/>
    <n v="0.25369999999999998"/>
    <x v="3"/>
    <x v="101"/>
    <x v="103"/>
  </r>
  <r>
    <n v="207"/>
    <x v="8"/>
    <x v="0"/>
    <n v="0"/>
    <x v="0"/>
    <x v="21"/>
    <x v="0"/>
    <x v="1"/>
    <x v="0"/>
    <x v="14"/>
    <x v="15"/>
    <n v="0.46"/>
    <n v="0.41789999999999999"/>
    <x v="5"/>
    <x v="23"/>
    <x v="25"/>
  </r>
  <r>
    <n v="208"/>
    <x v="8"/>
    <x v="0"/>
    <n v="0"/>
    <x v="0"/>
    <x v="22"/>
    <x v="0"/>
    <x v="1"/>
    <x v="0"/>
    <x v="14"/>
    <x v="16"/>
    <n v="0.46"/>
    <n v="0.29849999999999999"/>
    <x v="2"/>
    <x v="3"/>
    <x v="93"/>
  </r>
  <r>
    <n v="209"/>
    <x v="8"/>
    <x v="0"/>
    <n v="0"/>
    <x v="0"/>
    <x v="23"/>
    <x v="0"/>
    <x v="1"/>
    <x v="0"/>
    <x v="16"/>
    <x v="14"/>
    <n v="0.5"/>
    <n v="0.19400000000000001"/>
    <x v="3"/>
    <x v="8"/>
    <x v="24"/>
  </r>
  <r>
    <n v="210"/>
    <x v="9"/>
    <x v="0"/>
    <n v="0"/>
    <x v="0"/>
    <x v="0"/>
    <x v="0"/>
    <x v="2"/>
    <x v="0"/>
    <x v="16"/>
    <x v="16"/>
    <n v="0.5"/>
    <n v="0.28360000000000002"/>
    <x v="4"/>
    <x v="35"/>
    <x v="36"/>
  </r>
  <r>
    <n v="211"/>
    <x v="9"/>
    <x v="0"/>
    <n v="0"/>
    <x v="0"/>
    <x v="1"/>
    <x v="0"/>
    <x v="2"/>
    <x v="0"/>
    <x v="16"/>
    <x v="16"/>
    <n v="0.5"/>
    <n v="0.28360000000000002"/>
    <x v="5"/>
    <x v="5"/>
    <x v="4"/>
  </r>
  <r>
    <n v="212"/>
    <x v="9"/>
    <x v="0"/>
    <n v="0"/>
    <x v="0"/>
    <x v="2"/>
    <x v="0"/>
    <x v="2"/>
    <x v="0"/>
    <x v="16"/>
    <x v="16"/>
    <n v="0.5"/>
    <n v="0.22389999999999999"/>
    <x v="3"/>
    <x v="35"/>
    <x v="6"/>
  </r>
  <r>
    <n v="213"/>
    <x v="9"/>
    <x v="0"/>
    <n v="0"/>
    <x v="0"/>
    <x v="3"/>
    <x v="0"/>
    <x v="2"/>
    <x v="0"/>
    <x v="16"/>
    <x v="16"/>
    <n v="0.5"/>
    <n v="0.22389999999999999"/>
    <x v="3"/>
    <x v="4"/>
    <x v="4"/>
  </r>
  <r>
    <n v="214"/>
    <x v="9"/>
    <x v="0"/>
    <n v="0"/>
    <x v="0"/>
    <x v="4"/>
    <x v="0"/>
    <x v="2"/>
    <x v="0"/>
    <x v="18"/>
    <x v="16"/>
    <n v="0.54"/>
    <n v="0.1343"/>
    <x v="5"/>
    <x v="6"/>
    <x v="6"/>
  </r>
  <r>
    <n v="215"/>
    <x v="9"/>
    <x v="0"/>
    <n v="0"/>
    <x v="0"/>
    <x v="5"/>
    <x v="0"/>
    <x v="2"/>
    <x v="0"/>
    <x v="18"/>
    <x v="15"/>
    <n v="0.54"/>
    <n v="0.25369999999999998"/>
    <x v="3"/>
    <x v="35"/>
    <x v="6"/>
  </r>
  <r>
    <n v="216"/>
    <x v="9"/>
    <x v="0"/>
    <n v="0"/>
    <x v="0"/>
    <x v="6"/>
    <x v="0"/>
    <x v="2"/>
    <x v="0"/>
    <x v="16"/>
    <x v="16"/>
    <n v="0.5"/>
    <n v="0.28360000000000002"/>
    <x v="3"/>
    <x v="17"/>
    <x v="35"/>
  </r>
  <r>
    <n v="217"/>
    <x v="9"/>
    <x v="0"/>
    <n v="0"/>
    <x v="0"/>
    <x v="7"/>
    <x v="0"/>
    <x v="2"/>
    <x v="0"/>
    <x v="16"/>
    <x v="16"/>
    <n v="0.5"/>
    <n v="0.22389999999999999"/>
    <x v="4"/>
    <x v="102"/>
    <x v="43"/>
  </r>
  <r>
    <n v="218"/>
    <x v="9"/>
    <x v="0"/>
    <n v="0"/>
    <x v="0"/>
    <x v="8"/>
    <x v="0"/>
    <x v="2"/>
    <x v="1"/>
    <x v="16"/>
    <x v="16"/>
    <n v="0.5"/>
    <n v="0.28360000000000002"/>
    <x v="17"/>
    <x v="103"/>
    <x v="104"/>
  </r>
  <r>
    <n v="219"/>
    <x v="9"/>
    <x v="0"/>
    <n v="0"/>
    <x v="0"/>
    <x v="9"/>
    <x v="0"/>
    <x v="2"/>
    <x v="1"/>
    <x v="14"/>
    <x v="16"/>
    <n v="0.5"/>
    <n v="0.25369999999999998"/>
    <x v="4"/>
    <x v="50"/>
    <x v="12"/>
  </r>
  <r>
    <n v="220"/>
    <x v="9"/>
    <x v="0"/>
    <n v="0"/>
    <x v="0"/>
    <x v="10"/>
    <x v="0"/>
    <x v="2"/>
    <x v="1"/>
    <x v="14"/>
    <x v="16"/>
    <n v="0.5"/>
    <n v="0.29849999999999999"/>
    <x v="3"/>
    <x v="17"/>
    <x v="35"/>
  </r>
  <r>
    <n v="221"/>
    <x v="9"/>
    <x v="0"/>
    <n v="0"/>
    <x v="0"/>
    <x v="11"/>
    <x v="0"/>
    <x v="2"/>
    <x v="1"/>
    <x v="13"/>
    <x v="14"/>
    <n v="0.47"/>
    <n v="0.28360000000000002"/>
    <x v="4"/>
    <x v="95"/>
    <x v="33"/>
  </r>
  <r>
    <n v="222"/>
    <x v="9"/>
    <x v="0"/>
    <n v="0"/>
    <x v="0"/>
    <x v="12"/>
    <x v="0"/>
    <x v="2"/>
    <x v="1"/>
    <x v="2"/>
    <x v="18"/>
    <n v="0.4"/>
    <n v="0.28360000000000002"/>
    <x v="2"/>
    <x v="12"/>
    <x v="46"/>
  </r>
  <r>
    <n v="223"/>
    <x v="9"/>
    <x v="0"/>
    <n v="0"/>
    <x v="0"/>
    <x v="13"/>
    <x v="0"/>
    <x v="2"/>
    <x v="1"/>
    <x v="2"/>
    <x v="18"/>
    <n v="0.4"/>
    <n v="0.28360000000000002"/>
    <x v="17"/>
    <x v="54"/>
    <x v="60"/>
  </r>
  <r>
    <n v="224"/>
    <x v="9"/>
    <x v="0"/>
    <n v="0"/>
    <x v="0"/>
    <x v="14"/>
    <x v="0"/>
    <x v="2"/>
    <x v="1"/>
    <x v="2"/>
    <x v="13"/>
    <n v="0.4"/>
    <n v="0.22389999999999999"/>
    <x v="3"/>
    <x v="12"/>
    <x v="105"/>
  </r>
  <r>
    <n v="225"/>
    <x v="9"/>
    <x v="0"/>
    <n v="0"/>
    <x v="0"/>
    <x v="15"/>
    <x v="0"/>
    <x v="2"/>
    <x v="1"/>
    <x v="2"/>
    <x v="13"/>
    <n v="0.4"/>
    <n v="0.22389999999999999"/>
    <x v="4"/>
    <x v="30"/>
    <x v="79"/>
  </r>
  <r>
    <n v="226"/>
    <x v="9"/>
    <x v="0"/>
    <n v="0"/>
    <x v="0"/>
    <x v="16"/>
    <x v="0"/>
    <x v="2"/>
    <x v="0"/>
    <x v="2"/>
    <x v="12"/>
    <n v="0.4"/>
    <n v="0.1343"/>
    <x v="17"/>
    <x v="14"/>
    <x v="30"/>
  </r>
  <r>
    <n v="227"/>
    <x v="9"/>
    <x v="0"/>
    <n v="0"/>
    <x v="0"/>
    <x v="17"/>
    <x v="0"/>
    <x v="2"/>
    <x v="0"/>
    <x v="2"/>
    <x v="11"/>
    <n v="0.4"/>
    <n v="0.1045"/>
    <x v="17"/>
    <x v="104"/>
    <x v="106"/>
  </r>
  <r>
    <n v="228"/>
    <x v="9"/>
    <x v="0"/>
    <n v="0"/>
    <x v="0"/>
    <x v="18"/>
    <x v="0"/>
    <x v="2"/>
    <x v="0"/>
    <x v="2"/>
    <x v="13"/>
    <n v="0.4"/>
    <n v="0.22389999999999999"/>
    <x v="5"/>
    <x v="105"/>
    <x v="107"/>
  </r>
  <r>
    <n v="229"/>
    <x v="9"/>
    <x v="0"/>
    <n v="0"/>
    <x v="0"/>
    <x v="19"/>
    <x v="0"/>
    <x v="2"/>
    <x v="0"/>
    <x v="13"/>
    <x v="17"/>
    <n v="0.47"/>
    <n v="0.16420000000000001"/>
    <x v="0"/>
    <x v="50"/>
    <x v="76"/>
  </r>
  <r>
    <n v="230"/>
    <x v="9"/>
    <x v="0"/>
    <n v="0"/>
    <x v="0"/>
    <x v="20"/>
    <x v="0"/>
    <x v="2"/>
    <x v="0"/>
    <x v="13"/>
    <x v="17"/>
    <n v="0.5"/>
    <n v="0.16420000000000001"/>
    <x v="5"/>
    <x v="26"/>
    <x v="30"/>
  </r>
  <r>
    <n v="231"/>
    <x v="9"/>
    <x v="0"/>
    <n v="0"/>
    <x v="0"/>
    <x v="21"/>
    <x v="0"/>
    <x v="2"/>
    <x v="0"/>
    <x v="14"/>
    <x v="14"/>
    <n v="0.59"/>
    <n v="0.19400000000000001"/>
    <x v="5"/>
    <x v="53"/>
    <x v="103"/>
  </r>
  <r>
    <n v="232"/>
    <x v="9"/>
    <x v="0"/>
    <n v="0"/>
    <x v="0"/>
    <x v="22"/>
    <x v="0"/>
    <x v="2"/>
    <x v="0"/>
    <x v="14"/>
    <x v="20"/>
    <n v="0.59"/>
    <n v="0.16420000000000001"/>
    <x v="4"/>
    <x v="97"/>
    <x v="108"/>
  </r>
  <r>
    <n v="233"/>
    <x v="9"/>
    <x v="0"/>
    <n v="0"/>
    <x v="0"/>
    <x v="23"/>
    <x v="0"/>
    <x v="2"/>
    <x v="0"/>
    <x v="14"/>
    <x v="20"/>
    <n v="0.59"/>
    <n v="0.16420000000000001"/>
    <x v="3"/>
    <x v="72"/>
    <x v="109"/>
  </r>
  <r>
    <n v="234"/>
    <x v="10"/>
    <x v="0"/>
    <n v="0"/>
    <x v="0"/>
    <x v="0"/>
    <x v="0"/>
    <x v="3"/>
    <x v="0"/>
    <x v="14"/>
    <x v="17"/>
    <n v="0.59"/>
    <n v="0.1045"/>
    <x v="4"/>
    <x v="3"/>
    <x v="47"/>
  </r>
  <r>
    <n v="235"/>
    <x v="10"/>
    <x v="0"/>
    <n v="0"/>
    <x v="0"/>
    <x v="1"/>
    <x v="0"/>
    <x v="3"/>
    <x v="0"/>
    <x v="14"/>
    <x v="20"/>
    <n v="0.59"/>
    <n v="0.16420000000000001"/>
    <x v="3"/>
    <x v="35"/>
    <x v="6"/>
  </r>
  <r>
    <n v="236"/>
    <x v="10"/>
    <x v="0"/>
    <n v="0"/>
    <x v="0"/>
    <x v="2"/>
    <x v="0"/>
    <x v="3"/>
    <x v="1"/>
    <x v="13"/>
    <x v="20"/>
    <n v="0.55000000000000004"/>
    <n v="0.19400000000000001"/>
    <x v="3"/>
    <x v="35"/>
    <x v="6"/>
  </r>
  <r>
    <n v="237"/>
    <x v="10"/>
    <x v="0"/>
    <n v="0"/>
    <x v="0"/>
    <x v="5"/>
    <x v="0"/>
    <x v="3"/>
    <x v="1"/>
    <x v="13"/>
    <x v="18"/>
    <n v="0.55000000000000004"/>
    <n v="0.1343"/>
    <x v="3"/>
    <x v="8"/>
    <x v="24"/>
  </r>
  <r>
    <n v="238"/>
    <x v="10"/>
    <x v="0"/>
    <n v="0"/>
    <x v="0"/>
    <x v="6"/>
    <x v="0"/>
    <x v="3"/>
    <x v="1"/>
    <x v="13"/>
    <x v="18"/>
    <n v="0.55000000000000004"/>
    <n v="0.1343"/>
    <x v="3"/>
    <x v="2"/>
    <x v="110"/>
  </r>
  <r>
    <n v="239"/>
    <x v="10"/>
    <x v="0"/>
    <n v="0"/>
    <x v="0"/>
    <x v="7"/>
    <x v="0"/>
    <x v="3"/>
    <x v="1"/>
    <x v="13"/>
    <x v="11"/>
    <n v="0.55000000000000004"/>
    <n v="0"/>
    <x v="4"/>
    <x v="106"/>
    <x v="111"/>
  </r>
  <r>
    <n v="240"/>
    <x v="10"/>
    <x v="0"/>
    <n v="0"/>
    <x v="0"/>
    <x v="8"/>
    <x v="0"/>
    <x v="3"/>
    <x v="1"/>
    <x v="15"/>
    <x v="12"/>
    <n v="0.51"/>
    <n v="8.9599999999999999E-2"/>
    <x v="0"/>
    <x v="107"/>
    <x v="112"/>
  </r>
  <r>
    <n v="241"/>
    <x v="10"/>
    <x v="0"/>
    <n v="0"/>
    <x v="0"/>
    <x v="9"/>
    <x v="0"/>
    <x v="3"/>
    <x v="1"/>
    <x v="15"/>
    <x v="13"/>
    <n v="0.51"/>
    <n v="0.16420000000000001"/>
    <x v="0"/>
    <x v="69"/>
    <x v="113"/>
  </r>
  <r>
    <n v="242"/>
    <x v="10"/>
    <x v="0"/>
    <n v="0"/>
    <x v="0"/>
    <x v="10"/>
    <x v="0"/>
    <x v="3"/>
    <x v="1"/>
    <x v="2"/>
    <x v="12"/>
    <n v="0.51"/>
    <n v="0.16420000000000001"/>
    <x v="0"/>
    <x v="82"/>
    <x v="60"/>
  </r>
  <r>
    <n v="243"/>
    <x v="10"/>
    <x v="0"/>
    <n v="0"/>
    <x v="0"/>
    <x v="11"/>
    <x v="0"/>
    <x v="3"/>
    <x v="1"/>
    <x v="2"/>
    <x v="12"/>
    <n v="0.47"/>
    <n v="0.1343"/>
    <x v="17"/>
    <x v="17"/>
    <x v="17"/>
  </r>
  <r>
    <n v="244"/>
    <x v="10"/>
    <x v="0"/>
    <n v="0"/>
    <x v="0"/>
    <x v="12"/>
    <x v="0"/>
    <x v="3"/>
    <x v="1"/>
    <x v="2"/>
    <x v="11"/>
    <n v="0.51"/>
    <n v="0.1045"/>
    <x v="4"/>
    <x v="11"/>
    <x v="52"/>
  </r>
  <r>
    <n v="245"/>
    <x v="10"/>
    <x v="0"/>
    <n v="0"/>
    <x v="0"/>
    <x v="13"/>
    <x v="0"/>
    <x v="3"/>
    <x v="1"/>
    <x v="2"/>
    <x v="11"/>
    <n v="0.59"/>
    <n v="8.9599999999999999E-2"/>
    <x v="15"/>
    <x v="24"/>
    <x v="46"/>
  </r>
  <r>
    <n v="246"/>
    <x v="10"/>
    <x v="0"/>
    <n v="0"/>
    <x v="0"/>
    <x v="14"/>
    <x v="0"/>
    <x v="3"/>
    <x v="1"/>
    <x v="2"/>
    <x v="11"/>
    <n v="0.59"/>
    <n v="8.9599999999999999E-2"/>
    <x v="0"/>
    <x v="91"/>
    <x v="55"/>
  </r>
  <r>
    <n v="247"/>
    <x v="10"/>
    <x v="0"/>
    <n v="0"/>
    <x v="0"/>
    <x v="15"/>
    <x v="0"/>
    <x v="3"/>
    <x v="1"/>
    <x v="13"/>
    <x v="13"/>
    <n v="0.8"/>
    <n v="8.9599999999999999E-2"/>
    <x v="4"/>
    <x v="108"/>
    <x v="105"/>
  </r>
  <r>
    <n v="248"/>
    <x v="10"/>
    <x v="0"/>
    <n v="0"/>
    <x v="0"/>
    <x v="16"/>
    <x v="0"/>
    <x v="3"/>
    <x v="1"/>
    <x v="13"/>
    <x v="20"/>
    <n v="0.86"/>
    <n v="0.22389999999999999"/>
    <x v="17"/>
    <x v="109"/>
    <x v="31"/>
  </r>
  <r>
    <n v="249"/>
    <x v="10"/>
    <x v="0"/>
    <n v="0"/>
    <x v="0"/>
    <x v="17"/>
    <x v="0"/>
    <x v="3"/>
    <x v="1"/>
    <x v="13"/>
    <x v="20"/>
    <n v="0.86"/>
    <n v="0.22389999999999999"/>
    <x v="15"/>
    <x v="110"/>
    <x v="114"/>
  </r>
  <r>
    <n v="250"/>
    <x v="10"/>
    <x v="0"/>
    <n v="0"/>
    <x v="0"/>
    <x v="18"/>
    <x v="0"/>
    <x v="3"/>
    <x v="2"/>
    <x v="13"/>
    <x v="18"/>
    <n v="0.93"/>
    <n v="0.1045"/>
    <x v="5"/>
    <x v="111"/>
    <x v="76"/>
  </r>
  <r>
    <n v="251"/>
    <x v="10"/>
    <x v="0"/>
    <n v="0"/>
    <x v="0"/>
    <x v="19"/>
    <x v="0"/>
    <x v="3"/>
    <x v="2"/>
    <x v="13"/>
    <x v="11"/>
    <n v="0.93"/>
    <n v="0"/>
    <x v="3"/>
    <x v="82"/>
    <x v="41"/>
  </r>
  <r>
    <n v="252"/>
    <x v="10"/>
    <x v="0"/>
    <n v="0"/>
    <x v="0"/>
    <x v="20"/>
    <x v="0"/>
    <x v="3"/>
    <x v="2"/>
    <x v="13"/>
    <x v="20"/>
    <n v="0.93"/>
    <n v="0.19400000000000001"/>
    <x v="3"/>
    <x v="1"/>
    <x v="2"/>
  </r>
  <r>
    <n v="253"/>
    <x v="10"/>
    <x v="0"/>
    <n v="0"/>
    <x v="0"/>
    <x v="21"/>
    <x v="0"/>
    <x v="3"/>
    <x v="2"/>
    <x v="13"/>
    <x v="13"/>
    <n v="0.86"/>
    <n v="8.9599999999999999E-2"/>
    <x v="3"/>
    <x v="32"/>
    <x v="25"/>
  </r>
  <r>
    <n v="254"/>
    <x v="10"/>
    <x v="0"/>
    <n v="0"/>
    <x v="0"/>
    <x v="22"/>
    <x v="0"/>
    <x v="3"/>
    <x v="2"/>
    <x v="13"/>
    <x v="18"/>
    <n v="0.93"/>
    <n v="0.1045"/>
    <x v="5"/>
    <x v="95"/>
    <x v="115"/>
  </r>
  <r>
    <n v="255"/>
    <x v="10"/>
    <x v="0"/>
    <n v="0"/>
    <x v="0"/>
    <x v="23"/>
    <x v="0"/>
    <x v="3"/>
    <x v="2"/>
    <x v="13"/>
    <x v="13"/>
    <n v="0.93"/>
    <n v="8.9599999999999999E-2"/>
    <x v="5"/>
    <x v="72"/>
    <x v="75"/>
  </r>
  <r>
    <n v="256"/>
    <x v="11"/>
    <x v="0"/>
    <n v="0"/>
    <x v="0"/>
    <x v="0"/>
    <x v="0"/>
    <x v="4"/>
    <x v="1"/>
    <x v="13"/>
    <x v="13"/>
    <n v="0.86"/>
    <n v="8.9599999999999999E-2"/>
    <x v="3"/>
    <x v="7"/>
    <x v="85"/>
  </r>
  <r>
    <n v="257"/>
    <x v="11"/>
    <x v="0"/>
    <n v="0"/>
    <x v="0"/>
    <x v="1"/>
    <x v="0"/>
    <x v="4"/>
    <x v="1"/>
    <x v="13"/>
    <x v="18"/>
    <n v="0.86"/>
    <n v="0.1045"/>
    <x v="3"/>
    <x v="8"/>
    <x v="24"/>
  </r>
  <r>
    <n v="258"/>
    <x v="11"/>
    <x v="0"/>
    <n v="0"/>
    <x v="0"/>
    <x v="2"/>
    <x v="0"/>
    <x v="4"/>
    <x v="0"/>
    <x v="14"/>
    <x v="20"/>
    <n v="0.86"/>
    <n v="0.1343"/>
    <x v="3"/>
    <x v="4"/>
    <x v="4"/>
  </r>
  <r>
    <n v="259"/>
    <x v="11"/>
    <x v="0"/>
    <n v="0"/>
    <x v="0"/>
    <x v="5"/>
    <x v="0"/>
    <x v="4"/>
    <x v="0"/>
    <x v="14"/>
    <x v="20"/>
    <n v="0.86"/>
    <n v="0.16420000000000001"/>
    <x v="3"/>
    <x v="34"/>
    <x v="36"/>
  </r>
  <r>
    <n v="260"/>
    <x v="11"/>
    <x v="0"/>
    <n v="0"/>
    <x v="0"/>
    <x v="6"/>
    <x v="0"/>
    <x v="4"/>
    <x v="0"/>
    <x v="16"/>
    <x v="20"/>
    <n v="0.93"/>
    <n v="0.1343"/>
    <x v="3"/>
    <x v="20"/>
    <x v="0"/>
  </r>
  <r>
    <n v="261"/>
    <x v="11"/>
    <x v="0"/>
    <n v="0"/>
    <x v="0"/>
    <x v="7"/>
    <x v="0"/>
    <x v="4"/>
    <x v="0"/>
    <x v="14"/>
    <x v="20"/>
    <n v="0.69"/>
    <n v="0.1343"/>
    <x v="3"/>
    <x v="25"/>
    <x v="60"/>
  </r>
  <r>
    <n v="262"/>
    <x v="11"/>
    <x v="0"/>
    <n v="0"/>
    <x v="0"/>
    <x v="8"/>
    <x v="0"/>
    <x v="4"/>
    <x v="0"/>
    <x v="13"/>
    <x v="17"/>
    <n v="0.59"/>
    <n v="0.16420000000000001"/>
    <x v="0"/>
    <x v="85"/>
    <x v="116"/>
  </r>
  <r>
    <n v="263"/>
    <x v="11"/>
    <x v="0"/>
    <n v="0"/>
    <x v="0"/>
    <x v="9"/>
    <x v="0"/>
    <x v="4"/>
    <x v="0"/>
    <x v="13"/>
    <x v="14"/>
    <n v="0.59"/>
    <n v="0.32840000000000003"/>
    <x v="0"/>
    <x v="78"/>
    <x v="117"/>
  </r>
  <r>
    <n v="264"/>
    <x v="11"/>
    <x v="0"/>
    <n v="0"/>
    <x v="0"/>
    <x v="10"/>
    <x v="0"/>
    <x v="4"/>
    <x v="0"/>
    <x v="15"/>
    <x v="18"/>
    <n v="0.55000000000000004"/>
    <n v="0.22389999999999999"/>
    <x v="3"/>
    <x v="87"/>
    <x v="21"/>
  </r>
  <r>
    <n v="265"/>
    <x v="11"/>
    <x v="0"/>
    <n v="0"/>
    <x v="0"/>
    <x v="11"/>
    <x v="0"/>
    <x v="4"/>
    <x v="0"/>
    <x v="2"/>
    <x v="18"/>
    <n v="0.51"/>
    <n v="0.3881"/>
    <x v="0"/>
    <x v="1"/>
    <x v="17"/>
  </r>
  <r>
    <n v="266"/>
    <x v="11"/>
    <x v="0"/>
    <n v="0"/>
    <x v="0"/>
    <x v="12"/>
    <x v="0"/>
    <x v="4"/>
    <x v="0"/>
    <x v="2"/>
    <x v="20"/>
    <n v="0.47"/>
    <n v="0.58209999999999995"/>
    <x v="0"/>
    <x v="15"/>
    <x v="97"/>
  </r>
  <r>
    <n v="267"/>
    <x v="11"/>
    <x v="0"/>
    <n v="0"/>
    <x v="0"/>
    <x v="13"/>
    <x v="0"/>
    <x v="4"/>
    <x v="0"/>
    <x v="1"/>
    <x v="13"/>
    <n v="0.44"/>
    <n v="0.35820000000000002"/>
    <x v="3"/>
    <x v="47"/>
    <x v="99"/>
  </r>
  <r>
    <n v="268"/>
    <x v="11"/>
    <x v="0"/>
    <n v="0"/>
    <x v="0"/>
    <x v="14"/>
    <x v="0"/>
    <x v="4"/>
    <x v="0"/>
    <x v="2"/>
    <x v="18"/>
    <n v="0.47"/>
    <n v="0.32840000000000003"/>
    <x v="3"/>
    <x v="100"/>
    <x v="40"/>
  </r>
  <r>
    <n v="269"/>
    <x v="11"/>
    <x v="0"/>
    <n v="0"/>
    <x v="0"/>
    <x v="15"/>
    <x v="0"/>
    <x v="4"/>
    <x v="0"/>
    <x v="2"/>
    <x v="17"/>
    <n v="0.47"/>
    <n v="0.41789999999999999"/>
    <x v="5"/>
    <x v="41"/>
    <x v="99"/>
  </r>
  <r>
    <n v="270"/>
    <x v="11"/>
    <x v="0"/>
    <n v="0"/>
    <x v="0"/>
    <x v="16"/>
    <x v="0"/>
    <x v="4"/>
    <x v="0"/>
    <x v="1"/>
    <x v="13"/>
    <n v="0.44"/>
    <n v="0.32840000000000003"/>
    <x v="2"/>
    <x v="36"/>
    <x v="118"/>
  </r>
  <r>
    <n v="271"/>
    <x v="11"/>
    <x v="0"/>
    <n v="0"/>
    <x v="0"/>
    <x v="17"/>
    <x v="0"/>
    <x v="4"/>
    <x v="0"/>
    <x v="2"/>
    <x v="18"/>
    <n v="0.47"/>
    <n v="0.35820000000000002"/>
    <x v="3"/>
    <x v="112"/>
    <x v="119"/>
  </r>
  <r>
    <n v="272"/>
    <x v="11"/>
    <x v="0"/>
    <n v="0"/>
    <x v="0"/>
    <x v="18"/>
    <x v="0"/>
    <x v="4"/>
    <x v="0"/>
    <x v="2"/>
    <x v="20"/>
    <n v="0.47"/>
    <n v="0.52239999999999998"/>
    <x v="4"/>
    <x v="113"/>
    <x v="120"/>
  </r>
  <r>
    <n v="273"/>
    <x v="11"/>
    <x v="0"/>
    <n v="0"/>
    <x v="0"/>
    <x v="19"/>
    <x v="0"/>
    <x v="4"/>
    <x v="0"/>
    <x v="15"/>
    <x v="20"/>
    <n v="0.47"/>
    <n v="0.41789999999999999"/>
    <x v="5"/>
    <x v="70"/>
    <x v="56"/>
  </r>
  <r>
    <n v="274"/>
    <x v="11"/>
    <x v="0"/>
    <n v="0"/>
    <x v="0"/>
    <x v="20"/>
    <x v="0"/>
    <x v="4"/>
    <x v="0"/>
    <x v="13"/>
    <x v="14"/>
    <n v="0.5"/>
    <n v="0.32840000000000003"/>
    <x v="4"/>
    <x v="25"/>
    <x v="10"/>
  </r>
  <r>
    <n v="275"/>
    <x v="11"/>
    <x v="0"/>
    <n v="0"/>
    <x v="0"/>
    <x v="21"/>
    <x v="0"/>
    <x v="4"/>
    <x v="0"/>
    <x v="13"/>
    <x v="14"/>
    <n v="0.55000000000000004"/>
    <n v="0.32840000000000003"/>
    <x v="3"/>
    <x v="77"/>
    <x v="52"/>
  </r>
  <r>
    <n v="276"/>
    <x v="11"/>
    <x v="0"/>
    <n v="0"/>
    <x v="0"/>
    <x v="22"/>
    <x v="0"/>
    <x v="4"/>
    <x v="0"/>
    <x v="13"/>
    <x v="16"/>
    <n v="0.55000000000000004"/>
    <n v="0.44779999999999998"/>
    <x v="5"/>
    <x v="1"/>
    <x v="63"/>
  </r>
  <r>
    <n v="277"/>
    <x v="11"/>
    <x v="0"/>
    <n v="0"/>
    <x v="0"/>
    <x v="23"/>
    <x v="0"/>
    <x v="4"/>
    <x v="0"/>
    <x v="14"/>
    <x v="15"/>
    <n v="0.59"/>
    <n v="0.41789999999999999"/>
    <x v="5"/>
    <x v="23"/>
    <x v="25"/>
  </r>
  <r>
    <n v="278"/>
    <x v="12"/>
    <x v="0"/>
    <n v="0"/>
    <x v="0"/>
    <x v="0"/>
    <x v="0"/>
    <x v="5"/>
    <x v="0"/>
    <x v="14"/>
    <x v="16"/>
    <n v="0.59"/>
    <n v="0.28360000000000002"/>
    <x v="5"/>
    <x v="8"/>
    <x v="85"/>
  </r>
  <r>
    <n v="279"/>
    <x v="12"/>
    <x v="0"/>
    <n v="0"/>
    <x v="0"/>
    <x v="1"/>
    <x v="0"/>
    <x v="5"/>
    <x v="0"/>
    <x v="14"/>
    <x v="16"/>
    <n v="0.5"/>
    <n v="0.28360000000000002"/>
    <x v="3"/>
    <x v="6"/>
    <x v="5"/>
  </r>
  <r>
    <n v="280"/>
    <x v="12"/>
    <x v="0"/>
    <n v="0"/>
    <x v="0"/>
    <x v="2"/>
    <x v="0"/>
    <x v="5"/>
    <x v="0"/>
    <x v="14"/>
    <x v="16"/>
    <n v="0.5"/>
    <n v="0.35820000000000002"/>
    <x v="3"/>
    <x v="6"/>
    <x v="5"/>
  </r>
  <r>
    <n v="281"/>
    <x v="12"/>
    <x v="0"/>
    <n v="0"/>
    <x v="0"/>
    <x v="3"/>
    <x v="0"/>
    <x v="5"/>
    <x v="0"/>
    <x v="14"/>
    <x v="16"/>
    <n v="0.5"/>
    <n v="0.32840000000000003"/>
    <x v="3"/>
    <x v="35"/>
    <x v="6"/>
  </r>
  <r>
    <n v="282"/>
    <x v="12"/>
    <x v="0"/>
    <n v="0"/>
    <x v="0"/>
    <x v="4"/>
    <x v="0"/>
    <x v="5"/>
    <x v="0"/>
    <x v="14"/>
    <x v="16"/>
    <n v="0.5"/>
    <n v="0.25369999999999998"/>
    <x v="3"/>
    <x v="22"/>
    <x v="48"/>
  </r>
  <r>
    <n v="283"/>
    <x v="12"/>
    <x v="0"/>
    <n v="0"/>
    <x v="0"/>
    <x v="5"/>
    <x v="0"/>
    <x v="5"/>
    <x v="0"/>
    <x v="14"/>
    <x v="16"/>
    <n v="0.5"/>
    <n v="0.29849999999999999"/>
    <x v="3"/>
    <x v="35"/>
    <x v="6"/>
  </r>
  <r>
    <n v="284"/>
    <x v="12"/>
    <x v="0"/>
    <n v="0"/>
    <x v="0"/>
    <x v="6"/>
    <x v="0"/>
    <x v="5"/>
    <x v="0"/>
    <x v="16"/>
    <x v="20"/>
    <n v="0.54"/>
    <n v="0.1343"/>
    <x v="3"/>
    <x v="95"/>
    <x v="20"/>
  </r>
  <r>
    <n v="285"/>
    <x v="12"/>
    <x v="0"/>
    <n v="0"/>
    <x v="0"/>
    <x v="7"/>
    <x v="0"/>
    <x v="5"/>
    <x v="0"/>
    <x v="16"/>
    <x v="20"/>
    <n v="0.54"/>
    <n v="0.1343"/>
    <x v="3"/>
    <x v="109"/>
    <x v="44"/>
  </r>
  <r>
    <n v="286"/>
    <x v="12"/>
    <x v="0"/>
    <n v="0"/>
    <x v="0"/>
    <x v="8"/>
    <x v="0"/>
    <x v="5"/>
    <x v="0"/>
    <x v="14"/>
    <x v="14"/>
    <n v="0.5"/>
    <n v="0.19400000000000001"/>
    <x v="2"/>
    <x v="114"/>
    <x v="121"/>
  </r>
  <r>
    <n v="287"/>
    <x v="12"/>
    <x v="0"/>
    <n v="0"/>
    <x v="0"/>
    <x v="9"/>
    <x v="0"/>
    <x v="5"/>
    <x v="0"/>
    <x v="14"/>
    <x v="16"/>
    <n v="0.5"/>
    <n v="0.32840000000000003"/>
    <x v="4"/>
    <x v="115"/>
    <x v="119"/>
  </r>
  <r>
    <n v="288"/>
    <x v="12"/>
    <x v="0"/>
    <n v="0"/>
    <x v="0"/>
    <x v="10"/>
    <x v="0"/>
    <x v="5"/>
    <x v="1"/>
    <x v="13"/>
    <x v="14"/>
    <n v="0.5"/>
    <n v="0.35820000000000002"/>
    <x v="4"/>
    <x v="49"/>
    <x v="103"/>
  </r>
  <r>
    <n v="289"/>
    <x v="12"/>
    <x v="0"/>
    <n v="0"/>
    <x v="0"/>
    <x v="11"/>
    <x v="0"/>
    <x v="5"/>
    <x v="1"/>
    <x v="2"/>
    <x v="17"/>
    <n v="0.44"/>
    <n v="0.44779999999999998"/>
    <x v="17"/>
    <x v="39"/>
    <x v="18"/>
  </r>
  <r>
    <n v="290"/>
    <x v="12"/>
    <x v="0"/>
    <n v="0"/>
    <x v="0"/>
    <x v="12"/>
    <x v="0"/>
    <x v="5"/>
    <x v="0"/>
    <x v="2"/>
    <x v="17"/>
    <n v="0.44"/>
    <n v="0.41789999999999999"/>
    <x v="0"/>
    <x v="47"/>
    <x v="46"/>
  </r>
  <r>
    <n v="291"/>
    <x v="12"/>
    <x v="0"/>
    <n v="0"/>
    <x v="0"/>
    <x v="13"/>
    <x v="0"/>
    <x v="5"/>
    <x v="0"/>
    <x v="1"/>
    <x v="13"/>
    <n v="0.41"/>
    <n v="0.44779999999999998"/>
    <x v="4"/>
    <x v="38"/>
    <x v="56"/>
  </r>
  <r>
    <n v="292"/>
    <x v="12"/>
    <x v="0"/>
    <n v="0"/>
    <x v="0"/>
    <x v="14"/>
    <x v="0"/>
    <x v="5"/>
    <x v="0"/>
    <x v="1"/>
    <x v="13"/>
    <n v="0.41"/>
    <n v="0.3881"/>
    <x v="0"/>
    <x v="87"/>
    <x v="51"/>
  </r>
  <r>
    <n v="293"/>
    <x v="12"/>
    <x v="0"/>
    <n v="0"/>
    <x v="0"/>
    <x v="15"/>
    <x v="0"/>
    <x v="5"/>
    <x v="0"/>
    <x v="0"/>
    <x v="12"/>
    <n v="0.38"/>
    <n v="0.29849999999999999"/>
    <x v="2"/>
    <x v="11"/>
    <x v="122"/>
  </r>
  <r>
    <n v="294"/>
    <x v="12"/>
    <x v="0"/>
    <n v="0"/>
    <x v="0"/>
    <x v="16"/>
    <x v="0"/>
    <x v="5"/>
    <x v="0"/>
    <x v="0"/>
    <x v="12"/>
    <n v="0.38"/>
    <n v="0.35820000000000002"/>
    <x v="4"/>
    <x v="83"/>
    <x v="53"/>
  </r>
  <r>
    <n v="295"/>
    <x v="12"/>
    <x v="0"/>
    <n v="0"/>
    <x v="0"/>
    <x v="17"/>
    <x v="0"/>
    <x v="5"/>
    <x v="0"/>
    <x v="2"/>
    <x v="18"/>
    <n v="0.4"/>
    <n v="0.28360000000000002"/>
    <x v="17"/>
    <x v="81"/>
    <x v="123"/>
  </r>
  <r>
    <n v="296"/>
    <x v="12"/>
    <x v="0"/>
    <n v="0"/>
    <x v="0"/>
    <x v="18"/>
    <x v="0"/>
    <x v="5"/>
    <x v="0"/>
    <x v="2"/>
    <x v="18"/>
    <n v="0.4"/>
    <n v="0.32840000000000003"/>
    <x v="0"/>
    <x v="116"/>
    <x v="124"/>
  </r>
  <r>
    <n v="297"/>
    <x v="12"/>
    <x v="0"/>
    <n v="0"/>
    <x v="0"/>
    <x v="19"/>
    <x v="0"/>
    <x v="5"/>
    <x v="0"/>
    <x v="13"/>
    <x v="20"/>
    <n v="0.47"/>
    <n v="0.25369999999999998"/>
    <x v="5"/>
    <x v="52"/>
    <x v="111"/>
  </r>
  <r>
    <n v="298"/>
    <x v="12"/>
    <x v="0"/>
    <n v="0"/>
    <x v="0"/>
    <x v="20"/>
    <x v="0"/>
    <x v="5"/>
    <x v="0"/>
    <x v="13"/>
    <x v="20"/>
    <n v="0.47"/>
    <n v="0.22389999999999999"/>
    <x v="3"/>
    <x v="27"/>
    <x v="37"/>
  </r>
  <r>
    <n v="299"/>
    <x v="12"/>
    <x v="0"/>
    <n v="0"/>
    <x v="0"/>
    <x v="21"/>
    <x v="0"/>
    <x v="5"/>
    <x v="0"/>
    <x v="14"/>
    <x v="16"/>
    <n v="0.46"/>
    <n v="0.29849999999999999"/>
    <x v="3"/>
    <x v="71"/>
    <x v="1"/>
  </r>
  <r>
    <n v="300"/>
    <x v="12"/>
    <x v="0"/>
    <n v="0"/>
    <x v="0"/>
    <x v="22"/>
    <x v="0"/>
    <x v="5"/>
    <x v="0"/>
    <x v="14"/>
    <x v="16"/>
    <n v="0.46"/>
    <n v="0.32840000000000003"/>
    <x v="3"/>
    <x v="10"/>
    <x v="33"/>
  </r>
  <r>
    <n v="301"/>
    <x v="12"/>
    <x v="0"/>
    <n v="0"/>
    <x v="0"/>
    <x v="23"/>
    <x v="0"/>
    <x v="5"/>
    <x v="0"/>
    <x v="16"/>
    <x v="14"/>
    <n v="0.5"/>
    <n v="0.19400000000000001"/>
    <x v="5"/>
    <x v="88"/>
    <x v="93"/>
  </r>
  <r>
    <n v="302"/>
    <x v="13"/>
    <x v="0"/>
    <n v="0"/>
    <x v="0"/>
    <x v="0"/>
    <x v="0"/>
    <x v="6"/>
    <x v="0"/>
    <x v="16"/>
    <x v="14"/>
    <n v="0.5"/>
    <n v="0.19400000000000001"/>
    <x v="3"/>
    <x v="88"/>
    <x v="8"/>
  </r>
  <r>
    <n v="303"/>
    <x v="13"/>
    <x v="0"/>
    <n v="0"/>
    <x v="0"/>
    <x v="1"/>
    <x v="0"/>
    <x v="6"/>
    <x v="0"/>
    <x v="18"/>
    <x v="16"/>
    <n v="0.54"/>
    <n v="0.16420000000000001"/>
    <x v="3"/>
    <x v="34"/>
    <x v="36"/>
  </r>
  <r>
    <n v="304"/>
    <x v="13"/>
    <x v="0"/>
    <n v="0"/>
    <x v="0"/>
    <x v="2"/>
    <x v="0"/>
    <x v="6"/>
    <x v="0"/>
    <x v="18"/>
    <x v="16"/>
    <n v="0.54"/>
    <n v="0.1343"/>
    <x v="3"/>
    <x v="4"/>
    <x v="4"/>
  </r>
  <r>
    <n v="305"/>
    <x v="13"/>
    <x v="0"/>
    <n v="0"/>
    <x v="0"/>
    <x v="3"/>
    <x v="0"/>
    <x v="6"/>
    <x v="0"/>
    <x v="18"/>
    <x v="14"/>
    <n v="0.54"/>
    <n v="0.1045"/>
    <x v="3"/>
    <x v="4"/>
    <x v="4"/>
  </r>
  <r>
    <n v="306"/>
    <x v="13"/>
    <x v="0"/>
    <n v="0"/>
    <x v="0"/>
    <x v="5"/>
    <x v="0"/>
    <x v="6"/>
    <x v="0"/>
    <x v="18"/>
    <x v="14"/>
    <n v="0.54"/>
    <n v="8.9599999999999999E-2"/>
    <x v="3"/>
    <x v="21"/>
    <x v="7"/>
  </r>
  <r>
    <n v="307"/>
    <x v="13"/>
    <x v="0"/>
    <n v="0"/>
    <x v="0"/>
    <x v="6"/>
    <x v="0"/>
    <x v="6"/>
    <x v="0"/>
    <x v="18"/>
    <x v="18"/>
    <n v="0.54"/>
    <n v="0"/>
    <x v="3"/>
    <x v="19"/>
    <x v="22"/>
  </r>
  <r>
    <n v="308"/>
    <x v="13"/>
    <x v="0"/>
    <n v="0"/>
    <x v="0"/>
    <x v="7"/>
    <x v="0"/>
    <x v="6"/>
    <x v="0"/>
    <x v="18"/>
    <x v="16"/>
    <n v="0.74"/>
    <n v="0.16420000000000001"/>
    <x v="3"/>
    <x v="14"/>
    <x v="27"/>
  </r>
  <r>
    <n v="309"/>
    <x v="13"/>
    <x v="0"/>
    <n v="0"/>
    <x v="0"/>
    <x v="8"/>
    <x v="0"/>
    <x v="6"/>
    <x v="0"/>
    <x v="16"/>
    <x v="17"/>
    <n v="0.68"/>
    <n v="0"/>
    <x v="4"/>
    <x v="117"/>
    <x v="125"/>
  </r>
  <r>
    <n v="310"/>
    <x v="13"/>
    <x v="0"/>
    <n v="0"/>
    <x v="0"/>
    <x v="9"/>
    <x v="0"/>
    <x v="6"/>
    <x v="0"/>
    <x v="14"/>
    <x v="20"/>
    <n v="0.69"/>
    <n v="0.1343"/>
    <x v="3"/>
    <x v="118"/>
    <x v="126"/>
  </r>
  <r>
    <n v="311"/>
    <x v="13"/>
    <x v="0"/>
    <n v="0"/>
    <x v="0"/>
    <x v="10"/>
    <x v="0"/>
    <x v="6"/>
    <x v="0"/>
    <x v="15"/>
    <x v="18"/>
    <n v="0.55000000000000004"/>
    <n v="0.19400000000000001"/>
    <x v="17"/>
    <x v="71"/>
    <x v="40"/>
  </r>
  <r>
    <n v="312"/>
    <x v="13"/>
    <x v="0"/>
    <n v="0"/>
    <x v="0"/>
    <x v="11"/>
    <x v="0"/>
    <x v="6"/>
    <x v="0"/>
    <x v="15"/>
    <x v="17"/>
    <n v="0.51"/>
    <n v="0.28360000000000002"/>
    <x v="15"/>
    <x v="12"/>
    <x v="26"/>
  </r>
  <r>
    <n v="313"/>
    <x v="13"/>
    <x v="0"/>
    <n v="0"/>
    <x v="0"/>
    <x v="12"/>
    <x v="0"/>
    <x v="6"/>
    <x v="0"/>
    <x v="2"/>
    <x v="13"/>
    <n v="0.44"/>
    <n v="0.25369999999999998"/>
    <x v="4"/>
    <x v="79"/>
    <x v="42"/>
  </r>
  <r>
    <n v="314"/>
    <x v="13"/>
    <x v="0"/>
    <n v="0"/>
    <x v="0"/>
    <x v="13"/>
    <x v="0"/>
    <x v="6"/>
    <x v="0"/>
    <x v="1"/>
    <x v="13"/>
    <n v="0.37"/>
    <n v="0.3881"/>
    <x v="17"/>
    <x v="26"/>
    <x v="43"/>
  </r>
  <r>
    <n v="315"/>
    <x v="13"/>
    <x v="0"/>
    <n v="0"/>
    <x v="0"/>
    <x v="14"/>
    <x v="0"/>
    <x v="6"/>
    <x v="0"/>
    <x v="1"/>
    <x v="12"/>
    <n v="0.41"/>
    <n v="0.28360000000000002"/>
    <x v="2"/>
    <x v="79"/>
    <x v="37"/>
  </r>
  <r>
    <n v="316"/>
    <x v="13"/>
    <x v="0"/>
    <n v="0"/>
    <x v="0"/>
    <x v="15"/>
    <x v="0"/>
    <x v="6"/>
    <x v="0"/>
    <x v="0"/>
    <x v="19"/>
    <n v="0.38"/>
    <n v="0.16420000000000001"/>
    <x v="14"/>
    <x v="79"/>
    <x v="118"/>
  </r>
  <r>
    <n v="317"/>
    <x v="13"/>
    <x v="0"/>
    <n v="0"/>
    <x v="0"/>
    <x v="16"/>
    <x v="0"/>
    <x v="6"/>
    <x v="0"/>
    <x v="1"/>
    <x v="19"/>
    <n v="0.41"/>
    <n v="0.1045"/>
    <x v="0"/>
    <x v="61"/>
    <x v="127"/>
  </r>
  <r>
    <n v="318"/>
    <x v="13"/>
    <x v="0"/>
    <n v="0"/>
    <x v="0"/>
    <x v="17"/>
    <x v="0"/>
    <x v="6"/>
    <x v="0"/>
    <x v="1"/>
    <x v="11"/>
    <n v="0.41"/>
    <n v="0.16420000000000001"/>
    <x v="17"/>
    <x v="119"/>
    <x v="128"/>
  </r>
  <r>
    <n v="319"/>
    <x v="13"/>
    <x v="0"/>
    <n v="0"/>
    <x v="0"/>
    <x v="18"/>
    <x v="0"/>
    <x v="6"/>
    <x v="0"/>
    <x v="2"/>
    <x v="2"/>
    <n v="0.47"/>
    <n v="0"/>
    <x v="2"/>
    <x v="120"/>
    <x v="119"/>
  </r>
  <r>
    <n v="320"/>
    <x v="13"/>
    <x v="0"/>
    <n v="0"/>
    <x v="0"/>
    <x v="19"/>
    <x v="0"/>
    <x v="6"/>
    <x v="0"/>
    <x v="13"/>
    <x v="13"/>
    <n v="0.59"/>
    <n v="8.9599999999999999E-2"/>
    <x v="0"/>
    <x v="121"/>
    <x v="101"/>
  </r>
  <r>
    <n v="321"/>
    <x v="13"/>
    <x v="0"/>
    <n v="0"/>
    <x v="0"/>
    <x v="20"/>
    <x v="0"/>
    <x v="6"/>
    <x v="0"/>
    <x v="15"/>
    <x v="19"/>
    <n v="0.59"/>
    <n v="0"/>
    <x v="3"/>
    <x v="56"/>
    <x v="118"/>
  </r>
  <r>
    <n v="322"/>
    <x v="13"/>
    <x v="0"/>
    <n v="0"/>
    <x v="0"/>
    <x v="21"/>
    <x v="0"/>
    <x v="6"/>
    <x v="0"/>
    <x v="13"/>
    <x v="11"/>
    <n v="0.69"/>
    <n v="0"/>
    <x v="17"/>
    <x v="41"/>
    <x v="46"/>
  </r>
  <r>
    <n v="323"/>
    <x v="13"/>
    <x v="0"/>
    <n v="0"/>
    <x v="0"/>
    <x v="22"/>
    <x v="0"/>
    <x v="6"/>
    <x v="1"/>
    <x v="13"/>
    <x v="11"/>
    <n v="0.69"/>
    <n v="0"/>
    <x v="4"/>
    <x v="60"/>
    <x v="9"/>
  </r>
  <r>
    <n v="324"/>
    <x v="13"/>
    <x v="0"/>
    <n v="0"/>
    <x v="0"/>
    <x v="23"/>
    <x v="0"/>
    <x v="6"/>
    <x v="1"/>
    <x v="15"/>
    <x v="19"/>
    <n v="0.55000000000000004"/>
    <n v="0"/>
    <x v="5"/>
    <x v="16"/>
    <x v="110"/>
  </r>
  <r>
    <n v="325"/>
    <x v="14"/>
    <x v="0"/>
    <n v="0"/>
    <x v="0"/>
    <x v="0"/>
    <x v="0"/>
    <x v="0"/>
    <x v="0"/>
    <x v="15"/>
    <x v="19"/>
    <n v="0.55000000000000004"/>
    <n v="0"/>
    <x v="0"/>
    <x v="18"/>
    <x v="20"/>
  </r>
  <r>
    <n v="326"/>
    <x v="14"/>
    <x v="0"/>
    <n v="0"/>
    <x v="0"/>
    <x v="1"/>
    <x v="0"/>
    <x v="0"/>
    <x v="1"/>
    <x v="13"/>
    <x v="13"/>
    <n v="0.59"/>
    <n v="8.9599999999999999E-2"/>
    <x v="4"/>
    <x v="72"/>
    <x v="25"/>
  </r>
  <r>
    <n v="327"/>
    <x v="14"/>
    <x v="0"/>
    <n v="0"/>
    <x v="0"/>
    <x v="2"/>
    <x v="0"/>
    <x v="0"/>
    <x v="1"/>
    <x v="13"/>
    <x v="13"/>
    <n v="0.59"/>
    <n v="8.9599999999999999E-2"/>
    <x v="3"/>
    <x v="98"/>
    <x v="47"/>
  </r>
  <r>
    <n v="328"/>
    <x v="14"/>
    <x v="0"/>
    <n v="0"/>
    <x v="0"/>
    <x v="3"/>
    <x v="0"/>
    <x v="0"/>
    <x v="1"/>
    <x v="13"/>
    <x v="11"/>
    <n v="0.59"/>
    <n v="0"/>
    <x v="5"/>
    <x v="7"/>
    <x v="7"/>
  </r>
  <r>
    <n v="329"/>
    <x v="14"/>
    <x v="0"/>
    <n v="0"/>
    <x v="0"/>
    <x v="4"/>
    <x v="0"/>
    <x v="0"/>
    <x v="1"/>
    <x v="13"/>
    <x v="11"/>
    <n v="0.59"/>
    <n v="0"/>
    <x v="3"/>
    <x v="34"/>
    <x v="36"/>
  </r>
  <r>
    <n v="330"/>
    <x v="14"/>
    <x v="0"/>
    <n v="0"/>
    <x v="0"/>
    <x v="5"/>
    <x v="0"/>
    <x v="0"/>
    <x v="0"/>
    <x v="13"/>
    <x v="11"/>
    <n v="0.59"/>
    <n v="0"/>
    <x v="3"/>
    <x v="4"/>
    <x v="4"/>
  </r>
  <r>
    <n v="331"/>
    <x v="14"/>
    <x v="0"/>
    <n v="0"/>
    <x v="0"/>
    <x v="6"/>
    <x v="0"/>
    <x v="0"/>
    <x v="0"/>
    <x v="14"/>
    <x v="17"/>
    <n v="0.63"/>
    <n v="0.1045"/>
    <x v="5"/>
    <x v="6"/>
    <x v="6"/>
  </r>
  <r>
    <n v="332"/>
    <x v="14"/>
    <x v="0"/>
    <n v="0"/>
    <x v="0"/>
    <x v="7"/>
    <x v="0"/>
    <x v="0"/>
    <x v="0"/>
    <x v="14"/>
    <x v="12"/>
    <n v="0.63"/>
    <n v="0"/>
    <x v="5"/>
    <x v="33"/>
    <x v="98"/>
  </r>
  <r>
    <n v="333"/>
    <x v="14"/>
    <x v="0"/>
    <n v="0"/>
    <x v="0"/>
    <x v="8"/>
    <x v="0"/>
    <x v="0"/>
    <x v="0"/>
    <x v="14"/>
    <x v="20"/>
    <n v="0.63"/>
    <n v="0.1343"/>
    <x v="5"/>
    <x v="97"/>
    <x v="84"/>
  </r>
  <r>
    <n v="334"/>
    <x v="14"/>
    <x v="0"/>
    <n v="0"/>
    <x v="0"/>
    <x v="9"/>
    <x v="0"/>
    <x v="0"/>
    <x v="0"/>
    <x v="13"/>
    <x v="18"/>
    <n v="0.64"/>
    <n v="0.1343"/>
    <x v="4"/>
    <x v="17"/>
    <x v="63"/>
  </r>
  <r>
    <n v="335"/>
    <x v="14"/>
    <x v="0"/>
    <n v="0"/>
    <x v="0"/>
    <x v="10"/>
    <x v="0"/>
    <x v="0"/>
    <x v="0"/>
    <x v="15"/>
    <x v="13"/>
    <n v="0.59"/>
    <n v="0.16420000000000001"/>
    <x v="4"/>
    <x v="77"/>
    <x v="29"/>
  </r>
  <r>
    <n v="336"/>
    <x v="14"/>
    <x v="0"/>
    <n v="0"/>
    <x v="0"/>
    <x v="11"/>
    <x v="0"/>
    <x v="0"/>
    <x v="0"/>
    <x v="2"/>
    <x v="13"/>
    <n v="0.55000000000000004"/>
    <n v="0.22389999999999999"/>
    <x v="25"/>
    <x v="25"/>
    <x v="44"/>
  </r>
  <r>
    <n v="337"/>
    <x v="14"/>
    <x v="0"/>
    <n v="0"/>
    <x v="0"/>
    <x v="12"/>
    <x v="0"/>
    <x v="0"/>
    <x v="0"/>
    <x v="0"/>
    <x v="11"/>
    <n v="0.48"/>
    <n v="0.22389999999999999"/>
    <x v="13"/>
    <x v="64"/>
    <x v="70"/>
  </r>
  <r>
    <n v="338"/>
    <x v="14"/>
    <x v="0"/>
    <n v="0"/>
    <x v="0"/>
    <x v="13"/>
    <x v="0"/>
    <x v="0"/>
    <x v="0"/>
    <x v="17"/>
    <x v="2"/>
    <n v="0.38"/>
    <n v="0.29849999999999999"/>
    <x v="27"/>
    <x v="122"/>
    <x v="129"/>
  </r>
  <r>
    <n v="339"/>
    <x v="14"/>
    <x v="0"/>
    <n v="0"/>
    <x v="0"/>
    <x v="14"/>
    <x v="0"/>
    <x v="0"/>
    <x v="0"/>
    <x v="11"/>
    <x v="0"/>
    <n v="0.39"/>
    <n v="0.28360000000000002"/>
    <x v="7"/>
    <x v="50"/>
    <x v="130"/>
  </r>
  <r>
    <n v="340"/>
    <x v="14"/>
    <x v="0"/>
    <n v="0"/>
    <x v="0"/>
    <x v="15"/>
    <x v="0"/>
    <x v="0"/>
    <x v="1"/>
    <x v="3"/>
    <x v="21"/>
    <n v="0.36"/>
    <n v="0.19400000000000001"/>
    <x v="27"/>
    <x v="123"/>
    <x v="131"/>
  </r>
  <r>
    <n v="341"/>
    <x v="14"/>
    <x v="0"/>
    <n v="0"/>
    <x v="0"/>
    <x v="16"/>
    <x v="0"/>
    <x v="0"/>
    <x v="1"/>
    <x v="10"/>
    <x v="6"/>
    <n v="0.34"/>
    <n v="0.19400000000000001"/>
    <x v="28"/>
    <x v="73"/>
    <x v="116"/>
  </r>
  <r>
    <n v="342"/>
    <x v="14"/>
    <x v="0"/>
    <n v="0"/>
    <x v="0"/>
    <x v="17"/>
    <x v="0"/>
    <x v="0"/>
    <x v="1"/>
    <x v="3"/>
    <x v="25"/>
    <n v="0.36"/>
    <n v="0.28360000000000002"/>
    <x v="8"/>
    <x v="25"/>
    <x v="56"/>
  </r>
  <r>
    <n v="343"/>
    <x v="14"/>
    <x v="0"/>
    <n v="0"/>
    <x v="0"/>
    <x v="18"/>
    <x v="0"/>
    <x v="0"/>
    <x v="1"/>
    <x v="11"/>
    <x v="0"/>
    <n v="0.45"/>
    <n v="0.25369999999999998"/>
    <x v="13"/>
    <x v="94"/>
    <x v="11"/>
  </r>
  <r>
    <n v="344"/>
    <x v="14"/>
    <x v="0"/>
    <n v="0"/>
    <x v="0"/>
    <x v="19"/>
    <x v="0"/>
    <x v="0"/>
    <x v="1"/>
    <x v="3"/>
    <x v="25"/>
    <n v="0.39"/>
    <n v="0.25369999999999998"/>
    <x v="24"/>
    <x v="91"/>
    <x v="30"/>
  </r>
  <r>
    <n v="345"/>
    <x v="14"/>
    <x v="0"/>
    <n v="0"/>
    <x v="0"/>
    <x v="20"/>
    <x v="0"/>
    <x v="0"/>
    <x v="1"/>
    <x v="3"/>
    <x v="25"/>
    <n v="0.39"/>
    <n v="0.25369999999999998"/>
    <x v="15"/>
    <x v="96"/>
    <x v="102"/>
  </r>
  <r>
    <n v="346"/>
    <x v="14"/>
    <x v="0"/>
    <n v="0"/>
    <x v="0"/>
    <x v="21"/>
    <x v="0"/>
    <x v="0"/>
    <x v="1"/>
    <x v="3"/>
    <x v="25"/>
    <n v="0.39"/>
    <n v="0.22389999999999999"/>
    <x v="15"/>
    <x v="82"/>
    <x v="52"/>
  </r>
  <r>
    <n v="347"/>
    <x v="14"/>
    <x v="0"/>
    <n v="0"/>
    <x v="0"/>
    <x v="22"/>
    <x v="0"/>
    <x v="0"/>
    <x v="1"/>
    <x v="11"/>
    <x v="21"/>
    <n v="0.42"/>
    <n v="0.1045"/>
    <x v="3"/>
    <x v="16"/>
    <x v="132"/>
  </r>
  <r>
    <n v="348"/>
    <x v="14"/>
    <x v="0"/>
    <n v="0"/>
    <x v="0"/>
    <x v="23"/>
    <x v="0"/>
    <x v="0"/>
    <x v="0"/>
    <x v="11"/>
    <x v="0"/>
    <n v="0.45"/>
    <n v="0.28360000000000002"/>
    <x v="2"/>
    <x v="87"/>
    <x v="40"/>
  </r>
  <r>
    <n v="349"/>
    <x v="15"/>
    <x v="0"/>
    <n v="0"/>
    <x v="0"/>
    <x v="0"/>
    <x v="0"/>
    <x v="1"/>
    <x v="0"/>
    <x v="12"/>
    <x v="25"/>
    <n v="0.56000000000000005"/>
    <n v="0"/>
    <x v="15"/>
    <x v="39"/>
    <x v="21"/>
  </r>
  <r>
    <n v="350"/>
    <x v="15"/>
    <x v="0"/>
    <n v="0"/>
    <x v="0"/>
    <x v="1"/>
    <x v="0"/>
    <x v="1"/>
    <x v="0"/>
    <x v="12"/>
    <x v="1"/>
    <n v="0.56000000000000005"/>
    <n v="0.1343"/>
    <x v="17"/>
    <x v="23"/>
    <x v="84"/>
  </r>
  <r>
    <n v="351"/>
    <x v="15"/>
    <x v="0"/>
    <n v="0"/>
    <x v="0"/>
    <x v="2"/>
    <x v="0"/>
    <x v="1"/>
    <x v="0"/>
    <x v="12"/>
    <x v="0"/>
    <n v="0.56000000000000005"/>
    <n v="8.9599999999999999E-2"/>
    <x v="0"/>
    <x v="0"/>
    <x v="0"/>
  </r>
  <r>
    <n v="352"/>
    <x v="15"/>
    <x v="0"/>
    <n v="0"/>
    <x v="0"/>
    <x v="3"/>
    <x v="0"/>
    <x v="1"/>
    <x v="0"/>
    <x v="1"/>
    <x v="1"/>
    <n v="0.69"/>
    <n v="0"/>
    <x v="14"/>
    <x v="8"/>
    <x v="93"/>
  </r>
  <r>
    <n v="353"/>
    <x v="15"/>
    <x v="0"/>
    <n v="0"/>
    <x v="0"/>
    <x v="4"/>
    <x v="0"/>
    <x v="1"/>
    <x v="0"/>
    <x v="12"/>
    <x v="2"/>
    <n v="0.56000000000000005"/>
    <n v="0.16420000000000001"/>
    <x v="3"/>
    <x v="4"/>
    <x v="4"/>
  </r>
  <r>
    <n v="354"/>
    <x v="15"/>
    <x v="0"/>
    <n v="0"/>
    <x v="0"/>
    <x v="5"/>
    <x v="0"/>
    <x v="1"/>
    <x v="1"/>
    <x v="12"/>
    <x v="2"/>
    <n v="0.56000000000000005"/>
    <n v="0.16420000000000001"/>
    <x v="5"/>
    <x v="4"/>
    <x v="5"/>
  </r>
  <r>
    <n v="355"/>
    <x v="15"/>
    <x v="0"/>
    <n v="0"/>
    <x v="0"/>
    <x v="6"/>
    <x v="0"/>
    <x v="1"/>
    <x v="1"/>
    <x v="12"/>
    <x v="2"/>
    <n v="0.56000000000000005"/>
    <n v="0.16420000000000001"/>
    <x v="3"/>
    <x v="4"/>
    <x v="4"/>
  </r>
  <r>
    <n v="356"/>
    <x v="15"/>
    <x v="0"/>
    <n v="0"/>
    <x v="0"/>
    <x v="7"/>
    <x v="0"/>
    <x v="1"/>
    <x v="1"/>
    <x v="0"/>
    <x v="12"/>
    <n v="0.56000000000000005"/>
    <n v="0.29849999999999999"/>
    <x v="3"/>
    <x v="35"/>
    <x v="6"/>
  </r>
  <r>
    <n v="357"/>
    <x v="15"/>
    <x v="0"/>
    <n v="0"/>
    <x v="0"/>
    <x v="8"/>
    <x v="0"/>
    <x v="1"/>
    <x v="0"/>
    <x v="1"/>
    <x v="12"/>
    <n v="0.55000000000000004"/>
    <n v="0.28360000000000002"/>
    <x v="3"/>
    <x v="72"/>
    <x v="109"/>
  </r>
  <r>
    <n v="358"/>
    <x v="15"/>
    <x v="0"/>
    <n v="0"/>
    <x v="0"/>
    <x v="9"/>
    <x v="0"/>
    <x v="1"/>
    <x v="0"/>
    <x v="1"/>
    <x v="12"/>
    <n v="0.51"/>
    <n v="0.25369999999999998"/>
    <x v="0"/>
    <x v="31"/>
    <x v="2"/>
  </r>
  <r>
    <n v="359"/>
    <x v="15"/>
    <x v="0"/>
    <n v="0"/>
    <x v="0"/>
    <x v="10"/>
    <x v="0"/>
    <x v="1"/>
    <x v="0"/>
    <x v="1"/>
    <x v="12"/>
    <n v="0.51"/>
    <n v="0.28360000000000002"/>
    <x v="1"/>
    <x v="13"/>
    <x v="67"/>
  </r>
  <r>
    <n v="360"/>
    <x v="15"/>
    <x v="0"/>
    <n v="0"/>
    <x v="0"/>
    <x v="11"/>
    <x v="0"/>
    <x v="1"/>
    <x v="0"/>
    <x v="0"/>
    <x v="11"/>
    <n v="0.44"/>
    <n v="0.25369999999999998"/>
    <x v="29"/>
    <x v="14"/>
    <x v="15"/>
  </r>
  <r>
    <n v="361"/>
    <x v="15"/>
    <x v="0"/>
    <n v="0"/>
    <x v="0"/>
    <x v="12"/>
    <x v="0"/>
    <x v="1"/>
    <x v="0"/>
    <x v="0"/>
    <x v="12"/>
    <n v="0.41"/>
    <n v="0.28360000000000002"/>
    <x v="8"/>
    <x v="102"/>
    <x v="133"/>
  </r>
  <r>
    <n v="362"/>
    <x v="15"/>
    <x v="0"/>
    <n v="0"/>
    <x v="0"/>
    <x v="13"/>
    <x v="0"/>
    <x v="1"/>
    <x v="0"/>
    <x v="12"/>
    <x v="11"/>
    <n v="0.35"/>
    <n v="0.29849999999999999"/>
    <x v="29"/>
    <x v="73"/>
    <x v="130"/>
  </r>
  <r>
    <n v="363"/>
    <x v="15"/>
    <x v="0"/>
    <n v="0"/>
    <x v="0"/>
    <x v="14"/>
    <x v="0"/>
    <x v="1"/>
    <x v="0"/>
    <x v="17"/>
    <x v="1"/>
    <n v="0.36"/>
    <n v="0.25369999999999998"/>
    <x v="30"/>
    <x v="94"/>
    <x v="134"/>
  </r>
  <r>
    <n v="364"/>
    <x v="15"/>
    <x v="0"/>
    <n v="0"/>
    <x v="0"/>
    <x v="15"/>
    <x v="0"/>
    <x v="1"/>
    <x v="0"/>
    <x v="12"/>
    <x v="19"/>
    <n v="0.38"/>
    <n v="0.25369999999999998"/>
    <x v="10"/>
    <x v="78"/>
    <x v="135"/>
  </r>
  <r>
    <n v="365"/>
    <x v="15"/>
    <x v="0"/>
    <n v="0"/>
    <x v="0"/>
    <x v="16"/>
    <x v="0"/>
    <x v="1"/>
    <x v="0"/>
    <x v="0"/>
    <x v="11"/>
    <n v="0.38"/>
    <n v="0.22389999999999999"/>
    <x v="30"/>
    <x v="99"/>
    <x v="111"/>
  </r>
  <r>
    <n v="366"/>
    <x v="15"/>
    <x v="0"/>
    <n v="0"/>
    <x v="0"/>
    <x v="17"/>
    <x v="0"/>
    <x v="1"/>
    <x v="0"/>
    <x v="1"/>
    <x v="12"/>
    <n v="0.37"/>
    <n v="0.25369999999999998"/>
    <x v="29"/>
    <x v="70"/>
    <x v="136"/>
  </r>
  <r>
    <n v="367"/>
    <x v="15"/>
    <x v="0"/>
    <n v="0"/>
    <x v="0"/>
    <x v="18"/>
    <x v="0"/>
    <x v="1"/>
    <x v="0"/>
    <x v="2"/>
    <x v="12"/>
    <n v="0.4"/>
    <n v="0.16420000000000001"/>
    <x v="16"/>
    <x v="90"/>
    <x v="16"/>
  </r>
  <r>
    <n v="368"/>
    <x v="15"/>
    <x v="0"/>
    <n v="0"/>
    <x v="0"/>
    <x v="19"/>
    <x v="0"/>
    <x v="1"/>
    <x v="0"/>
    <x v="15"/>
    <x v="13"/>
    <n v="0.47"/>
    <n v="0.1343"/>
    <x v="24"/>
    <x v="12"/>
    <x v="42"/>
  </r>
  <r>
    <n v="369"/>
    <x v="15"/>
    <x v="0"/>
    <n v="0"/>
    <x v="0"/>
    <x v="20"/>
    <x v="0"/>
    <x v="1"/>
    <x v="0"/>
    <x v="15"/>
    <x v="13"/>
    <n v="0.47"/>
    <n v="0.16420000000000001"/>
    <x v="18"/>
    <x v="54"/>
    <x v="52"/>
  </r>
  <r>
    <n v="370"/>
    <x v="15"/>
    <x v="0"/>
    <n v="0"/>
    <x v="0"/>
    <x v="21"/>
    <x v="0"/>
    <x v="1"/>
    <x v="0"/>
    <x v="15"/>
    <x v="13"/>
    <n v="0.51"/>
    <n v="0.16420000000000001"/>
    <x v="15"/>
    <x v="97"/>
    <x v="20"/>
  </r>
  <r>
    <n v="371"/>
    <x v="15"/>
    <x v="0"/>
    <n v="0"/>
    <x v="0"/>
    <x v="22"/>
    <x v="0"/>
    <x v="1"/>
    <x v="1"/>
    <x v="2"/>
    <x v="12"/>
    <n v="0.49"/>
    <n v="0.1343"/>
    <x v="4"/>
    <x v="23"/>
    <x v="137"/>
  </r>
  <r>
    <n v="372"/>
    <x v="15"/>
    <x v="0"/>
    <n v="0"/>
    <x v="0"/>
    <x v="23"/>
    <x v="0"/>
    <x v="1"/>
    <x v="1"/>
    <x v="2"/>
    <x v="11"/>
    <n v="0.4"/>
    <n v="0.1045"/>
    <x v="3"/>
    <x v="72"/>
    <x v="109"/>
  </r>
  <r>
    <n v="373"/>
    <x v="16"/>
    <x v="0"/>
    <n v="0"/>
    <x v="0"/>
    <x v="0"/>
    <x v="1"/>
    <x v="2"/>
    <x v="1"/>
    <x v="2"/>
    <x v="13"/>
    <n v="0.47"/>
    <n v="0.22389999999999999"/>
    <x v="5"/>
    <x v="20"/>
    <x v="22"/>
  </r>
  <r>
    <n v="374"/>
    <x v="16"/>
    <x v="0"/>
    <n v="0"/>
    <x v="0"/>
    <x v="1"/>
    <x v="1"/>
    <x v="2"/>
    <x v="1"/>
    <x v="2"/>
    <x v="13"/>
    <n v="0.44"/>
    <n v="0.19400000000000001"/>
    <x v="5"/>
    <x v="89"/>
    <x v="0"/>
  </r>
  <r>
    <n v="375"/>
    <x v="16"/>
    <x v="0"/>
    <n v="0"/>
    <x v="0"/>
    <x v="2"/>
    <x v="1"/>
    <x v="2"/>
    <x v="1"/>
    <x v="15"/>
    <x v="17"/>
    <n v="0.43"/>
    <n v="0.25369999999999998"/>
    <x v="3"/>
    <x v="21"/>
    <x v="7"/>
  </r>
  <r>
    <n v="376"/>
    <x v="16"/>
    <x v="0"/>
    <n v="0"/>
    <x v="0"/>
    <x v="3"/>
    <x v="1"/>
    <x v="2"/>
    <x v="1"/>
    <x v="15"/>
    <x v="18"/>
    <n v="0.43"/>
    <n v="0.19400000000000001"/>
    <x v="3"/>
    <x v="6"/>
    <x v="5"/>
  </r>
  <r>
    <n v="377"/>
    <x v="16"/>
    <x v="0"/>
    <n v="0"/>
    <x v="0"/>
    <x v="4"/>
    <x v="1"/>
    <x v="2"/>
    <x v="1"/>
    <x v="15"/>
    <x v="13"/>
    <n v="0.43"/>
    <n v="0.1343"/>
    <x v="5"/>
    <x v="6"/>
    <x v="6"/>
  </r>
  <r>
    <n v="378"/>
    <x v="16"/>
    <x v="0"/>
    <n v="0"/>
    <x v="0"/>
    <x v="5"/>
    <x v="1"/>
    <x v="2"/>
    <x v="1"/>
    <x v="15"/>
    <x v="13"/>
    <n v="0.43"/>
    <n v="0.16420000000000001"/>
    <x v="3"/>
    <x v="4"/>
    <x v="4"/>
  </r>
  <r>
    <n v="379"/>
    <x v="16"/>
    <x v="0"/>
    <n v="0"/>
    <x v="0"/>
    <x v="6"/>
    <x v="1"/>
    <x v="2"/>
    <x v="1"/>
    <x v="15"/>
    <x v="18"/>
    <n v="0.43"/>
    <n v="0.19400000000000001"/>
    <x v="3"/>
    <x v="34"/>
    <x v="36"/>
  </r>
  <r>
    <n v="380"/>
    <x v="16"/>
    <x v="0"/>
    <n v="0"/>
    <x v="0"/>
    <x v="7"/>
    <x v="1"/>
    <x v="2"/>
    <x v="1"/>
    <x v="13"/>
    <x v="18"/>
    <n v="0.5"/>
    <n v="0.1343"/>
    <x v="17"/>
    <x v="33"/>
    <x v="3"/>
  </r>
  <r>
    <n v="381"/>
    <x v="16"/>
    <x v="0"/>
    <n v="0"/>
    <x v="0"/>
    <x v="8"/>
    <x v="1"/>
    <x v="2"/>
    <x v="1"/>
    <x v="13"/>
    <x v="20"/>
    <n v="0.47"/>
    <n v="0.22389999999999999"/>
    <x v="0"/>
    <x v="10"/>
    <x v="63"/>
  </r>
  <r>
    <n v="382"/>
    <x v="16"/>
    <x v="0"/>
    <n v="0"/>
    <x v="0"/>
    <x v="9"/>
    <x v="1"/>
    <x v="2"/>
    <x v="1"/>
    <x v="13"/>
    <x v="20"/>
    <n v="0.47"/>
    <n v="0.22389999999999999"/>
    <x v="1"/>
    <x v="87"/>
    <x v="105"/>
  </r>
  <r>
    <n v="383"/>
    <x v="16"/>
    <x v="0"/>
    <n v="0"/>
    <x v="0"/>
    <x v="10"/>
    <x v="1"/>
    <x v="2"/>
    <x v="1"/>
    <x v="13"/>
    <x v="20"/>
    <n v="0.5"/>
    <n v="0.25369999999999998"/>
    <x v="18"/>
    <x v="54"/>
    <x v="52"/>
  </r>
  <r>
    <n v="384"/>
    <x v="16"/>
    <x v="0"/>
    <n v="0"/>
    <x v="0"/>
    <x v="11"/>
    <x v="1"/>
    <x v="2"/>
    <x v="1"/>
    <x v="13"/>
    <x v="20"/>
    <n v="0.55000000000000004"/>
    <n v="0.19400000000000001"/>
    <x v="14"/>
    <x v="11"/>
    <x v="37"/>
  </r>
  <r>
    <n v="385"/>
    <x v="16"/>
    <x v="0"/>
    <n v="0"/>
    <x v="0"/>
    <x v="12"/>
    <x v="1"/>
    <x v="2"/>
    <x v="1"/>
    <x v="15"/>
    <x v="13"/>
    <n v="0.47"/>
    <n v="0.1343"/>
    <x v="22"/>
    <x v="14"/>
    <x v="138"/>
  </r>
  <r>
    <n v="386"/>
    <x v="16"/>
    <x v="0"/>
    <n v="0"/>
    <x v="0"/>
    <x v="13"/>
    <x v="1"/>
    <x v="2"/>
    <x v="1"/>
    <x v="15"/>
    <x v="13"/>
    <n v="0.47"/>
    <n v="0.1343"/>
    <x v="23"/>
    <x v="122"/>
    <x v="15"/>
  </r>
  <r>
    <n v="387"/>
    <x v="16"/>
    <x v="0"/>
    <n v="0"/>
    <x v="0"/>
    <x v="14"/>
    <x v="1"/>
    <x v="2"/>
    <x v="1"/>
    <x v="15"/>
    <x v="12"/>
    <n v="0.43"/>
    <n v="0.1045"/>
    <x v="6"/>
    <x v="64"/>
    <x v="80"/>
  </r>
  <r>
    <n v="388"/>
    <x v="16"/>
    <x v="0"/>
    <n v="0"/>
    <x v="0"/>
    <x v="15"/>
    <x v="1"/>
    <x v="2"/>
    <x v="1"/>
    <x v="2"/>
    <x v="12"/>
    <n v="0.47"/>
    <n v="0.16420000000000001"/>
    <x v="27"/>
    <x v="109"/>
    <x v="15"/>
  </r>
  <r>
    <n v="389"/>
    <x v="16"/>
    <x v="0"/>
    <n v="0"/>
    <x v="0"/>
    <x v="16"/>
    <x v="1"/>
    <x v="2"/>
    <x v="1"/>
    <x v="2"/>
    <x v="12"/>
    <n v="0.47"/>
    <n v="0.16420000000000001"/>
    <x v="15"/>
    <x v="83"/>
    <x v="100"/>
  </r>
  <r>
    <n v="390"/>
    <x v="16"/>
    <x v="0"/>
    <n v="0"/>
    <x v="0"/>
    <x v="17"/>
    <x v="1"/>
    <x v="2"/>
    <x v="0"/>
    <x v="2"/>
    <x v="13"/>
    <n v="0.51"/>
    <n v="0.19400000000000001"/>
    <x v="17"/>
    <x v="28"/>
    <x v="68"/>
  </r>
  <r>
    <n v="391"/>
    <x v="16"/>
    <x v="0"/>
    <n v="0"/>
    <x v="0"/>
    <x v="18"/>
    <x v="1"/>
    <x v="2"/>
    <x v="1"/>
    <x v="15"/>
    <x v="17"/>
    <n v="0.55000000000000004"/>
    <n v="0.25369999999999998"/>
    <x v="18"/>
    <x v="66"/>
    <x v="101"/>
  </r>
  <r>
    <n v="392"/>
    <x v="16"/>
    <x v="0"/>
    <n v="0"/>
    <x v="0"/>
    <x v="19"/>
    <x v="1"/>
    <x v="2"/>
    <x v="2"/>
    <x v="15"/>
    <x v="18"/>
    <n v="0.59"/>
    <n v="0.19400000000000001"/>
    <x v="4"/>
    <x v="29"/>
    <x v="122"/>
  </r>
  <r>
    <n v="393"/>
    <x v="16"/>
    <x v="0"/>
    <n v="0"/>
    <x v="0"/>
    <x v="20"/>
    <x v="1"/>
    <x v="2"/>
    <x v="2"/>
    <x v="13"/>
    <x v="20"/>
    <n v="0.8"/>
    <n v="0.19400000000000001"/>
    <x v="17"/>
    <x v="31"/>
    <x v="63"/>
  </r>
  <r>
    <n v="394"/>
    <x v="16"/>
    <x v="0"/>
    <n v="0"/>
    <x v="0"/>
    <x v="21"/>
    <x v="1"/>
    <x v="2"/>
    <x v="2"/>
    <x v="13"/>
    <x v="20"/>
    <n v="0.8"/>
    <n v="0.19400000000000001"/>
    <x v="0"/>
    <x v="9"/>
    <x v="110"/>
  </r>
  <r>
    <n v="395"/>
    <x v="16"/>
    <x v="0"/>
    <n v="0"/>
    <x v="0"/>
    <x v="22"/>
    <x v="1"/>
    <x v="2"/>
    <x v="2"/>
    <x v="14"/>
    <x v="16"/>
    <n v="0.93"/>
    <n v="0.25369999999999998"/>
    <x v="3"/>
    <x v="0"/>
    <x v="3"/>
  </r>
  <r>
    <n v="396"/>
    <x v="16"/>
    <x v="0"/>
    <n v="0"/>
    <x v="0"/>
    <x v="23"/>
    <x v="1"/>
    <x v="2"/>
    <x v="2"/>
    <x v="13"/>
    <x v="14"/>
    <n v="0.86"/>
    <n v="0.28360000000000002"/>
    <x v="5"/>
    <x v="35"/>
    <x v="48"/>
  </r>
  <r>
    <n v="397"/>
    <x v="17"/>
    <x v="0"/>
    <n v="0"/>
    <x v="0"/>
    <x v="12"/>
    <x v="0"/>
    <x v="3"/>
    <x v="1"/>
    <x v="2"/>
    <x v="18"/>
    <n v="0.86"/>
    <n v="0.32840000000000003"/>
    <x v="3"/>
    <x v="35"/>
    <x v="6"/>
  </r>
  <r>
    <n v="398"/>
    <x v="17"/>
    <x v="0"/>
    <n v="0"/>
    <x v="0"/>
    <x v="13"/>
    <x v="0"/>
    <x v="3"/>
    <x v="1"/>
    <x v="2"/>
    <x v="13"/>
    <n v="0.86"/>
    <n v="0.22389999999999999"/>
    <x v="3"/>
    <x v="97"/>
    <x v="34"/>
  </r>
  <r>
    <n v="399"/>
    <x v="17"/>
    <x v="0"/>
    <n v="0"/>
    <x v="0"/>
    <x v="14"/>
    <x v="0"/>
    <x v="3"/>
    <x v="1"/>
    <x v="1"/>
    <x v="11"/>
    <n v="0.8"/>
    <n v="0.16420000000000001"/>
    <x v="4"/>
    <x v="16"/>
    <x v="20"/>
  </r>
  <r>
    <n v="400"/>
    <x v="17"/>
    <x v="0"/>
    <n v="0"/>
    <x v="0"/>
    <x v="15"/>
    <x v="0"/>
    <x v="3"/>
    <x v="1"/>
    <x v="1"/>
    <x v="11"/>
    <n v="0.87"/>
    <n v="0.16420000000000001"/>
    <x v="0"/>
    <x v="1"/>
    <x v="17"/>
  </r>
  <r>
    <n v="401"/>
    <x v="17"/>
    <x v="0"/>
    <n v="0"/>
    <x v="0"/>
    <x v="16"/>
    <x v="0"/>
    <x v="3"/>
    <x v="1"/>
    <x v="1"/>
    <x v="11"/>
    <n v="0.87"/>
    <n v="0.19400000000000001"/>
    <x v="3"/>
    <x v="124"/>
    <x v="42"/>
  </r>
  <r>
    <n v="402"/>
    <x v="17"/>
    <x v="0"/>
    <n v="0"/>
    <x v="0"/>
    <x v="17"/>
    <x v="0"/>
    <x v="3"/>
    <x v="1"/>
    <x v="1"/>
    <x v="11"/>
    <n v="0.82"/>
    <n v="0.19400000000000001"/>
    <x v="5"/>
    <x v="125"/>
    <x v="139"/>
  </r>
  <r>
    <n v="403"/>
    <x v="17"/>
    <x v="0"/>
    <n v="0"/>
    <x v="0"/>
    <x v="18"/>
    <x v="0"/>
    <x v="3"/>
    <x v="1"/>
    <x v="1"/>
    <x v="11"/>
    <n v="0.8"/>
    <n v="0.16420000000000001"/>
    <x v="5"/>
    <x v="126"/>
    <x v="140"/>
  </r>
  <r>
    <n v="404"/>
    <x v="17"/>
    <x v="0"/>
    <n v="0"/>
    <x v="0"/>
    <x v="19"/>
    <x v="0"/>
    <x v="3"/>
    <x v="1"/>
    <x v="1"/>
    <x v="11"/>
    <n v="0.8"/>
    <n v="0.1343"/>
    <x v="5"/>
    <x v="52"/>
    <x v="111"/>
  </r>
  <r>
    <n v="405"/>
    <x v="17"/>
    <x v="0"/>
    <n v="0"/>
    <x v="0"/>
    <x v="20"/>
    <x v="0"/>
    <x v="3"/>
    <x v="1"/>
    <x v="1"/>
    <x v="1"/>
    <n v="0.87"/>
    <n v="0"/>
    <x v="3"/>
    <x v="93"/>
    <x v="56"/>
  </r>
  <r>
    <n v="406"/>
    <x v="17"/>
    <x v="0"/>
    <n v="0"/>
    <x v="0"/>
    <x v="21"/>
    <x v="0"/>
    <x v="3"/>
    <x v="1"/>
    <x v="1"/>
    <x v="19"/>
    <n v="0.93"/>
    <n v="0.1045"/>
    <x v="3"/>
    <x v="40"/>
    <x v="102"/>
  </r>
  <r>
    <n v="407"/>
    <x v="17"/>
    <x v="0"/>
    <n v="0"/>
    <x v="0"/>
    <x v="22"/>
    <x v="0"/>
    <x v="3"/>
    <x v="1"/>
    <x v="1"/>
    <x v="2"/>
    <n v="0.93"/>
    <n v="8.9599999999999999E-2"/>
    <x v="3"/>
    <x v="39"/>
    <x v="63"/>
  </r>
  <r>
    <n v="408"/>
    <x v="17"/>
    <x v="0"/>
    <n v="0"/>
    <x v="0"/>
    <x v="23"/>
    <x v="0"/>
    <x v="3"/>
    <x v="1"/>
    <x v="1"/>
    <x v="1"/>
    <n v="0.93"/>
    <n v="0"/>
    <x v="5"/>
    <x v="23"/>
    <x v="25"/>
  </r>
  <r>
    <n v="409"/>
    <x v="18"/>
    <x v="0"/>
    <n v="0"/>
    <x v="0"/>
    <x v="0"/>
    <x v="0"/>
    <x v="4"/>
    <x v="1"/>
    <x v="1"/>
    <x v="1"/>
    <n v="0.93"/>
    <n v="0"/>
    <x v="3"/>
    <x v="35"/>
    <x v="6"/>
  </r>
  <r>
    <n v="410"/>
    <x v="18"/>
    <x v="0"/>
    <n v="0"/>
    <x v="0"/>
    <x v="1"/>
    <x v="0"/>
    <x v="4"/>
    <x v="2"/>
    <x v="1"/>
    <x v="11"/>
    <n v="0.93"/>
    <n v="0.1343"/>
    <x v="5"/>
    <x v="8"/>
    <x v="85"/>
  </r>
  <r>
    <n v="411"/>
    <x v="18"/>
    <x v="0"/>
    <n v="0"/>
    <x v="0"/>
    <x v="2"/>
    <x v="0"/>
    <x v="4"/>
    <x v="2"/>
    <x v="1"/>
    <x v="11"/>
    <n v="0.93"/>
    <n v="0.1343"/>
    <x v="3"/>
    <x v="35"/>
    <x v="6"/>
  </r>
  <r>
    <n v="412"/>
    <x v="18"/>
    <x v="0"/>
    <n v="0"/>
    <x v="0"/>
    <x v="4"/>
    <x v="0"/>
    <x v="4"/>
    <x v="2"/>
    <x v="1"/>
    <x v="11"/>
    <n v="0.93"/>
    <n v="0.1343"/>
    <x v="5"/>
    <x v="4"/>
    <x v="5"/>
  </r>
  <r>
    <n v="413"/>
    <x v="18"/>
    <x v="0"/>
    <n v="0"/>
    <x v="0"/>
    <x v="5"/>
    <x v="0"/>
    <x v="4"/>
    <x v="1"/>
    <x v="1"/>
    <x v="2"/>
    <n v="0.93"/>
    <n v="8.9599999999999999E-2"/>
    <x v="3"/>
    <x v="7"/>
    <x v="85"/>
  </r>
  <r>
    <n v="414"/>
    <x v="18"/>
    <x v="0"/>
    <n v="0"/>
    <x v="0"/>
    <x v="6"/>
    <x v="0"/>
    <x v="4"/>
    <x v="1"/>
    <x v="1"/>
    <x v="2"/>
    <n v="0.93"/>
    <n v="8.9599999999999999E-2"/>
    <x v="3"/>
    <x v="1"/>
    <x v="2"/>
  </r>
  <r>
    <n v="415"/>
    <x v="18"/>
    <x v="0"/>
    <n v="0"/>
    <x v="0"/>
    <x v="7"/>
    <x v="0"/>
    <x v="4"/>
    <x v="1"/>
    <x v="0"/>
    <x v="2"/>
    <n v="0.92"/>
    <n v="0.1045"/>
    <x v="5"/>
    <x v="121"/>
    <x v="127"/>
  </r>
  <r>
    <n v="416"/>
    <x v="18"/>
    <x v="0"/>
    <n v="0"/>
    <x v="0"/>
    <x v="8"/>
    <x v="0"/>
    <x v="4"/>
    <x v="1"/>
    <x v="0"/>
    <x v="2"/>
    <n v="0.93"/>
    <n v="0.1045"/>
    <x v="5"/>
    <x v="127"/>
    <x v="141"/>
  </r>
  <r>
    <n v="417"/>
    <x v="18"/>
    <x v="0"/>
    <n v="0"/>
    <x v="0"/>
    <x v="9"/>
    <x v="0"/>
    <x v="4"/>
    <x v="1"/>
    <x v="0"/>
    <x v="2"/>
    <n v="0.93"/>
    <n v="0.1045"/>
    <x v="4"/>
    <x v="128"/>
    <x v="142"/>
  </r>
  <r>
    <n v="418"/>
    <x v="18"/>
    <x v="0"/>
    <n v="0"/>
    <x v="0"/>
    <x v="10"/>
    <x v="0"/>
    <x v="4"/>
    <x v="1"/>
    <x v="12"/>
    <x v="1"/>
    <n v="0.93"/>
    <n v="0.1343"/>
    <x v="5"/>
    <x v="24"/>
    <x v="105"/>
  </r>
  <r>
    <n v="419"/>
    <x v="18"/>
    <x v="0"/>
    <n v="0"/>
    <x v="0"/>
    <x v="11"/>
    <x v="0"/>
    <x v="4"/>
    <x v="1"/>
    <x v="17"/>
    <x v="25"/>
    <n v="0.87"/>
    <n v="8.9599999999999999E-2"/>
    <x v="2"/>
    <x v="12"/>
    <x v="46"/>
  </r>
  <r>
    <n v="420"/>
    <x v="18"/>
    <x v="0"/>
    <n v="0"/>
    <x v="0"/>
    <x v="12"/>
    <x v="0"/>
    <x v="4"/>
    <x v="1"/>
    <x v="11"/>
    <x v="21"/>
    <n v="0.81"/>
    <n v="8.9599999999999999E-2"/>
    <x v="2"/>
    <x v="65"/>
    <x v="27"/>
  </r>
  <r>
    <n v="421"/>
    <x v="18"/>
    <x v="0"/>
    <n v="0"/>
    <x v="0"/>
    <x v="13"/>
    <x v="0"/>
    <x v="4"/>
    <x v="0"/>
    <x v="9"/>
    <x v="10"/>
    <n v="0.62"/>
    <n v="0.28360000000000002"/>
    <x v="16"/>
    <x v="28"/>
    <x v="53"/>
  </r>
  <r>
    <n v="422"/>
    <x v="18"/>
    <x v="0"/>
    <n v="0"/>
    <x v="0"/>
    <x v="14"/>
    <x v="0"/>
    <x v="4"/>
    <x v="0"/>
    <x v="9"/>
    <x v="10"/>
    <n v="0.57999999999999996"/>
    <n v="0.25369999999999998"/>
    <x v="18"/>
    <x v="56"/>
    <x v="28"/>
  </r>
  <r>
    <n v="423"/>
    <x v="18"/>
    <x v="0"/>
    <n v="0"/>
    <x v="0"/>
    <x v="15"/>
    <x v="0"/>
    <x v="4"/>
    <x v="0"/>
    <x v="9"/>
    <x v="10"/>
    <n v="0.54"/>
    <n v="0.28360000000000002"/>
    <x v="17"/>
    <x v="78"/>
    <x v="100"/>
  </r>
  <r>
    <n v="424"/>
    <x v="18"/>
    <x v="0"/>
    <n v="0"/>
    <x v="0"/>
    <x v="16"/>
    <x v="0"/>
    <x v="4"/>
    <x v="0"/>
    <x v="4"/>
    <x v="5"/>
    <n v="0.57999999999999996"/>
    <n v="0.3881"/>
    <x v="22"/>
    <x v="111"/>
    <x v="133"/>
  </r>
  <r>
    <n v="425"/>
    <x v="18"/>
    <x v="0"/>
    <n v="0"/>
    <x v="0"/>
    <x v="17"/>
    <x v="0"/>
    <x v="4"/>
    <x v="0"/>
    <x v="5"/>
    <x v="6"/>
    <n v="0.56999999999999995"/>
    <n v="0.32840000000000003"/>
    <x v="18"/>
    <x v="84"/>
    <x v="141"/>
  </r>
  <r>
    <n v="426"/>
    <x v="18"/>
    <x v="0"/>
    <n v="0"/>
    <x v="0"/>
    <x v="18"/>
    <x v="0"/>
    <x v="4"/>
    <x v="0"/>
    <x v="10"/>
    <x v="21"/>
    <n v="0.61"/>
    <n v="0.28360000000000002"/>
    <x v="2"/>
    <x v="117"/>
    <x v="143"/>
  </r>
  <r>
    <n v="427"/>
    <x v="18"/>
    <x v="0"/>
    <n v="0"/>
    <x v="0"/>
    <x v="19"/>
    <x v="0"/>
    <x v="4"/>
    <x v="0"/>
    <x v="3"/>
    <x v="0"/>
    <n v="0.56999999999999995"/>
    <n v="0.41789999999999999"/>
    <x v="17"/>
    <x v="123"/>
    <x v="59"/>
  </r>
  <r>
    <n v="428"/>
    <x v="18"/>
    <x v="0"/>
    <n v="0"/>
    <x v="0"/>
    <x v="20"/>
    <x v="0"/>
    <x v="4"/>
    <x v="0"/>
    <x v="3"/>
    <x v="25"/>
    <n v="0.49"/>
    <n v="0.29849999999999999"/>
    <x v="4"/>
    <x v="64"/>
    <x v="31"/>
  </r>
  <r>
    <n v="429"/>
    <x v="18"/>
    <x v="0"/>
    <n v="0"/>
    <x v="0"/>
    <x v="21"/>
    <x v="0"/>
    <x v="4"/>
    <x v="0"/>
    <x v="3"/>
    <x v="0"/>
    <n v="0.49"/>
    <n v="0.41789999999999999"/>
    <x v="17"/>
    <x v="11"/>
    <x v="29"/>
  </r>
  <r>
    <n v="430"/>
    <x v="18"/>
    <x v="0"/>
    <n v="0"/>
    <x v="0"/>
    <x v="22"/>
    <x v="0"/>
    <x v="4"/>
    <x v="0"/>
    <x v="11"/>
    <x v="25"/>
    <n v="0.52"/>
    <n v="0.16420000000000001"/>
    <x v="15"/>
    <x v="42"/>
    <x v="29"/>
  </r>
  <r>
    <n v="431"/>
    <x v="18"/>
    <x v="0"/>
    <n v="0"/>
    <x v="0"/>
    <x v="23"/>
    <x v="0"/>
    <x v="4"/>
    <x v="0"/>
    <x v="11"/>
    <x v="1"/>
    <n v="0.52"/>
    <n v="0.4627"/>
    <x v="5"/>
    <x v="2"/>
    <x v="20"/>
  </r>
  <r>
    <n v="432"/>
    <x v="19"/>
    <x v="0"/>
    <n v="0"/>
    <x v="0"/>
    <x v="0"/>
    <x v="0"/>
    <x v="5"/>
    <x v="0"/>
    <x v="12"/>
    <x v="11"/>
    <n v="0.56000000000000005"/>
    <n v="0.3881"/>
    <x v="2"/>
    <x v="21"/>
    <x v="3"/>
  </r>
  <r>
    <n v="433"/>
    <x v="19"/>
    <x v="0"/>
    <n v="0"/>
    <x v="0"/>
    <x v="1"/>
    <x v="0"/>
    <x v="5"/>
    <x v="0"/>
    <x v="12"/>
    <x v="1"/>
    <n v="0.56000000000000005"/>
    <n v="0"/>
    <x v="4"/>
    <x v="35"/>
    <x v="36"/>
  </r>
  <r>
    <n v="434"/>
    <x v="19"/>
    <x v="0"/>
    <n v="0"/>
    <x v="0"/>
    <x v="2"/>
    <x v="0"/>
    <x v="5"/>
    <x v="0"/>
    <x v="12"/>
    <x v="1"/>
    <n v="0.56000000000000005"/>
    <n v="0"/>
    <x v="3"/>
    <x v="6"/>
    <x v="5"/>
  </r>
  <r>
    <n v="435"/>
    <x v="19"/>
    <x v="0"/>
    <n v="0"/>
    <x v="0"/>
    <x v="3"/>
    <x v="0"/>
    <x v="5"/>
    <x v="0"/>
    <x v="12"/>
    <x v="2"/>
    <n v="0.56000000000000005"/>
    <n v="0.16420000000000001"/>
    <x v="3"/>
    <x v="4"/>
    <x v="4"/>
  </r>
  <r>
    <n v="436"/>
    <x v="19"/>
    <x v="0"/>
    <n v="0"/>
    <x v="0"/>
    <x v="4"/>
    <x v="0"/>
    <x v="5"/>
    <x v="0"/>
    <x v="12"/>
    <x v="2"/>
    <n v="0.56000000000000005"/>
    <n v="0.16420000000000001"/>
    <x v="3"/>
    <x v="4"/>
    <x v="4"/>
  </r>
  <r>
    <n v="437"/>
    <x v="19"/>
    <x v="0"/>
    <n v="0"/>
    <x v="0"/>
    <x v="5"/>
    <x v="0"/>
    <x v="5"/>
    <x v="0"/>
    <x v="0"/>
    <x v="11"/>
    <n v="0.6"/>
    <n v="0.22389999999999999"/>
    <x v="3"/>
    <x v="8"/>
    <x v="24"/>
  </r>
  <r>
    <n v="438"/>
    <x v="19"/>
    <x v="0"/>
    <n v="0"/>
    <x v="0"/>
    <x v="6"/>
    <x v="0"/>
    <x v="5"/>
    <x v="0"/>
    <x v="1"/>
    <x v="12"/>
    <n v="0.6"/>
    <n v="0.22389999999999999"/>
    <x v="3"/>
    <x v="96"/>
    <x v="17"/>
  </r>
  <r>
    <n v="439"/>
    <x v="19"/>
    <x v="0"/>
    <n v="0"/>
    <x v="0"/>
    <x v="7"/>
    <x v="0"/>
    <x v="5"/>
    <x v="0"/>
    <x v="1"/>
    <x v="12"/>
    <n v="0.55000000000000004"/>
    <n v="0.22389999999999999"/>
    <x v="5"/>
    <x v="129"/>
    <x v="129"/>
  </r>
  <r>
    <n v="440"/>
    <x v="19"/>
    <x v="0"/>
    <n v="0"/>
    <x v="0"/>
    <x v="8"/>
    <x v="0"/>
    <x v="5"/>
    <x v="0"/>
    <x v="1"/>
    <x v="12"/>
    <n v="0.55000000000000004"/>
    <n v="0.28360000000000002"/>
    <x v="4"/>
    <x v="130"/>
    <x v="144"/>
  </r>
  <r>
    <n v="441"/>
    <x v="19"/>
    <x v="0"/>
    <n v="0"/>
    <x v="0"/>
    <x v="9"/>
    <x v="0"/>
    <x v="5"/>
    <x v="1"/>
    <x v="0"/>
    <x v="11"/>
    <n v="0.52"/>
    <n v="0.22389999999999999"/>
    <x v="0"/>
    <x v="131"/>
    <x v="145"/>
  </r>
  <r>
    <n v="442"/>
    <x v="19"/>
    <x v="0"/>
    <n v="0"/>
    <x v="0"/>
    <x v="10"/>
    <x v="0"/>
    <x v="5"/>
    <x v="0"/>
    <x v="12"/>
    <x v="11"/>
    <n v="0.48"/>
    <n v="0.29849999999999999"/>
    <x v="5"/>
    <x v="90"/>
    <x v="52"/>
  </r>
  <r>
    <n v="443"/>
    <x v="19"/>
    <x v="0"/>
    <n v="0"/>
    <x v="0"/>
    <x v="11"/>
    <x v="0"/>
    <x v="5"/>
    <x v="1"/>
    <x v="17"/>
    <x v="1"/>
    <n v="0.45"/>
    <n v="0.16420000000000001"/>
    <x v="2"/>
    <x v="36"/>
    <x v="118"/>
  </r>
  <r>
    <n v="444"/>
    <x v="19"/>
    <x v="0"/>
    <n v="0"/>
    <x v="0"/>
    <x v="12"/>
    <x v="0"/>
    <x v="5"/>
    <x v="1"/>
    <x v="11"/>
    <x v="6"/>
    <n v="0.42"/>
    <n v="0"/>
    <x v="18"/>
    <x v="99"/>
    <x v="11"/>
  </r>
  <r>
    <n v="445"/>
    <x v="19"/>
    <x v="0"/>
    <n v="0"/>
    <x v="0"/>
    <x v="13"/>
    <x v="0"/>
    <x v="5"/>
    <x v="1"/>
    <x v="17"/>
    <x v="0"/>
    <n v="0.45"/>
    <n v="0.1045"/>
    <x v="6"/>
    <x v="132"/>
    <x v="95"/>
  </r>
  <r>
    <n v="446"/>
    <x v="19"/>
    <x v="0"/>
    <n v="0"/>
    <x v="0"/>
    <x v="14"/>
    <x v="0"/>
    <x v="5"/>
    <x v="1"/>
    <x v="11"/>
    <x v="25"/>
    <n v="0.45"/>
    <n v="0.1343"/>
    <x v="15"/>
    <x v="102"/>
    <x v="117"/>
  </r>
  <r>
    <n v="447"/>
    <x v="19"/>
    <x v="0"/>
    <n v="0"/>
    <x v="0"/>
    <x v="15"/>
    <x v="0"/>
    <x v="5"/>
    <x v="1"/>
    <x v="3"/>
    <x v="21"/>
    <n v="0.45"/>
    <n v="0.19400000000000001"/>
    <x v="1"/>
    <x v="133"/>
    <x v="27"/>
  </r>
  <r>
    <n v="448"/>
    <x v="19"/>
    <x v="0"/>
    <n v="0"/>
    <x v="0"/>
    <x v="16"/>
    <x v="0"/>
    <x v="5"/>
    <x v="1"/>
    <x v="11"/>
    <x v="25"/>
    <n v="0.49"/>
    <n v="0.1343"/>
    <x v="1"/>
    <x v="93"/>
    <x v="134"/>
  </r>
  <r>
    <n v="449"/>
    <x v="19"/>
    <x v="0"/>
    <n v="0"/>
    <x v="0"/>
    <x v="17"/>
    <x v="0"/>
    <x v="5"/>
    <x v="1"/>
    <x v="11"/>
    <x v="21"/>
    <n v="0.49"/>
    <n v="0.1045"/>
    <x v="1"/>
    <x v="134"/>
    <x v="146"/>
  </r>
  <r>
    <n v="450"/>
    <x v="19"/>
    <x v="0"/>
    <n v="0"/>
    <x v="0"/>
    <x v="18"/>
    <x v="0"/>
    <x v="5"/>
    <x v="1"/>
    <x v="12"/>
    <x v="2"/>
    <n v="0.56000000000000005"/>
    <n v="0.19400000000000001"/>
    <x v="5"/>
    <x v="103"/>
    <x v="147"/>
  </r>
  <r>
    <n v="451"/>
    <x v="19"/>
    <x v="0"/>
    <n v="0"/>
    <x v="0"/>
    <x v="19"/>
    <x v="0"/>
    <x v="5"/>
    <x v="0"/>
    <x v="12"/>
    <x v="11"/>
    <n v="0.56000000000000005"/>
    <n v="0.32840000000000003"/>
    <x v="15"/>
    <x v="44"/>
    <x v="148"/>
  </r>
  <r>
    <n v="452"/>
    <x v="19"/>
    <x v="0"/>
    <n v="0"/>
    <x v="0"/>
    <x v="20"/>
    <x v="0"/>
    <x v="5"/>
    <x v="1"/>
    <x v="12"/>
    <x v="19"/>
    <n v="0.6"/>
    <n v="0.28360000000000002"/>
    <x v="4"/>
    <x v="125"/>
    <x v="149"/>
  </r>
  <r>
    <n v="453"/>
    <x v="19"/>
    <x v="0"/>
    <n v="0"/>
    <x v="0"/>
    <x v="21"/>
    <x v="0"/>
    <x v="5"/>
    <x v="1"/>
    <x v="0"/>
    <x v="11"/>
    <n v="0.6"/>
    <n v="0.25369999999999998"/>
    <x v="0"/>
    <x v="25"/>
    <x v="52"/>
  </r>
  <r>
    <n v="454"/>
    <x v="19"/>
    <x v="0"/>
    <n v="0"/>
    <x v="0"/>
    <x v="22"/>
    <x v="0"/>
    <x v="5"/>
    <x v="1"/>
    <x v="0"/>
    <x v="12"/>
    <n v="0.65"/>
    <n v="0.28360000000000002"/>
    <x v="3"/>
    <x v="90"/>
    <x v="10"/>
  </r>
  <r>
    <n v="455"/>
    <x v="19"/>
    <x v="0"/>
    <n v="0"/>
    <x v="0"/>
    <x v="23"/>
    <x v="0"/>
    <x v="5"/>
    <x v="1"/>
    <x v="0"/>
    <x v="12"/>
    <n v="0.65"/>
    <n v="0.32840000000000003"/>
    <x v="0"/>
    <x v="95"/>
    <x v="35"/>
  </r>
  <r>
    <n v="456"/>
    <x v="20"/>
    <x v="0"/>
    <n v="0"/>
    <x v="0"/>
    <x v="0"/>
    <x v="0"/>
    <x v="6"/>
    <x v="1"/>
    <x v="0"/>
    <x v="11"/>
    <n v="0.7"/>
    <n v="0.25369999999999998"/>
    <x v="5"/>
    <x v="32"/>
    <x v="137"/>
  </r>
  <r>
    <n v="457"/>
    <x v="20"/>
    <x v="0"/>
    <n v="0"/>
    <x v="0"/>
    <x v="1"/>
    <x v="0"/>
    <x v="6"/>
    <x v="1"/>
    <x v="0"/>
    <x v="11"/>
    <n v="0.7"/>
    <n v="0.25369999999999998"/>
    <x v="3"/>
    <x v="8"/>
    <x v="24"/>
  </r>
  <r>
    <n v="458"/>
    <x v="20"/>
    <x v="0"/>
    <n v="0"/>
    <x v="0"/>
    <x v="2"/>
    <x v="0"/>
    <x v="6"/>
    <x v="2"/>
    <x v="0"/>
    <x v="19"/>
    <n v="0.75"/>
    <n v="0.16420000000000001"/>
    <x v="3"/>
    <x v="6"/>
    <x v="5"/>
  </r>
  <r>
    <n v="459"/>
    <x v="20"/>
    <x v="0"/>
    <n v="0"/>
    <x v="0"/>
    <x v="3"/>
    <x v="0"/>
    <x v="6"/>
    <x v="2"/>
    <x v="1"/>
    <x v="12"/>
    <n v="0.8"/>
    <n v="0.29849999999999999"/>
    <x v="3"/>
    <x v="4"/>
    <x v="4"/>
  </r>
  <r>
    <n v="460"/>
    <x v="20"/>
    <x v="0"/>
    <n v="0"/>
    <x v="0"/>
    <x v="4"/>
    <x v="0"/>
    <x v="6"/>
    <x v="1"/>
    <x v="1"/>
    <x v="2"/>
    <n v="0.87"/>
    <n v="8.9599999999999999E-2"/>
    <x v="3"/>
    <x v="4"/>
    <x v="4"/>
  </r>
  <r>
    <n v="461"/>
    <x v="20"/>
    <x v="0"/>
    <n v="0"/>
    <x v="0"/>
    <x v="5"/>
    <x v="0"/>
    <x v="6"/>
    <x v="0"/>
    <x v="0"/>
    <x v="13"/>
    <n v="0.6"/>
    <n v="0.41789999999999999"/>
    <x v="5"/>
    <x v="22"/>
    <x v="36"/>
  </r>
  <r>
    <n v="462"/>
    <x v="20"/>
    <x v="0"/>
    <n v="0"/>
    <x v="0"/>
    <x v="6"/>
    <x v="0"/>
    <x v="6"/>
    <x v="0"/>
    <x v="1"/>
    <x v="12"/>
    <n v="0.55000000000000004"/>
    <n v="0.25369999999999998"/>
    <x v="3"/>
    <x v="2"/>
    <x v="110"/>
  </r>
  <r>
    <n v="463"/>
    <x v="20"/>
    <x v="0"/>
    <n v="0"/>
    <x v="0"/>
    <x v="7"/>
    <x v="0"/>
    <x v="6"/>
    <x v="0"/>
    <x v="2"/>
    <x v="18"/>
    <n v="0.51"/>
    <n v="0.28360000000000002"/>
    <x v="4"/>
    <x v="43"/>
    <x v="118"/>
  </r>
  <r>
    <n v="464"/>
    <x v="20"/>
    <x v="0"/>
    <n v="0"/>
    <x v="0"/>
    <x v="8"/>
    <x v="0"/>
    <x v="6"/>
    <x v="0"/>
    <x v="2"/>
    <x v="18"/>
    <n v="0.47"/>
    <n v="0.32840000000000003"/>
    <x v="18"/>
    <x v="135"/>
    <x v="112"/>
  </r>
  <r>
    <n v="465"/>
    <x v="20"/>
    <x v="0"/>
    <n v="0"/>
    <x v="0"/>
    <x v="9"/>
    <x v="0"/>
    <x v="6"/>
    <x v="0"/>
    <x v="2"/>
    <x v="18"/>
    <n v="0.51"/>
    <n v="0.35820000000000002"/>
    <x v="18"/>
    <x v="136"/>
    <x v="150"/>
  </r>
  <r>
    <n v="466"/>
    <x v="20"/>
    <x v="0"/>
    <n v="0"/>
    <x v="0"/>
    <x v="10"/>
    <x v="0"/>
    <x v="6"/>
    <x v="0"/>
    <x v="2"/>
    <x v="17"/>
    <n v="0.47"/>
    <n v="0.4627"/>
    <x v="15"/>
    <x v="77"/>
    <x v="55"/>
  </r>
  <r>
    <n v="467"/>
    <x v="20"/>
    <x v="0"/>
    <n v="0"/>
    <x v="0"/>
    <x v="11"/>
    <x v="0"/>
    <x v="6"/>
    <x v="0"/>
    <x v="1"/>
    <x v="18"/>
    <n v="0.41"/>
    <n v="0.4627"/>
    <x v="15"/>
    <x v="42"/>
    <x v="29"/>
  </r>
  <r>
    <n v="468"/>
    <x v="20"/>
    <x v="0"/>
    <n v="0"/>
    <x v="0"/>
    <x v="12"/>
    <x v="0"/>
    <x v="6"/>
    <x v="0"/>
    <x v="1"/>
    <x v="18"/>
    <n v="0.27"/>
    <n v="0.58209999999999995"/>
    <x v="16"/>
    <x v="28"/>
    <x v="53"/>
  </r>
  <r>
    <n v="469"/>
    <x v="20"/>
    <x v="0"/>
    <n v="0"/>
    <x v="0"/>
    <x v="13"/>
    <x v="0"/>
    <x v="6"/>
    <x v="0"/>
    <x v="2"/>
    <x v="20"/>
    <n v="0.21"/>
    <n v="0.58209999999999995"/>
    <x v="1"/>
    <x v="65"/>
    <x v="88"/>
  </r>
  <r>
    <n v="470"/>
    <x v="20"/>
    <x v="0"/>
    <n v="0"/>
    <x v="0"/>
    <x v="14"/>
    <x v="0"/>
    <x v="6"/>
    <x v="0"/>
    <x v="2"/>
    <x v="20"/>
    <n v="0.25"/>
    <n v="0.52239999999999998"/>
    <x v="15"/>
    <x v="90"/>
    <x v="69"/>
  </r>
  <r>
    <n v="471"/>
    <x v="20"/>
    <x v="0"/>
    <n v="0"/>
    <x v="0"/>
    <x v="15"/>
    <x v="0"/>
    <x v="6"/>
    <x v="0"/>
    <x v="13"/>
    <x v="16"/>
    <n v="0.26"/>
    <n v="0.44779999999999998"/>
    <x v="17"/>
    <x v="124"/>
    <x v="32"/>
  </r>
  <r>
    <n v="472"/>
    <x v="20"/>
    <x v="0"/>
    <n v="0"/>
    <x v="0"/>
    <x v="16"/>
    <x v="0"/>
    <x v="6"/>
    <x v="0"/>
    <x v="13"/>
    <x v="14"/>
    <n v="0.26"/>
    <n v="0.35820000000000002"/>
    <x v="3"/>
    <x v="106"/>
    <x v="54"/>
  </r>
  <r>
    <n v="473"/>
    <x v="20"/>
    <x v="0"/>
    <n v="0"/>
    <x v="0"/>
    <x v="17"/>
    <x v="0"/>
    <x v="6"/>
    <x v="0"/>
    <x v="14"/>
    <x v="16"/>
    <n v="0.28000000000000003"/>
    <n v="0.35820000000000002"/>
    <x v="22"/>
    <x v="137"/>
    <x v="143"/>
  </r>
  <r>
    <n v="474"/>
    <x v="20"/>
    <x v="0"/>
    <n v="0"/>
    <x v="0"/>
    <x v="18"/>
    <x v="0"/>
    <x v="6"/>
    <x v="0"/>
    <x v="16"/>
    <x v="16"/>
    <n v="0.3"/>
    <n v="0.25369999999999998"/>
    <x v="5"/>
    <x v="138"/>
    <x v="151"/>
  </r>
  <r>
    <n v="475"/>
    <x v="20"/>
    <x v="0"/>
    <n v="0"/>
    <x v="0"/>
    <x v="19"/>
    <x v="0"/>
    <x v="6"/>
    <x v="0"/>
    <x v="16"/>
    <x v="15"/>
    <n v="0.3"/>
    <n v="0.32840000000000003"/>
    <x v="0"/>
    <x v="139"/>
    <x v="152"/>
  </r>
  <r>
    <n v="476"/>
    <x v="20"/>
    <x v="0"/>
    <n v="0"/>
    <x v="0"/>
    <x v="20"/>
    <x v="0"/>
    <x v="6"/>
    <x v="0"/>
    <x v="18"/>
    <x v="23"/>
    <n v="0.33"/>
    <n v="0.41789999999999999"/>
    <x v="5"/>
    <x v="15"/>
    <x v="26"/>
  </r>
  <r>
    <n v="477"/>
    <x v="20"/>
    <x v="0"/>
    <n v="0"/>
    <x v="0"/>
    <x v="21"/>
    <x v="0"/>
    <x v="6"/>
    <x v="0"/>
    <x v="19"/>
    <x v="23"/>
    <n v="0.38"/>
    <n v="0.28360000000000002"/>
    <x v="3"/>
    <x v="40"/>
    <x v="102"/>
  </r>
  <r>
    <n v="478"/>
    <x v="20"/>
    <x v="0"/>
    <n v="0"/>
    <x v="0"/>
    <x v="22"/>
    <x v="0"/>
    <x v="6"/>
    <x v="0"/>
    <x v="20"/>
    <x v="26"/>
    <n v="0.41"/>
    <n v="0.3881"/>
    <x v="5"/>
    <x v="39"/>
    <x v="19"/>
  </r>
  <r>
    <n v="479"/>
    <x v="20"/>
    <x v="0"/>
    <n v="0"/>
    <x v="0"/>
    <x v="23"/>
    <x v="0"/>
    <x v="6"/>
    <x v="0"/>
    <x v="20"/>
    <x v="27"/>
    <n v="0.38"/>
    <n v="0.32840000000000003"/>
    <x v="3"/>
    <x v="2"/>
    <x v="110"/>
  </r>
  <r>
    <n v="480"/>
    <x v="21"/>
    <x v="0"/>
    <n v="0"/>
    <x v="0"/>
    <x v="0"/>
    <x v="0"/>
    <x v="0"/>
    <x v="0"/>
    <x v="21"/>
    <x v="26"/>
    <n v="0.45"/>
    <n v="0.25369999999999998"/>
    <x v="3"/>
    <x v="0"/>
    <x v="3"/>
  </r>
  <r>
    <n v="481"/>
    <x v="21"/>
    <x v="0"/>
    <n v="0"/>
    <x v="0"/>
    <x v="1"/>
    <x v="0"/>
    <x v="0"/>
    <x v="1"/>
    <x v="21"/>
    <x v="3"/>
    <n v="0.41"/>
    <n v="0.3881"/>
    <x v="0"/>
    <x v="33"/>
    <x v="47"/>
  </r>
  <r>
    <n v="482"/>
    <x v="21"/>
    <x v="0"/>
    <n v="0"/>
    <x v="0"/>
    <x v="2"/>
    <x v="0"/>
    <x v="0"/>
    <x v="1"/>
    <x v="21"/>
    <x v="26"/>
    <n v="0.41"/>
    <n v="0.25369999999999998"/>
    <x v="3"/>
    <x v="48"/>
    <x v="62"/>
  </r>
  <r>
    <n v="483"/>
    <x v="21"/>
    <x v="0"/>
    <n v="0"/>
    <x v="0"/>
    <x v="3"/>
    <x v="0"/>
    <x v="0"/>
    <x v="1"/>
    <x v="21"/>
    <x v="26"/>
    <n v="0.41"/>
    <n v="0.28360000000000002"/>
    <x v="5"/>
    <x v="8"/>
    <x v="85"/>
  </r>
  <r>
    <n v="484"/>
    <x v="21"/>
    <x v="0"/>
    <n v="0"/>
    <x v="0"/>
    <x v="4"/>
    <x v="0"/>
    <x v="0"/>
    <x v="1"/>
    <x v="22"/>
    <x v="28"/>
    <n v="0.48"/>
    <n v="0.29849999999999999"/>
    <x v="3"/>
    <x v="35"/>
    <x v="6"/>
  </r>
  <r>
    <n v="485"/>
    <x v="21"/>
    <x v="0"/>
    <n v="0"/>
    <x v="0"/>
    <x v="6"/>
    <x v="0"/>
    <x v="0"/>
    <x v="1"/>
    <x v="22"/>
    <x v="26"/>
    <n v="0.44"/>
    <n v="0.22389999999999999"/>
    <x v="3"/>
    <x v="6"/>
    <x v="5"/>
  </r>
  <r>
    <n v="486"/>
    <x v="21"/>
    <x v="0"/>
    <n v="0"/>
    <x v="0"/>
    <x v="7"/>
    <x v="0"/>
    <x v="0"/>
    <x v="0"/>
    <x v="22"/>
    <x v="28"/>
    <n v="0.44"/>
    <n v="0.28360000000000002"/>
    <x v="3"/>
    <x v="21"/>
    <x v="7"/>
  </r>
  <r>
    <n v="487"/>
    <x v="21"/>
    <x v="0"/>
    <n v="0"/>
    <x v="0"/>
    <x v="8"/>
    <x v="0"/>
    <x v="0"/>
    <x v="0"/>
    <x v="22"/>
    <x v="3"/>
    <n v="0.44"/>
    <n v="0.32840000000000003"/>
    <x v="5"/>
    <x v="16"/>
    <x v="110"/>
  </r>
  <r>
    <n v="488"/>
    <x v="21"/>
    <x v="0"/>
    <n v="0"/>
    <x v="0"/>
    <x v="9"/>
    <x v="0"/>
    <x v="0"/>
    <x v="0"/>
    <x v="21"/>
    <x v="26"/>
    <n v="0.41"/>
    <n v="0.25369999999999998"/>
    <x v="0"/>
    <x v="53"/>
    <x v="1"/>
  </r>
  <r>
    <n v="489"/>
    <x v="21"/>
    <x v="0"/>
    <n v="0"/>
    <x v="0"/>
    <x v="10"/>
    <x v="0"/>
    <x v="0"/>
    <x v="1"/>
    <x v="21"/>
    <x v="22"/>
    <n v="0.41"/>
    <n v="0.16420000000000001"/>
    <x v="0"/>
    <x v="54"/>
    <x v="26"/>
  </r>
  <r>
    <n v="490"/>
    <x v="21"/>
    <x v="0"/>
    <n v="0"/>
    <x v="0"/>
    <x v="11"/>
    <x v="0"/>
    <x v="0"/>
    <x v="1"/>
    <x v="20"/>
    <x v="23"/>
    <n v="0.38"/>
    <n v="0.1343"/>
    <x v="17"/>
    <x v="79"/>
    <x v="55"/>
  </r>
  <r>
    <n v="491"/>
    <x v="21"/>
    <x v="0"/>
    <n v="0"/>
    <x v="0"/>
    <x v="12"/>
    <x v="0"/>
    <x v="0"/>
    <x v="1"/>
    <x v="20"/>
    <x v="15"/>
    <n v="0.38"/>
    <n v="0.1045"/>
    <x v="22"/>
    <x v="91"/>
    <x v="27"/>
  </r>
  <r>
    <n v="492"/>
    <x v="21"/>
    <x v="0"/>
    <n v="0"/>
    <x v="0"/>
    <x v="13"/>
    <x v="0"/>
    <x v="0"/>
    <x v="0"/>
    <x v="19"/>
    <x v="17"/>
    <n v="0.35"/>
    <n v="0"/>
    <x v="6"/>
    <x v="109"/>
    <x v="11"/>
  </r>
  <r>
    <n v="493"/>
    <x v="21"/>
    <x v="0"/>
    <n v="0"/>
    <x v="0"/>
    <x v="14"/>
    <x v="0"/>
    <x v="0"/>
    <x v="0"/>
    <x v="18"/>
    <x v="14"/>
    <n v="0.33"/>
    <n v="0.1045"/>
    <x v="16"/>
    <x v="27"/>
    <x v="28"/>
  </r>
  <r>
    <n v="494"/>
    <x v="21"/>
    <x v="0"/>
    <n v="0"/>
    <x v="0"/>
    <x v="15"/>
    <x v="0"/>
    <x v="0"/>
    <x v="0"/>
    <x v="16"/>
    <x v="20"/>
    <n v="0.28000000000000003"/>
    <n v="0"/>
    <x v="22"/>
    <x v="139"/>
    <x v="153"/>
  </r>
  <r>
    <n v="495"/>
    <x v="21"/>
    <x v="0"/>
    <n v="0"/>
    <x v="0"/>
    <x v="16"/>
    <x v="0"/>
    <x v="0"/>
    <x v="0"/>
    <x v="16"/>
    <x v="14"/>
    <n v="0.28000000000000003"/>
    <n v="0.19400000000000001"/>
    <x v="16"/>
    <x v="109"/>
    <x v="56"/>
  </r>
  <r>
    <n v="496"/>
    <x v="21"/>
    <x v="0"/>
    <n v="0"/>
    <x v="0"/>
    <x v="17"/>
    <x v="0"/>
    <x v="0"/>
    <x v="0"/>
    <x v="16"/>
    <x v="13"/>
    <n v="0.28000000000000003"/>
    <n v="0"/>
    <x v="1"/>
    <x v="79"/>
    <x v="16"/>
  </r>
  <r>
    <n v="497"/>
    <x v="21"/>
    <x v="0"/>
    <n v="0"/>
    <x v="0"/>
    <x v="18"/>
    <x v="0"/>
    <x v="0"/>
    <x v="0"/>
    <x v="19"/>
    <x v="24"/>
    <n v="0.35"/>
    <n v="0.19400000000000001"/>
    <x v="3"/>
    <x v="25"/>
    <x v="60"/>
  </r>
  <r>
    <n v="498"/>
    <x v="21"/>
    <x v="0"/>
    <n v="0"/>
    <x v="0"/>
    <x v="19"/>
    <x v="0"/>
    <x v="0"/>
    <x v="0"/>
    <x v="19"/>
    <x v="15"/>
    <n v="0.35"/>
    <n v="0.1343"/>
    <x v="15"/>
    <x v="42"/>
    <x v="29"/>
  </r>
  <r>
    <n v="499"/>
    <x v="21"/>
    <x v="0"/>
    <n v="0"/>
    <x v="0"/>
    <x v="20"/>
    <x v="0"/>
    <x v="0"/>
    <x v="0"/>
    <x v="20"/>
    <x v="23"/>
    <n v="0.45"/>
    <n v="0.16420000000000001"/>
    <x v="5"/>
    <x v="100"/>
    <x v="79"/>
  </r>
  <r>
    <n v="500"/>
    <x v="21"/>
    <x v="0"/>
    <n v="0"/>
    <x v="0"/>
    <x v="21"/>
    <x v="0"/>
    <x v="0"/>
    <x v="0"/>
    <x v="20"/>
    <x v="15"/>
    <n v="0.41"/>
    <n v="8.9599999999999999E-2"/>
    <x v="3"/>
    <x v="87"/>
    <x v="21"/>
  </r>
  <r>
    <n v="501"/>
    <x v="21"/>
    <x v="0"/>
    <n v="0"/>
    <x v="0"/>
    <x v="22"/>
    <x v="0"/>
    <x v="0"/>
    <x v="0"/>
    <x v="20"/>
    <x v="20"/>
    <n v="0.49"/>
    <n v="0"/>
    <x v="18"/>
    <x v="140"/>
    <x v="33"/>
  </r>
  <r>
    <n v="502"/>
    <x v="21"/>
    <x v="0"/>
    <n v="0"/>
    <x v="0"/>
    <x v="23"/>
    <x v="0"/>
    <x v="0"/>
    <x v="0"/>
    <x v="21"/>
    <x v="23"/>
    <n v="0.56999999999999995"/>
    <n v="0.1045"/>
    <x v="4"/>
    <x v="17"/>
    <x v="63"/>
  </r>
  <r>
    <n v="503"/>
    <x v="22"/>
    <x v="0"/>
    <n v="0"/>
    <x v="0"/>
    <x v="0"/>
    <x v="0"/>
    <x v="1"/>
    <x v="0"/>
    <x v="21"/>
    <x v="23"/>
    <n v="0.56999999999999995"/>
    <n v="0.1045"/>
    <x v="4"/>
    <x v="32"/>
    <x v="34"/>
  </r>
  <r>
    <n v="504"/>
    <x v="22"/>
    <x v="0"/>
    <n v="0"/>
    <x v="0"/>
    <x v="1"/>
    <x v="0"/>
    <x v="1"/>
    <x v="0"/>
    <x v="21"/>
    <x v="23"/>
    <n v="0.56999999999999995"/>
    <n v="0.1045"/>
    <x v="5"/>
    <x v="98"/>
    <x v="3"/>
  </r>
  <r>
    <n v="505"/>
    <x v="22"/>
    <x v="0"/>
    <n v="0"/>
    <x v="0"/>
    <x v="2"/>
    <x v="0"/>
    <x v="1"/>
    <x v="0"/>
    <x v="22"/>
    <x v="22"/>
    <n v="0.62"/>
    <n v="0.1343"/>
    <x v="0"/>
    <x v="89"/>
    <x v="109"/>
  </r>
  <r>
    <n v="506"/>
    <x v="22"/>
    <x v="0"/>
    <n v="0"/>
    <x v="0"/>
    <x v="3"/>
    <x v="0"/>
    <x v="1"/>
    <x v="0"/>
    <x v="22"/>
    <x v="22"/>
    <n v="0.62"/>
    <n v="0.1343"/>
    <x v="5"/>
    <x v="22"/>
    <x v="36"/>
  </r>
  <r>
    <n v="507"/>
    <x v="22"/>
    <x v="0"/>
    <n v="0"/>
    <x v="0"/>
    <x v="5"/>
    <x v="0"/>
    <x v="1"/>
    <x v="1"/>
    <x v="21"/>
    <x v="23"/>
    <n v="0.56999999999999995"/>
    <n v="0.1045"/>
    <x v="3"/>
    <x v="35"/>
    <x v="6"/>
  </r>
  <r>
    <n v="508"/>
    <x v="22"/>
    <x v="0"/>
    <n v="0"/>
    <x v="0"/>
    <x v="6"/>
    <x v="0"/>
    <x v="1"/>
    <x v="1"/>
    <x v="21"/>
    <x v="23"/>
    <n v="0.56999999999999995"/>
    <n v="0.1045"/>
    <x v="3"/>
    <x v="4"/>
    <x v="4"/>
  </r>
  <r>
    <n v="509"/>
    <x v="22"/>
    <x v="0"/>
    <n v="0"/>
    <x v="0"/>
    <x v="7"/>
    <x v="0"/>
    <x v="1"/>
    <x v="0"/>
    <x v="19"/>
    <x v="15"/>
    <n v="0.57999999999999996"/>
    <n v="0.16420000000000001"/>
    <x v="5"/>
    <x v="4"/>
    <x v="5"/>
  </r>
  <r>
    <n v="510"/>
    <x v="22"/>
    <x v="0"/>
    <n v="0"/>
    <x v="0"/>
    <x v="8"/>
    <x v="0"/>
    <x v="1"/>
    <x v="0"/>
    <x v="20"/>
    <x v="23"/>
    <n v="0.62"/>
    <n v="0.16420000000000001"/>
    <x v="4"/>
    <x v="19"/>
    <x v="75"/>
  </r>
  <r>
    <n v="511"/>
    <x v="22"/>
    <x v="0"/>
    <n v="0"/>
    <x v="0"/>
    <x v="9"/>
    <x v="0"/>
    <x v="1"/>
    <x v="0"/>
    <x v="18"/>
    <x v="23"/>
    <n v="0.54"/>
    <n v="0.35820000000000002"/>
    <x v="0"/>
    <x v="18"/>
    <x v="20"/>
  </r>
  <r>
    <n v="512"/>
    <x v="22"/>
    <x v="0"/>
    <n v="0"/>
    <x v="0"/>
    <x v="10"/>
    <x v="0"/>
    <x v="1"/>
    <x v="0"/>
    <x v="14"/>
    <x v="15"/>
    <n v="0.46"/>
    <n v="0.3881"/>
    <x v="18"/>
    <x v="82"/>
    <x v="154"/>
  </r>
  <r>
    <n v="513"/>
    <x v="22"/>
    <x v="0"/>
    <n v="0"/>
    <x v="0"/>
    <x v="11"/>
    <x v="0"/>
    <x v="1"/>
    <x v="0"/>
    <x v="14"/>
    <x v="14"/>
    <n v="0.43"/>
    <n v="0.22389999999999999"/>
    <x v="30"/>
    <x v="99"/>
    <x v="111"/>
  </r>
  <r>
    <n v="514"/>
    <x v="22"/>
    <x v="0"/>
    <n v="0"/>
    <x v="0"/>
    <x v="12"/>
    <x v="0"/>
    <x v="1"/>
    <x v="0"/>
    <x v="13"/>
    <x v="16"/>
    <n v="0.37"/>
    <n v="0.4627"/>
    <x v="31"/>
    <x v="50"/>
    <x v="155"/>
  </r>
  <r>
    <n v="515"/>
    <x v="22"/>
    <x v="0"/>
    <n v="0"/>
    <x v="0"/>
    <x v="13"/>
    <x v="0"/>
    <x v="1"/>
    <x v="0"/>
    <x v="14"/>
    <x v="15"/>
    <n v="0.33"/>
    <n v="0.3881"/>
    <x v="6"/>
    <x v="102"/>
    <x v="90"/>
  </r>
  <r>
    <n v="516"/>
    <x v="22"/>
    <x v="0"/>
    <n v="0"/>
    <x v="0"/>
    <x v="14"/>
    <x v="0"/>
    <x v="1"/>
    <x v="0"/>
    <x v="13"/>
    <x v="14"/>
    <n v="0.28000000000000003"/>
    <n v="0.35820000000000002"/>
    <x v="26"/>
    <x v="139"/>
    <x v="14"/>
  </r>
  <r>
    <n v="517"/>
    <x v="22"/>
    <x v="0"/>
    <n v="0"/>
    <x v="0"/>
    <x v="15"/>
    <x v="0"/>
    <x v="1"/>
    <x v="0"/>
    <x v="13"/>
    <x v="14"/>
    <n v="0.28000000000000003"/>
    <n v="0.35820000000000002"/>
    <x v="23"/>
    <x v="27"/>
    <x v="43"/>
  </r>
  <r>
    <n v="518"/>
    <x v="22"/>
    <x v="0"/>
    <n v="0"/>
    <x v="0"/>
    <x v="16"/>
    <x v="0"/>
    <x v="1"/>
    <x v="0"/>
    <x v="13"/>
    <x v="14"/>
    <n v="0.26"/>
    <n v="0.32840000000000003"/>
    <x v="14"/>
    <x v="90"/>
    <x v="32"/>
  </r>
  <r>
    <n v="519"/>
    <x v="22"/>
    <x v="0"/>
    <n v="0"/>
    <x v="0"/>
    <x v="17"/>
    <x v="0"/>
    <x v="1"/>
    <x v="0"/>
    <x v="14"/>
    <x v="15"/>
    <n v="0.26"/>
    <n v="0.3881"/>
    <x v="2"/>
    <x v="54"/>
    <x v="97"/>
  </r>
  <r>
    <n v="520"/>
    <x v="22"/>
    <x v="0"/>
    <n v="0"/>
    <x v="0"/>
    <x v="18"/>
    <x v="0"/>
    <x v="1"/>
    <x v="0"/>
    <x v="16"/>
    <x v="16"/>
    <n v="0.3"/>
    <n v="0.25369999999999998"/>
    <x v="2"/>
    <x v="100"/>
    <x v="99"/>
  </r>
  <r>
    <n v="521"/>
    <x v="22"/>
    <x v="0"/>
    <n v="0"/>
    <x v="0"/>
    <x v="19"/>
    <x v="0"/>
    <x v="1"/>
    <x v="0"/>
    <x v="16"/>
    <x v="16"/>
    <n v="0.3"/>
    <n v="0.28360000000000002"/>
    <x v="2"/>
    <x v="108"/>
    <x v="89"/>
  </r>
  <r>
    <n v="522"/>
    <x v="22"/>
    <x v="0"/>
    <n v="0"/>
    <x v="0"/>
    <x v="20"/>
    <x v="0"/>
    <x v="1"/>
    <x v="0"/>
    <x v="18"/>
    <x v="15"/>
    <n v="0.36"/>
    <n v="0.25369999999999998"/>
    <x v="17"/>
    <x v="17"/>
    <x v="17"/>
  </r>
  <r>
    <n v="523"/>
    <x v="22"/>
    <x v="0"/>
    <n v="0"/>
    <x v="0"/>
    <x v="21"/>
    <x v="0"/>
    <x v="1"/>
    <x v="0"/>
    <x v="18"/>
    <x v="15"/>
    <n v="0.36"/>
    <n v="0.19400000000000001"/>
    <x v="2"/>
    <x v="32"/>
    <x v="94"/>
  </r>
  <r>
    <n v="524"/>
    <x v="22"/>
    <x v="0"/>
    <n v="0"/>
    <x v="0"/>
    <x v="22"/>
    <x v="0"/>
    <x v="1"/>
    <x v="0"/>
    <x v="19"/>
    <x v="24"/>
    <n v="0.38"/>
    <n v="0.19400000000000001"/>
    <x v="2"/>
    <x v="140"/>
    <x v="20"/>
  </r>
  <r>
    <n v="525"/>
    <x v="22"/>
    <x v="0"/>
    <n v="0"/>
    <x v="0"/>
    <x v="23"/>
    <x v="0"/>
    <x v="1"/>
    <x v="0"/>
    <x v="20"/>
    <x v="22"/>
    <n v="0.41"/>
    <n v="0.22389999999999999"/>
    <x v="17"/>
    <x v="19"/>
    <x v="137"/>
  </r>
  <r>
    <n v="526"/>
    <x v="23"/>
    <x v="0"/>
    <n v="0"/>
    <x v="0"/>
    <x v="0"/>
    <x v="0"/>
    <x v="2"/>
    <x v="0"/>
    <x v="20"/>
    <x v="22"/>
    <n v="0.41"/>
    <n v="0.19400000000000001"/>
    <x v="3"/>
    <x v="7"/>
    <x v="85"/>
  </r>
  <r>
    <n v="527"/>
    <x v="23"/>
    <x v="0"/>
    <n v="0"/>
    <x v="0"/>
    <x v="1"/>
    <x v="0"/>
    <x v="2"/>
    <x v="0"/>
    <x v="21"/>
    <x v="27"/>
    <n v="0.45"/>
    <n v="0.19400000000000001"/>
    <x v="3"/>
    <x v="4"/>
    <x v="4"/>
  </r>
  <r>
    <n v="528"/>
    <x v="23"/>
    <x v="0"/>
    <n v="0"/>
    <x v="0"/>
    <x v="3"/>
    <x v="0"/>
    <x v="2"/>
    <x v="0"/>
    <x v="21"/>
    <x v="26"/>
    <n v="0.45"/>
    <n v="0.25369999999999998"/>
    <x v="3"/>
    <x v="4"/>
    <x v="4"/>
  </r>
  <r>
    <n v="529"/>
    <x v="23"/>
    <x v="0"/>
    <n v="0"/>
    <x v="0"/>
    <x v="4"/>
    <x v="0"/>
    <x v="2"/>
    <x v="0"/>
    <x v="22"/>
    <x v="22"/>
    <n v="0.48"/>
    <n v="0.1343"/>
    <x v="3"/>
    <x v="4"/>
    <x v="4"/>
  </r>
  <r>
    <n v="530"/>
    <x v="23"/>
    <x v="0"/>
    <n v="0"/>
    <x v="0"/>
    <x v="5"/>
    <x v="0"/>
    <x v="2"/>
    <x v="0"/>
    <x v="22"/>
    <x v="22"/>
    <n v="0.48"/>
    <n v="0.1343"/>
    <x v="3"/>
    <x v="34"/>
    <x v="36"/>
  </r>
  <r>
    <n v="531"/>
    <x v="23"/>
    <x v="0"/>
    <n v="0"/>
    <x v="0"/>
    <x v="6"/>
    <x v="0"/>
    <x v="2"/>
    <x v="0"/>
    <x v="22"/>
    <x v="23"/>
    <n v="0.48"/>
    <n v="8.9599999999999999E-2"/>
    <x v="3"/>
    <x v="89"/>
    <x v="93"/>
  </r>
  <r>
    <n v="532"/>
    <x v="23"/>
    <x v="0"/>
    <n v="0"/>
    <x v="0"/>
    <x v="7"/>
    <x v="0"/>
    <x v="2"/>
    <x v="0"/>
    <x v="22"/>
    <x v="16"/>
    <n v="0.48"/>
    <n v="0"/>
    <x v="2"/>
    <x v="55"/>
    <x v="11"/>
  </r>
  <r>
    <n v="533"/>
    <x v="23"/>
    <x v="0"/>
    <n v="0"/>
    <x v="0"/>
    <x v="8"/>
    <x v="0"/>
    <x v="2"/>
    <x v="0"/>
    <x v="21"/>
    <x v="14"/>
    <n v="0.49"/>
    <n v="0"/>
    <x v="15"/>
    <x v="141"/>
    <x v="156"/>
  </r>
  <r>
    <n v="534"/>
    <x v="23"/>
    <x v="0"/>
    <n v="0"/>
    <x v="0"/>
    <x v="9"/>
    <x v="0"/>
    <x v="2"/>
    <x v="0"/>
    <x v="20"/>
    <x v="20"/>
    <n v="0.41"/>
    <n v="0"/>
    <x v="17"/>
    <x v="52"/>
    <x v="96"/>
  </r>
  <r>
    <n v="535"/>
    <x v="23"/>
    <x v="0"/>
    <n v="0"/>
    <x v="0"/>
    <x v="10"/>
    <x v="0"/>
    <x v="2"/>
    <x v="0"/>
    <x v="18"/>
    <x v="14"/>
    <n v="0.42"/>
    <n v="0"/>
    <x v="15"/>
    <x v="60"/>
    <x v="1"/>
  </r>
  <r>
    <n v="536"/>
    <x v="23"/>
    <x v="0"/>
    <n v="0"/>
    <x v="0"/>
    <x v="11"/>
    <x v="0"/>
    <x v="2"/>
    <x v="0"/>
    <x v="18"/>
    <x v="16"/>
    <n v="0.46"/>
    <n v="0.1343"/>
    <x v="0"/>
    <x v="30"/>
    <x v="66"/>
  </r>
  <r>
    <n v="537"/>
    <x v="23"/>
    <x v="0"/>
    <n v="0"/>
    <x v="0"/>
    <x v="12"/>
    <x v="0"/>
    <x v="2"/>
    <x v="1"/>
    <x v="16"/>
    <x v="14"/>
    <n v="0.42"/>
    <n v="0.19400000000000001"/>
    <x v="16"/>
    <x v="15"/>
    <x v="55"/>
  </r>
  <r>
    <n v="538"/>
    <x v="23"/>
    <x v="0"/>
    <n v="0"/>
    <x v="0"/>
    <x v="13"/>
    <x v="0"/>
    <x v="2"/>
    <x v="1"/>
    <x v="14"/>
    <x v="14"/>
    <n v="0.43"/>
    <n v="0.22389999999999999"/>
    <x v="15"/>
    <x v="25"/>
    <x v="122"/>
  </r>
  <r>
    <n v="539"/>
    <x v="23"/>
    <x v="0"/>
    <n v="0"/>
    <x v="0"/>
    <x v="14"/>
    <x v="0"/>
    <x v="2"/>
    <x v="1"/>
    <x v="14"/>
    <x v="14"/>
    <n v="0.46"/>
    <n v="0.22389999999999999"/>
    <x v="4"/>
    <x v="30"/>
    <x v="79"/>
  </r>
  <r>
    <n v="540"/>
    <x v="23"/>
    <x v="0"/>
    <n v="0"/>
    <x v="0"/>
    <x v="15"/>
    <x v="0"/>
    <x v="2"/>
    <x v="0"/>
    <x v="13"/>
    <x v="17"/>
    <n v="0.4"/>
    <n v="0.16420000000000001"/>
    <x v="18"/>
    <x v="54"/>
    <x v="52"/>
  </r>
  <r>
    <n v="541"/>
    <x v="23"/>
    <x v="0"/>
    <n v="0"/>
    <x v="0"/>
    <x v="16"/>
    <x v="0"/>
    <x v="2"/>
    <x v="0"/>
    <x v="13"/>
    <x v="20"/>
    <n v="0.47"/>
    <n v="0.25369999999999998"/>
    <x v="17"/>
    <x v="43"/>
    <x v="27"/>
  </r>
  <r>
    <n v="542"/>
    <x v="23"/>
    <x v="0"/>
    <n v="0"/>
    <x v="0"/>
    <x v="17"/>
    <x v="0"/>
    <x v="2"/>
    <x v="0"/>
    <x v="14"/>
    <x v="16"/>
    <n v="0.5"/>
    <n v="0.25369999999999998"/>
    <x v="15"/>
    <x v="86"/>
    <x v="157"/>
  </r>
  <r>
    <n v="543"/>
    <x v="23"/>
    <x v="0"/>
    <n v="0"/>
    <x v="0"/>
    <x v="18"/>
    <x v="0"/>
    <x v="2"/>
    <x v="0"/>
    <x v="14"/>
    <x v="14"/>
    <n v="0.59"/>
    <n v="0.19400000000000001"/>
    <x v="1"/>
    <x v="142"/>
    <x v="158"/>
  </r>
  <r>
    <n v="544"/>
    <x v="23"/>
    <x v="0"/>
    <n v="0"/>
    <x v="0"/>
    <x v="19"/>
    <x v="0"/>
    <x v="2"/>
    <x v="0"/>
    <x v="14"/>
    <x v="20"/>
    <n v="0.54"/>
    <n v="0.16420000000000001"/>
    <x v="2"/>
    <x v="143"/>
    <x v="13"/>
  </r>
  <r>
    <n v="545"/>
    <x v="23"/>
    <x v="0"/>
    <n v="0"/>
    <x v="0"/>
    <x v="20"/>
    <x v="0"/>
    <x v="2"/>
    <x v="0"/>
    <x v="14"/>
    <x v="14"/>
    <n v="0.59"/>
    <n v="0.19400000000000001"/>
    <x v="5"/>
    <x v="122"/>
    <x v="117"/>
  </r>
  <r>
    <n v="546"/>
    <x v="23"/>
    <x v="0"/>
    <n v="0"/>
    <x v="0"/>
    <x v="21"/>
    <x v="0"/>
    <x v="2"/>
    <x v="0"/>
    <x v="14"/>
    <x v="20"/>
    <n v="0.63"/>
    <n v="0.16420000000000001"/>
    <x v="15"/>
    <x v="42"/>
    <x v="29"/>
  </r>
  <r>
    <n v="547"/>
    <x v="23"/>
    <x v="0"/>
    <n v="0"/>
    <x v="0"/>
    <x v="22"/>
    <x v="0"/>
    <x v="2"/>
    <x v="1"/>
    <x v="14"/>
    <x v="14"/>
    <n v="0.63"/>
    <n v="0.22389999999999999"/>
    <x v="0"/>
    <x v="1"/>
    <x v="17"/>
  </r>
  <r>
    <n v="548"/>
    <x v="23"/>
    <x v="0"/>
    <n v="0"/>
    <x v="0"/>
    <x v="23"/>
    <x v="0"/>
    <x v="2"/>
    <x v="1"/>
    <x v="13"/>
    <x v="20"/>
    <n v="0.64"/>
    <n v="0.25369999999999998"/>
    <x v="0"/>
    <x v="144"/>
    <x v="108"/>
  </r>
  <r>
    <n v="549"/>
    <x v="24"/>
    <x v="0"/>
    <n v="0"/>
    <x v="0"/>
    <x v="0"/>
    <x v="0"/>
    <x v="3"/>
    <x v="1"/>
    <x v="13"/>
    <x v="14"/>
    <n v="0.69"/>
    <n v="0.28360000000000002"/>
    <x v="0"/>
    <x v="8"/>
    <x v="23"/>
  </r>
  <r>
    <n v="550"/>
    <x v="24"/>
    <x v="0"/>
    <n v="0"/>
    <x v="0"/>
    <x v="1"/>
    <x v="0"/>
    <x v="3"/>
    <x v="1"/>
    <x v="13"/>
    <x v="17"/>
    <n v="0.69"/>
    <n v="0.16420000000000001"/>
    <x v="3"/>
    <x v="34"/>
    <x v="36"/>
  </r>
  <r>
    <n v="551"/>
    <x v="24"/>
    <x v="0"/>
    <n v="0"/>
    <x v="0"/>
    <x v="2"/>
    <x v="0"/>
    <x v="3"/>
    <x v="0"/>
    <x v="13"/>
    <x v="20"/>
    <n v="0.69"/>
    <n v="0.22389999999999999"/>
    <x v="3"/>
    <x v="6"/>
    <x v="5"/>
  </r>
  <r>
    <n v="552"/>
    <x v="24"/>
    <x v="0"/>
    <n v="0"/>
    <x v="0"/>
    <x v="4"/>
    <x v="0"/>
    <x v="3"/>
    <x v="0"/>
    <x v="14"/>
    <x v="17"/>
    <n v="0.74"/>
    <n v="0.1045"/>
    <x v="3"/>
    <x v="4"/>
    <x v="4"/>
  </r>
  <r>
    <n v="553"/>
    <x v="24"/>
    <x v="0"/>
    <n v="0"/>
    <x v="0"/>
    <x v="5"/>
    <x v="0"/>
    <x v="3"/>
    <x v="0"/>
    <x v="14"/>
    <x v="14"/>
    <n v="0.74"/>
    <n v="0.22389999999999999"/>
    <x v="3"/>
    <x v="33"/>
    <x v="23"/>
  </r>
  <r>
    <n v="554"/>
    <x v="24"/>
    <x v="0"/>
    <n v="0"/>
    <x v="0"/>
    <x v="6"/>
    <x v="0"/>
    <x v="3"/>
    <x v="0"/>
    <x v="13"/>
    <x v="18"/>
    <n v="0.74"/>
    <n v="0.1045"/>
    <x v="5"/>
    <x v="96"/>
    <x v="9"/>
  </r>
  <r>
    <n v="555"/>
    <x v="24"/>
    <x v="0"/>
    <n v="0"/>
    <x v="0"/>
    <x v="7"/>
    <x v="0"/>
    <x v="3"/>
    <x v="0"/>
    <x v="13"/>
    <x v="20"/>
    <n v="0.74"/>
    <n v="0.22389999999999999"/>
    <x v="2"/>
    <x v="145"/>
    <x v="159"/>
  </r>
  <r>
    <n v="556"/>
    <x v="24"/>
    <x v="0"/>
    <n v="0"/>
    <x v="0"/>
    <x v="8"/>
    <x v="0"/>
    <x v="3"/>
    <x v="1"/>
    <x v="13"/>
    <x v="18"/>
    <n v="0.74"/>
    <n v="0.1343"/>
    <x v="2"/>
    <x v="146"/>
    <x v="160"/>
  </r>
  <r>
    <n v="557"/>
    <x v="24"/>
    <x v="0"/>
    <n v="0"/>
    <x v="0"/>
    <x v="9"/>
    <x v="0"/>
    <x v="3"/>
    <x v="1"/>
    <x v="2"/>
    <x v="11"/>
    <n v="0.64"/>
    <n v="8.9599999999999999E-2"/>
    <x v="22"/>
    <x v="120"/>
    <x v="124"/>
  </r>
  <r>
    <n v="558"/>
    <x v="24"/>
    <x v="0"/>
    <n v="0"/>
    <x v="0"/>
    <x v="10"/>
    <x v="0"/>
    <x v="3"/>
    <x v="1"/>
    <x v="1"/>
    <x v="19"/>
    <n v="0.6"/>
    <n v="0.1045"/>
    <x v="15"/>
    <x v="47"/>
    <x v="97"/>
  </r>
  <r>
    <n v="559"/>
    <x v="24"/>
    <x v="0"/>
    <n v="0"/>
    <x v="0"/>
    <x v="11"/>
    <x v="0"/>
    <x v="3"/>
    <x v="1"/>
    <x v="0"/>
    <x v="19"/>
    <n v="0.6"/>
    <n v="0.1343"/>
    <x v="15"/>
    <x v="11"/>
    <x v="42"/>
  </r>
  <r>
    <n v="560"/>
    <x v="24"/>
    <x v="0"/>
    <n v="0"/>
    <x v="0"/>
    <x v="12"/>
    <x v="0"/>
    <x v="3"/>
    <x v="1"/>
    <x v="12"/>
    <x v="0"/>
    <n v="0.56000000000000005"/>
    <n v="8.9599999999999999E-2"/>
    <x v="27"/>
    <x v="66"/>
    <x v="13"/>
  </r>
  <r>
    <n v="561"/>
    <x v="24"/>
    <x v="0"/>
    <n v="0"/>
    <x v="0"/>
    <x v="13"/>
    <x v="0"/>
    <x v="3"/>
    <x v="1"/>
    <x v="12"/>
    <x v="1"/>
    <n v="0.56000000000000005"/>
    <n v="0.1343"/>
    <x v="27"/>
    <x v="109"/>
    <x v="15"/>
  </r>
  <r>
    <n v="562"/>
    <x v="24"/>
    <x v="0"/>
    <n v="0"/>
    <x v="0"/>
    <x v="14"/>
    <x v="0"/>
    <x v="3"/>
    <x v="1"/>
    <x v="11"/>
    <x v="6"/>
    <n v="0.45"/>
    <n v="0"/>
    <x v="16"/>
    <x v="77"/>
    <x v="118"/>
  </r>
  <r>
    <n v="563"/>
    <x v="24"/>
    <x v="0"/>
    <n v="0"/>
    <x v="0"/>
    <x v="15"/>
    <x v="0"/>
    <x v="3"/>
    <x v="1"/>
    <x v="3"/>
    <x v="4"/>
    <n v="0.42"/>
    <n v="0"/>
    <x v="27"/>
    <x v="36"/>
    <x v="11"/>
  </r>
  <r>
    <n v="564"/>
    <x v="24"/>
    <x v="0"/>
    <n v="0"/>
    <x v="0"/>
    <x v="16"/>
    <x v="0"/>
    <x v="3"/>
    <x v="1"/>
    <x v="3"/>
    <x v="4"/>
    <n v="0.42"/>
    <n v="0"/>
    <x v="24"/>
    <x v="46"/>
    <x v="155"/>
  </r>
  <r>
    <n v="565"/>
    <x v="24"/>
    <x v="0"/>
    <n v="0"/>
    <x v="0"/>
    <x v="17"/>
    <x v="0"/>
    <x v="3"/>
    <x v="0"/>
    <x v="11"/>
    <x v="6"/>
    <n v="0.45"/>
    <n v="0"/>
    <x v="24"/>
    <x v="147"/>
    <x v="161"/>
  </r>
  <r>
    <n v="566"/>
    <x v="24"/>
    <x v="0"/>
    <n v="0"/>
    <x v="0"/>
    <x v="18"/>
    <x v="0"/>
    <x v="3"/>
    <x v="1"/>
    <x v="11"/>
    <x v="21"/>
    <n v="0.49"/>
    <n v="8.9599999999999999E-2"/>
    <x v="18"/>
    <x v="148"/>
    <x v="162"/>
  </r>
  <r>
    <n v="567"/>
    <x v="24"/>
    <x v="0"/>
    <n v="0"/>
    <x v="0"/>
    <x v="19"/>
    <x v="0"/>
    <x v="3"/>
    <x v="1"/>
    <x v="12"/>
    <x v="2"/>
    <n v="0.65"/>
    <n v="0.16420000000000001"/>
    <x v="23"/>
    <x v="149"/>
    <x v="163"/>
  </r>
  <r>
    <n v="568"/>
    <x v="24"/>
    <x v="0"/>
    <n v="0"/>
    <x v="0"/>
    <x v="20"/>
    <x v="0"/>
    <x v="3"/>
    <x v="0"/>
    <x v="0"/>
    <x v="11"/>
    <n v="0.65"/>
    <n v="0.19400000000000001"/>
    <x v="19"/>
    <x v="145"/>
    <x v="164"/>
  </r>
  <r>
    <n v="569"/>
    <x v="24"/>
    <x v="0"/>
    <n v="0"/>
    <x v="0"/>
    <x v="21"/>
    <x v="0"/>
    <x v="3"/>
    <x v="0"/>
    <x v="0"/>
    <x v="11"/>
    <n v="0.65"/>
    <n v="0.19400000000000001"/>
    <x v="2"/>
    <x v="71"/>
    <x v="79"/>
  </r>
  <r>
    <n v="570"/>
    <x v="24"/>
    <x v="0"/>
    <n v="0"/>
    <x v="0"/>
    <x v="22"/>
    <x v="0"/>
    <x v="3"/>
    <x v="0"/>
    <x v="1"/>
    <x v="11"/>
    <n v="0.64"/>
    <n v="0.16420000000000001"/>
    <x v="17"/>
    <x v="47"/>
    <x v="26"/>
  </r>
  <r>
    <n v="571"/>
    <x v="24"/>
    <x v="0"/>
    <n v="0"/>
    <x v="0"/>
    <x v="23"/>
    <x v="0"/>
    <x v="3"/>
    <x v="1"/>
    <x v="1"/>
    <x v="11"/>
    <n v="0.64"/>
    <n v="0.16420000000000001"/>
    <x v="0"/>
    <x v="53"/>
    <x v="1"/>
  </r>
  <r>
    <n v="572"/>
    <x v="25"/>
    <x v="0"/>
    <n v="0"/>
    <x v="0"/>
    <x v="0"/>
    <x v="0"/>
    <x v="4"/>
    <x v="1"/>
    <x v="1"/>
    <x v="11"/>
    <n v="0.69"/>
    <n v="0.1343"/>
    <x v="0"/>
    <x v="88"/>
    <x v="22"/>
  </r>
  <r>
    <n v="573"/>
    <x v="25"/>
    <x v="0"/>
    <n v="0"/>
    <x v="0"/>
    <x v="1"/>
    <x v="0"/>
    <x v="4"/>
    <x v="1"/>
    <x v="0"/>
    <x v="19"/>
    <n v="0.65"/>
    <n v="0.1343"/>
    <x v="3"/>
    <x v="34"/>
    <x v="36"/>
  </r>
  <r>
    <n v="574"/>
    <x v="25"/>
    <x v="0"/>
    <n v="0"/>
    <x v="0"/>
    <x v="2"/>
    <x v="0"/>
    <x v="4"/>
    <x v="2"/>
    <x v="1"/>
    <x v="11"/>
    <n v="0.69"/>
    <n v="0.19400000000000001"/>
    <x v="0"/>
    <x v="7"/>
    <x v="98"/>
  </r>
  <r>
    <n v="575"/>
    <x v="25"/>
    <x v="0"/>
    <n v="0"/>
    <x v="0"/>
    <x v="5"/>
    <x v="0"/>
    <x v="4"/>
    <x v="2"/>
    <x v="2"/>
    <x v="18"/>
    <n v="0.86"/>
    <n v="0.28360000000000002"/>
    <x v="3"/>
    <x v="4"/>
    <x v="4"/>
  </r>
  <r>
    <n v="576"/>
    <x v="25"/>
    <x v="0"/>
    <n v="0"/>
    <x v="0"/>
    <x v="6"/>
    <x v="0"/>
    <x v="4"/>
    <x v="2"/>
    <x v="2"/>
    <x v="18"/>
    <n v="0.86"/>
    <n v="0.28360000000000002"/>
    <x v="3"/>
    <x v="21"/>
    <x v="7"/>
  </r>
  <r>
    <n v="577"/>
    <x v="25"/>
    <x v="0"/>
    <n v="0"/>
    <x v="0"/>
    <x v="7"/>
    <x v="0"/>
    <x v="4"/>
    <x v="2"/>
    <x v="1"/>
    <x v="12"/>
    <n v="0.87"/>
    <n v="0.29849999999999999"/>
    <x v="5"/>
    <x v="31"/>
    <x v="33"/>
  </r>
  <r>
    <n v="578"/>
    <x v="25"/>
    <x v="0"/>
    <n v="0"/>
    <x v="0"/>
    <x v="8"/>
    <x v="0"/>
    <x v="4"/>
    <x v="2"/>
    <x v="1"/>
    <x v="12"/>
    <n v="0.87"/>
    <n v="0.29849999999999999"/>
    <x v="0"/>
    <x v="94"/>
    <x v="44"/>
  </r>
  <r>
    <n v="579"/>
    <x v="25"/>
    <x v="0"/>
    <n v="0"/>
    <x v="0"/>
    <x v="9"/>
    <x v="0"/>
    <x v="4"/>
    <x v="2"/>
    <x v="1"/>
    <x v="12"/>
    <n v="0.87"/>
    <n v="0.29849999999999999"/>
    <x v="0"/>
    <x v="11"/>
    <x v="154"/>
  </r>
  <r>
    <n v="580"/>
    <x v="25"/>
    <x v="0"/>
    <n v="0"/>
    <x v="0"/>
    <x v="10"/>
    <x v="0"/>
    <x v="4"/>
    <x v="2"/>
    <x v="1"/>
    <x v="12"/>
    <n v="0.93"/>
    <n v="0.28360000000000002"/>
    <x v="4"/>
    <x v="16"/>
    <x v="20"/>
  </r>
  <r>
    <n v="581"/>
    <x v="25"/>
    <x v="0"/>
    <n v="0"/>
    <x v="0"/>
    <x v="11"/>
    <x v="0"/>
    <x v="4"/>
    <x v="2"/>
    <x v="1"/>
    <x v="13"/>
    <n v="0.93"/>
    <n v="0.32840000000000003"/>
    <x v="15"/>
    <x v="96"/>
    <x v="102"/>
  </r>
  <r>
    <n v="582"/>
    <x v="25"/>
    <x v="0"/>
    <n v="0"/>
    <x v="0"/>
    <x v="12"/>
    <x v="0"/>
    <x v="4"/>
    <x v="2"/>
    <x v="1"/>
    <x v="13"/>
    <n v="0.93"/>
    <n v="0.32840000000000003"/>
    <x v="18"/>
    <x v="40"/>
    <x v="61"/>
  </r>
  <r>
    <n v="583"/>
    <x v="25"/>
    <x v="0"/>
    <n v="0"/>
    <x v="0"/>
    <x v="13"/>
    <x v="0"/>
    <x v="4"/>
    <x v="2"/>
    <x v="1"/>
    <x v="13"/>
    <n v="0.93"/>
    <n v="0.32840000000000003"/>
    <x v="17"/>
    <x v="30"/>
    <x v="105"/>
  </r>
  <r>
    <n v="584"/>
    <x v="25"/>
    <x v="0"/>
    <n v="0"/>
    <x v="0"/>
    <x v="14"/>
    <x v="0"/>
    <x v="4"/>
    <x v="2"/>
    <x v="1"/>
    <x v="13"/>
    <n v="0.93"/>
    <n v="0.35820000000000002"/>
    <x v="3"/>
    <x v="49"/>
    <x v="9"/>
  </r>
  <r>
    <n v="585"/>
    <x v="25"/>
    <x v="0"/>
    <n v="0"/>
    <x v="0"/>
    <x v="15"/>
    <x v="0"/>
    <x v="4"/>
    <x v="2"/>
    <x v="1"/>
    <x v="18"/>
    <n v="0.93"/>
    <n v="0.4627"/>
    <x v="5"/>
    <x v="76"/>
    <x v="74"/>
  </r>
  <r>
    <n v="586"/>
    <x v="25"/>
    <x v="0"/>
    <n v="0"/>
    <x v="0"/>
    <x v="16"/>
    <x v="0"/>
    <x v="4"/>
    <x v="3"/>
    <x v="1"/>
    <x v="13"/>
    <n v="0.93"/>
    <n v="0.32840000000000003"/>
    <x v="5"/>
    <x v="96"/>
    <x v="9"/>
  </r>
  <r>
    <n v="587"/>
    <x v="25"/>
    <x v="0"/>
    <n v="0"/>
    <x v="0"/>
    <x v="17"/>
    <x v="0"/>
    <x v="4"/>
    <x v="2"/>
    <x v="2"/>
    <x v="18"/>
    <n v="0.93"/>
    <n v="0.35820000000000002"/>
    <x v="3"/>
    <x v="16"/>
    <x v="132"/>
  </r>
  <r>
    <n v="588"/>
    <x v="26"/>
    <x v="0"/>
    <n v="0"/>
    <x v="0"/>
    <x v="16"/>
    <x v="0"/>
    <x v="5"/>
    <x v="0"/>
    <x v="1"/>
    <x v="11"/>
    <n v="0.55000000000000004"/>
    <n v="0.19400000000000001"/>
    <x v="5"/>
    <x v="140"/>
    <x v="108"/>
  </r>
  <r>
    <n v="589"/>
    <x v="26"/>
    <x v="0"/>
    <n v="0"/>
    <x v="0"/>
    <x v="17"/>
    <x v="0"/>
    <x v="5"/>
    <x v="0"/>
    <x v="1"/>
    <x v="19"/>
    <n v="0.55000000000000004"/>
    <n v="0.1045"/>
    <x v="4"/>
    <x v="70"/>
    <x v="11"/>
  </r>
  <r>
    <n v="590"/>
    <x v="26"/>
    <x v="0"/>
    <n v="0"/>
    <x v="0"/>
    <x v="18"/>
    <x v="0"/>
    <x v="5"/>
    <x v="0"/>
    <x v="2"/>
    <x v="11"/>
    <n v="0.69"/>
    <n v="8.9599999999999999E-2"/>
    <x v="0"/>
    <x v="143"/>
    <x v="133"/>
  </r>
  <r>
    <n v="591"/>
    <x v="26"/>
    <x v="0"/>
    <n v="0"/>
    <x v="0"/>
    <x v="19"/>
    <x v="0"/>
    <x v="5"/>
    <x v="0"/>
    <x v="2"/>
    <x v="11"/>
    <n v="0.69"/>
    <n v="8.9599999999999999E-2"/>
    <x v="0"/>
    <x v="83"/>
    <x v="67"/>
  </r>
  <r>
    <n v="592"/>
    <x v="26"/>
    <x v="0"/>
    <n v="0"/>
    <x v="0"/>
    <x v="20"/>
    <x v="0"/>
    <x v="5"/>
    <x v="0"/>
    <x v="15"/>
    <x v="12"/>
    <n v="0.74"/>
    <n v="8.9599999999999999E-2"/>
    <x v="17"/>
    <x v="11"/>
    <x v="29"/>
  </r>
  <r>
    <n v="593"/>
    <x v="26"/>
    <x v="0"/>
    <n v="0"/>
    <x v="0"/>
    <x v="21"/>
    <x v="0"/>
    <x v="5"/>
    <x v="0"/>
    <x v="15"/>
    <x v="12"/>
    <n v="0.74"/>
    <n v="8.9599999999999999E-2"/>
    <x v="4"/>
    <x v="49"/>
    <x v="103"/>
  </r>
  <r>
    <n v="594"/>
    <x v="26"/>
    <x v="0"/>
    <n v="0"/>
    <x v="0"/>
    <x v="22"/>
    <x v="0"/>
    <x v="5"/>
    <x v="0"/>
    <x v="15"/>
    <x v="12"/>
    <n v="0.74"/>
    <n v="8.9599999999999999E-2"/>
    <x v="3"/>
    <x v="2"/>
    <x v="110"/>
  </r>
  <r>
    <n v="595"/>
    <x v="26"/>
    <x v="0"/>
    <n v="0"/>
    <x v="0"/>
    <x v="23"/>
    <x v="0"/>
    <x v="5"/>
    <x v="0"/>
    <x v="15"/>
    <x v="13"/>
    <n v="0.8"/>
    <n v="0.16420000000000001"/>
    <x v="3"/>
    <x v="20"/>
    <x v="0"/>
  </r>
  <r>
    <n v="596"/>
    <x v="27"/>
    <x v="0"/>
    <n v="0"/>
    <x v="0"/>
    <x v="0"/>
    <x v="0"/>
    <x v="6"/>
    <x v="1"/>
    <x v="2"/>
    <x v="12"/>
    <n v="0.75"/>
    <n v="0.1343"/>
    <x v="3"/>
    <x v="33"/>
    <x v="23"/>
  </r>
  <r>
    <n v="597"/>
    <x v="27"/>
    <x v="0"/>
    <n v="0"/>
    <x v="0"/>
    <x v="1"/>
    <x v="0"/>
    <x v="6"/>
    <x v="1"/>
    <x v="2"/>
    <x v="12"/>
    <n v="0.75"/>
    <n v="0.1343"/>
    <x v="5"/>
    <x v="6"/>
    <x v="6"/>
  </r>
  <r>
    <n v="598"/>
    <x v="27"/>
    <x v="0"/>
    <n v="0"/>
    <x v="0"/>
    <x v="2"/>
    <x v="0"/>
    <x v="6"/>
    <x v="1"/>
    <x v="2"/>
    <x v="12"/>
    <n v="0.75"/>
    <n v="0.16420000000000001"/>
    <x v="3"/>
    <x v="6"/>
    <x v="5"/>
  </r>
  <r>
    <n v="599"/>
    <x v="27"/>
    <x v="0"/>
    <n v="0"/>
    <x v="0"/>
    <x v="3"/>
    <x v="0"/>
    <x v="6"/>
    <x v="1"/>
    <x v="2"/>
    <x v="11"/>
    <n v="0.75"/>
    <n v="0.1045"/>
    <x v="5"/>
    <x v="5"/>
    <x v="4"/>
  </r>
  <r>
    <n v="600"/>
    <x v="27"/>
    <x v="0"/>
    <n v="0"/>
    <x v="0"/>
    <x v="5"/>
    <x v="0"/>
    <x v="6"/>
    <x v="1"/>
    <x v="15"/>
    <x v="12"/>
    <n v="0.8"/>
    <n v="0.1045"/>
    <x v="3"/>
    <x v="22"/>
    <x v="48"/>
  </r>
  <r>
    <n v="601"/>
    <x v="27"/>
    <x v="0"/>
    <n v="0"/>
    <x v="0"/>
    <x v="6"/>
    <x v="0"/>
    <x v="6"/>
    <x v="1"/>
    <x v="15"/>
    <x v="13"/>
    <n v="0.8"/>
    <n v="0.1343"/>
    <x v="3"/>
    <x v="20"/>
    <x v="0"/>
  </r>
  <r>
    <n v="602"/>
    <x v="27"/>
    <x v="0"/>
    <n v="0"/>
    <x v="0"/>
    <x v="7"/>
    <x v="0"/>
    <x v="6"/>
    <x v="1"/>
    <x v="13"/>
    <x v="13"/>
    <n v="0.86"/>
    <n v="8.9599999999999999E-2"/>
    <x v="4"/>
    <x v="29"/>
    <x v="122"/>
  </r>
  <r>
    <n v="603"/>
    <x v="27"/>
    <x v="0"/>
    <n v="0"/>
    <x v="0"/>
    <x v="8"/>
    <x v="0"/>
    <x v="6"/>
    <x v="1"/>
    <x v="13"/>
    <x v="13"/>
    <n v="0.86"/>
    <n v="8.9599999999999999E-2"/>
    <x v="4"/>
    <x v="119"/>
    <x v="45"/>
  </r>
  <r>
    <n v="604"/>
    <x v="27"/>
    <x v="0"/>
    <n v="0"/>
    <x v="0"/>
    <x v="9"/>
    <x v="0"/>
    <x v="6"/>
    <x v="2"/>
    <x v="15"/>
    <x v="12"/>
    <n v="0.86"/>
    <n v="8.9599999999999999E-2"/>
    <x v="15"/>
    <x v="73"/>
    <x v="129"/>
  </r>
  <r>
    <n v="605"/>
    <x v="27"/>
    <x v="0"/>
    <n v="0"/>
    <x v="0"/>
    <x v="10"/>
    <x v="0"/>
    <x v="6"/>
    <x v="2"/>
    <x v="15"/>
    <x v="12"/>
    <n v="0.86"/>
    <n v="0.1045"/>
    <x v="3"/>
    <x v="47"/>
    <x v="99"/>
  </r>
  <r>
    <n v="606"/>
    <x v="27"/>
    <x v="0"/>
    <n v="0"/>
    <x v="0"/>
    <x v="11"/>
    <x v="0"/>
    <x v="6"/>
    <x v="2"/>
    <x v="15"/>
    <x v="12"/>
    <n v="0.93"/>
    <n v="0.1045"/>
    <x v="3"/>
    <x v="10"/>
    <x v="33"/>
  </r>
  <r>
    <n v="607"/>
    <x v="27"/>
    <x v="0"/>
    <n v="0"/>
    <x v="0"/>
    <x v="12"/>
    <x v="0"/>
    <x v="6"/>
    <x v="2"/>
    <x v="15"/>
    <x v="12"/>
    <n v="0.93"/>
    <n v="0.1045"/>
    <x v="5"/>
    <x v="95"/>
    <x v="115"/>
  </r>
  <r>
    <n v="608"/>
    <x v="27"/>
    <x v="0"/>
    <n v="0"/>
    <x v="0"/>
    <x v="13"/>
    <x v="0"/>
    <x v="6"/>
    <x v="2"/>
    <x v="15"/>
    <x v="12"/>
    <n v="0.93"/>
    <n v="0.1045"/>
    <x v="3"/>
    <x v="17"/>
    <x v="35"/>
  </r>
  <r>
    <n v="609"/>
    <x v="27"/>
    <x v="0"/>
    <n v="0"/>
    <x v="0"/>
    <x v="14"/>
    <x v="0"/>
    <x v="6"/>
    <x v="2"/>
    <x v="1"/>
    <x v="1"/>
    <n v="0.8"/>
    <n v="0"/>
    <x v="4"/>
    <x v="49"/>
    <x v="103"/>
  </r>
  <r>
    <n v="610"/>
    <x v="27"/>
    <x v="0"/>
    <n v="0"/>
    <x v="0"/>
    <x v="15"/>
    <x v="0"/>
    <x v="6"/>
    <x v="1"/>
    <x v="2"/>
    <x v="2"/>
    <n v="0.86"/>
    <n v="0"/>
    <x v="5"/>
    <x v="71"/>
    <x v="102"/>
  </r>
  <r>
    <n v="611"/>
    <x v="27"/>
    <x v="0"/>
    <n v="0"/>
    <x v="0"/>
    <x v="16"/>
    <x v="0"/>
    <x v="6"/>
    <x v="0"/>
    <x v="1"/>
    <x v="1"/>
    <n v="0.8"/>
    <n v="0"/>
    <x v="22"/>
    <x v="14"/>
    <x v="138"/>
  </r>
  <r>
    <n v="612"/>
    <x v="27"/>
    <x v="0"/>
    <n v="0"/>
    <x v="0"/>
    <x v="17"/>
    <x v="0"/>
    <x v="6"/>
    <x v="0"/>
    <x v="0"/>
    <x v="19"/>
    <n v="0.75"/>
    <n v="0.1343"/>
    <x v="4"/>
    <x v="150"/>
    <x v="165"/>
  </r>
  <r>
    <n v="613"/>
    <x v="27"/>
    <x v="0"/>
    <n v="0"/>
    <x v="0"/>
    <x v="18"/>
    <x v="0"/>
    <x v="6"/>
    <x v="0"/>
    <x v="0"/>
    <x v="11"/>
    <n v="0.75"/>
    <n v="0.19400000000000001"/>
    <x v="4"/>
    <x v="128"/>
    <x v="142"/>
  </r>
  <r>
    <n v="614"/>
    <x v="27"/>
    <x v="0"/>
    <n v="0"/>
    <x v="0"/>
    <x v="19"/>
    <x v="0"/>
    <x v="6"/>
    <x v="1"/>
    <x v="0"/>
    <x v="19"/>
    <n v="0.75"/>
    <n v="0.1343"/>
    <x v="2"/>
    <x v="151"/>
    <x v="70"/>
  </r>
  <r>
    <n v="615"/>
    <x v="27"/>
    <x v="0"/>
    <n v="0"/>
    <x v="0"/>
    <x v="20"/>
    <x v="0"/>
    <x v="6"/>
    <x v="1"/>
    <x v="0"/>
    <x v="11"/>
    <n v="0.7"/>
    <n v="0.19400000000000001"/>
    <x v="5"/>
    <x v="124"/>
    <x v="69"/>
  </r>
  <r>
    <n v="616"/>
    <x v="27"/>
    <x v="0"/>
    <n v="0"/>
    <x v="0"/>
    <x v="21"/>
    <x v="0"/>
    <x v="6"/>
    <x v="1"/>
    <x v="1"/>
    <x v="11"/>
    <n v="0.75"/>
    <n v="0.1343"/>
    <x v="5"/>
    <x v="77"/>
    <x v="154"/>
  </r>
  <r>
    <n v="617"/>
    <x v="27"/>
    <x v="0"/>
    <n v="0"/>
    <x v="0"/>
    <x v="22"/>
    <x v="0"/>
    <x v="6"/>
    <x v="0"/>
    <x v="0"/>
    <x v="12"/>
    <n v="0.65"/>
    <n v="0.35820000000000002"/>
    <x v="3"/>
    <x v="16"/>
    <x v="132"/>
  </r>
  <r>
    <n v="618"/>
    <x v="27"/>
    <x v="0"/>
    <n v="0"/>
    <x v="0"/>
    <x v="23"/>
    <x v="0"/>
    <x v="6"/>
    <x v="0"/>
    <x v="0"/>
    <x v="11"/>
    <n v="0.6"/>
    <n v="0.22389999999999999"/>
    <x v="5"/>
    <x v="97"/>
    <x v="84"/>
  </r>
  <r>
    <n v="619"/>
    <x v="28"/>
    <x v="0"/>
    <n v="0"/>
    <x v="0"/>
    <x v="0"/>
    <x v="0"/>
    <x v="0"/>
    <x v="0"/>
    <x v="1"/>
    <x v="13"/>
    <n v="0.64"/>
    <n v="0.35820000000000002"/>
    <x v="4"/>
    <x v="16"/>
    <x v="20"/>
  </r>
  <r>
    <n v="620"/>
    <x v="28"/>
    <x v="0"/>
    <n v="0"/>
    <x v="0"/>
    <x v="1"/>
    <x v="0"/>
    <x v="0"/>
    <x v="0"/>
    <x v="1"/>
    <x v="11"/>
    <n v="0.64"/>
    <n v="0.19400000000000001"/>
    <x v="3"/>
    <x v="32"/>
    <x v="25"/>
  </r>
  <r>
    <n v="621"/>
    <x v="28"/>
    <x v="0"/>
    <n v="0"/>
    <x v="0"/>
    <x v="2"/>
    <x v="0"/>
    <x v="0"/>
    <x v="0"/>
    <x v="1"/>
    <x v="11"/>
    <n v="0.64"/>
    <n v="0.16420000000000001"/>
    <x v="3"/>
    <x v="89"/>
    <x v="93"/>
  </r>
  <r>
    <n v="622"/>
    <x v="28"/>
    <x v="0"/>
    <n v="0"/>
    <x v="0"/>
    <x v="3"/>
    <x v="0"/>
    <x v="0"/>
    <x v="0"/>
    <x v="2"/>
    <x v="12"/>
    <n v="0.64"/>
    <n v="0.1343"/>
    <x v="0"/>
    <x v="34"/>
    <x v="7"/>
  </r>
  <r>
    <n v="623"/>
    <x v="28"/>
    <x v="0"/>
    <n v="0"/>
    <x v="0"/>
    <x v="4"/>
    <x v="0"/>
    <x v="0"/>
    <x v="0"/>
    <x v="13"/>
    <x v="18"/>
    <n v="0.69"/>
    <n v="0.1045"/>
    <x v="5"/>
    <x v="6"/>
    <x v="6"/>
  </r>
  <r>
    <n v="624"/>
    <x v="28"/>
    <x v="0"/>
    <n v="0"/>
    <x v="0"/>
    <x v="6"/>
    <x v="0"/>
    <x v="0"/>
    <x v="0"/>
    <x v="13"/>
    <x v="18"/>
    <n v="0.64"/>
    <n v="0.1343"/>
    <x v="3"/>
    <x v="6"/>
    <x v="5"/>
  </r>
  <r>
    <n v="625"/>
    <x v="28"/>
    <x v="0"/>
    <n v="0"/>
    <x v="0"/>
    <x v="7"/>
    <x v="0"/>
    <x v="0"/>
    <x v="0"/>
    <x v="13"/>
    <x v="18"/>
    <n v="0.59"/>
    <n v="0.1045"/>
    <x v="5"/>
    <x v="22"/>
    <x v="36"/>
  </r>
  <r>
    <n v="626"/>
    <x v="28"/>
    <x v="0"/>
    <n v="0"/>
    <x v="0"/>
    <x v="8"/>
    <x v="0"/>
    <x v="0"/>
    <x v="0"/>
    <x v="15"/>
    <x v="13"/>
    <n v="0.55000000000000004"/>
    <n v="0.16420000000000001"/>
    <x v="0"/>
    <x v="17"/>
    <x v="19"/>
  </r>
  <r>
    <n v="627"/>
    <x v="28"/>
    <x v="0"/>
    <n v="0"/>
    <x v="0"/>
    <x v="9"/>
    <x v="0"/>
    <x v="0"/>
    <x v="0"/>
    <x v="15"/>
    <x v="12"/>
    <n v="0.59"/>
    <n v="8.9599999999999999E-2"/>
    <x v="3"/>
    <x v="60"/>
    <x v="19"/>
  </r>
  <r>
    <n v="628"/>
    <x v="28"/>
    <x v="0"/>
    <n v="0"/>
    <x v="0"/>
    <x v="10"/>
    <x v="0"/>
    <x v="0"/>
    <x v="1"/>
    <x v="15"/>
    <x v="12"/>
    <n v="0.64"/>
    <n v="0.1045"/>
    <x v="17"/>
    <x v="82"/>
    <x v="97"/>
  </r>
  <r>
    <n v="629"/>
    <x v="28"/>
    <x v="0"/>
    <n v="0"/>
    <x v="0"/>
    <x v="11"/>
    <x v="0"/>
    <x v="0"/>
    <x v="1"/>
    <x v="15"/>
    <x v="13"/>
    <n v="0.64"/>
    <n v="0.1343"/>
    <x v="17"/>
    <x v="91"/>
    <x v="37"/>
  </r>
  <r>
    <n v="630"/>
    <x v="28"/>
    <x v="0"/>
    <n v="0"/>
    <x v="0"/>
    <x v="12"/>
    <x v="0"/>
    <x v="0"/>
    <x v="1"/>
    <x v="2"/>
    <x v="13"/>
    <n v="0.59"/>
    <n v="0.19400000000000001"/>
    <x v="6"/>
    <x v="43"/>
    <x v="53"/>
  </r>
  <r>
    <n v="631"/>
    <x v="28"/>
    <x v="0"/>
    <n v="0"/>
    <x v="0"/>
    <x v="13"/>
    <x v="0"/>
    <x v="0"/>
    <x v="1"/>
    <x v="1"/>
    <x v="11"/>
    <n v="0.55000000000000004"/>
    <n v="0.16420000000000001"/>
    <x v="14"/>
    <x v="90"/>
    <x v="32"/>
  </r>
  <r>
    <n v="632"/>
    <x v="28"/>
    <x v="0"/>
    <n v="0"/>
    <x v="0"/>
    <x v="14"/>
    <x v="0"/>
    <x v="0"/>
    <x v="1"/>
    <x v="1"/>
    <x v="11"/>
    <n v="0.6"/>
    <n v="0.1343"/>
    <x v="22"/>
    <x v="121"/>
    <x v="111"/>
  </r>
  <r>
    <n v="633"/>
    <x v="28"/>
    <x v="0"/>
    <n v="0"/>
    <x v="0"/>
    <x v="15"/>
    <x v="0"/>
    <x v="0"/>
    <x v="0"/>
    <x v="1"/>
    <x v="12"/>
    <n v="0.69"/>
    <n v="0.25369999999999998"/>
    <x v="30"/>
    <x v="52"/>
    <x v="151"/>
  </r>
  <r>
    <n v="634"/>
    <x v="28"/>
    <x v="0"/>
    <n v="0"/>
    <x v="0"/>
    <x v="16"/>
    <x v="0"/>
    <x v="0"/>
    <x v="0"/>
    <x v="0"/>
    <x v="19"/>
    <n v="0.6"/>
    <n v="0.16420000000000001"/>
    <x v="21"/>
    <x v="152"/>
    <x v="166"/>
  </r>
  <r>
    <n v="635"/>
    <x v="28"/>
    <x v="0"/>
    <n v="0"/>
    <x v="0"/>
    <x v="17"/>
    <x v="0"/>
    <x v="0"/>
    <x v="0"/>
    <x v="0"/>
    <x v="0"/>
    <n v="0.6"/>
    <n v="0"/>
    <x v="14"/>
    <x v="70"/>
    <x v="134"/>
  </r>
  <r>
    <n v="636"/>
    <x v="28"/>
    <x v="0"/>
    <n v="0"/>
    <x v="0"/>
    <x v="18"/>
    <x v="0"/>
    <x v="0"/>
    <x v="0"/>
    <x v="1"/>
    <x v="11"/>
    <n v="0.69"/>
    <n v="0.1343"/>
    <x v="14"/>
    <x v="79"/>
    <x v="118"/>
  </r>
  <r>
    <n v="637"/>
    <x v="28"/>
    <x v="0"/>
    <n v="0"/>
    <x v="0"/>
    <x v="19"/>
    <x v="0"/>
    <x v="0"/>
    <x v="1"/>
    <x v="1"/>
    <x v="12"/>
    <n v="0.69"/>
    <n v="0.25369999999999998"/>
    <x v="15"/>
    <x v="15"/>
    <x v="154"/>
  </r>
  <r>
    <n v="638"/>
    <x v="28"/>
    <x v="0"/>
    <n v="0"/>
    <x v="0"/>
    <x v="20"/>
    <x v="0"/>
    <x v="0"/>
    <x v="0"/>
    <x v="15"/>
    <x v="12"/>
    <n v="0.74"/>
    <n v="8.9599999999999999E-2"/>
    <x v="5"/>
    <x v="76"/>
    <x v="74"/>
  </r>
  <r>
    <n v="639"/>
    <x v="28"/>
    <x v="0"/>
    <n v="0"/>
    <x v="0"/>
    <x v="21"/>
    <x v="0"/>
    <x v="0"/>
    <x v="0"/>
    <x v="15"/>
    <x v="12"/>
    <n v="0.74"/>
    <n v="8.9599999999999999E-2"/>
    <x v="5"/>
    <x v="96"/>
    <x v="9"/>
  </r>
  <r>
    <n v="640"/>
    <x v="28"/>
    <x v="0"/>
    <n v="0"/>
    <x v="0"/>
    <x v="22"/>
    <x v="0"/>
    <x v="0"/>
    <x v="0"/>
    <x v="13"/>
    <x v="13"/>
    <n v="0.8"/>
    <n v="8.9599999999999999E-2"/>
    <x v="17"/>
    <x v="95"/>
    <x v="2"/>
  </r>
  <r>
    <n v="641"/>
    <x v="28"/>
    <x v="0"/>
    <n v="0"/>
    <x v="0"/>
    <x v="23"/>
    <x v="0"/>
    <x v="0"/>
    <x v="0"/>
    <x v="13"/>
    <x v="13"/>
    <n v="0.8"/>
    <n v="8.9599999999999999E-2"/>
    <x v="0"/>
    <x v="10"/>
    <x v="63"/>
  </r>
  <r>
    <n v="642"/>
    <x v="29"/>
    <x v="0"/>
    <n v="0"/>
    <x v="0"/>
    <x v="0"/>
    <x v="0"/>
    <x v="1"/>
    <x v="0"/>
    <x v="13"/>
    <x v="18"/>
    <n v="0.8"/>
    <n v="0.1045"/>
    <x v="3"/>
    <x v="39"/>
    <x v="63"/>
  </r>
  <r>
    <n v="643"/>
    <x v="29"/>
    <x v="0"/>
    <n v="0"/>
    <x v="0"/>
    <x v="1"/>
    <x v="0"/>
    <x v="1"/>
    <x v="0"/>
    <x v="14"/>
    <x v="12"/>
    <n v="0.8"/>
    <n v="0"/>
    <x v="18"/>
    <x v="97"/>
    <x v="115"/>
  </r>
  <r>
    <n v="644"/>
    <x v="29"/>
    <x v="0"/>
    <n v="0"/>
    <x v="0"/>
    <x v="2"/>
    <x v="0"/>
    <x v="1"/>
    <x v="0"/>
    <x v="13"/>
    <x v="11"/>
    <n v="0.8"/>
    <n v="0"/>
    <x v="5"/>
    <x v="3"/>
    <x v="62"/>
  </r>
  <r>
    <n v="645"/>
    <x v="29"/>
    <x v="0"/>
    <n v="0"/>
    <x v="0"/>
    <x v="3"/>
    <x v="0"/>
    <x v="1"/>
    <x v="0"/>
    <x v="14"/>
    <x v="12"/>
    <n v="0.93"/>
    <n v="0"/>
    <x v="5"/>
    <x v="7"/>
    <x v="7"/>
  </r>
  <r>
    <n v="646"/>
    <x v="29"/>
    <x v="0"/>
    <n v="0"/>
    <x v="0"/>
    <x v="4"/>
    <x v="0"/>
    <x v="1"/>
    <x v="0"/>
    <x v="14"/>
    <x v="12"/>
    <n v="0.93"/>
    <n v="0"/>
    <x v="3"/>
    <x v="4"/>
    <x v="4"/>
  </r>
  <r>
    <n v="647"/>
    <x v="29"/>
    <x v="0"/>
    <n v="0"/>
    <x v="0"/>
    <x v="5"/>
    <x v="0"/>
    <x v="1"/>
    <x v="0"/>
    <x v="14"/>
    <x v="12"/>
    <n v="0.86"/>
    <n v="0"/>
    <x v="3"/>
    <x v="35"/>
    <x v="6"/>
  </r>
  <r>
    <n v="648"/>
    <x v="29"/>
    <x v="0"/>
    <n v="0"/>
    <x v="0"/>
    <x v="7"/>
    <x v="0"/>
    <x v="1"/>
    <x v="0"/>
    <x v="14"/>
    <x v="12"/>
    <n v="0.86"/>
    <n v="0"/>
    <x v="3"/>
    <x v="35"/>
    <x v="6"/>
  </r>
  <r>
    <n v="649"/>
    <x v="29"/>
    <x v="0"/>
    <n v="0"/>
    <x v="0"/>
    <x v="8"/>
    <x v="0"/>
    <x v="1"/>
    <x v="1"/>
    <x v="14"/>
    <x v="12"/>
    <n v="0.86"/>
    <n v="0"/>
    <x v="5"/>
    <x v="48"/>
    <x v="47"/>
  </r>
  <r>
    <n v="650"/>
    <x v="29"/>
    <x v="0"/>
    <n v="0"/>
    <x v="0"/>
    <x v="9"/>
    <x v="0"/>
    <x v="1"/>
    <x v="1"/>
    <x v="13"/>
    <x v="11"/>
    <n v="0.8"/>
    <n v="0"/>
    <x v="17"/>
    <x v="60"/>
    <x v="103"/>
  </r>
  <r>
    <n v="651"/>
    <x v="29"/>
    <x v="0"/>
    <n v="0"/>
    <x v="0"/>
    <x v="10"/>
    <x v="0"/>
    <x v="1"/>
    <x v="1"/>
    <x v="15"/>
    <x v="19"/>
    <n v="0.8"/>
    <n v="0"/>
    <x v="18"/>
    <x v="77"/>
    <x v="37"/>
  </r>
  <r>
    <n v="652"/>
    <x v="29"/>
    <x v="0"/>
    <n v="0"/>
    <x v="0"/>
    <x v="11"/>
    <x v="0"/>
    <x v="1"/>
    <x v="0"/>
    <x v="1"/>
    <x v="1"/>
    <n v="0.75"/>
    <n v="0"/>
    <x v="14"/>
    <x v="54"/>
    <x v="29"/>
  </r>
  <r>
    <n v="653"/>
    <x v="29"/>
    <x v="0"/>
    <n v="0"/>
    <x v="0"/>
    <x v="12"/>
    <x v="0"/>
    <x v="1"/>
    <x v="0"/>
    <x v="11"/>
    <x v="21"/>
    <n v="0.52"/>
    <n v="0.1045"/>
    <x v="22"/>
    <x v="61"/>
    <x v="54"/>
  </r>
  <r>
    <n v="654"/>
    <x v="29"/>
    <x v="0"/>
    <n v="0"/>
    <x v="0"/>
    <x v="13"/>
    <x v="0"/>
    <x v="1"/>
    <x v="0"/>
    <x v="17"/>
    <x v="0"/>
    <n v="0.61"/>
    <n v="0.1045"/>
    <x v="23"/>
    <x v="13"/>
    <x v="11"/>
  </r>
  <r>
    <n v="655"/>
    <x v="29"/>
    <x v="0"/>
    <n v="0"/>
    <x v="0"/>
    <x v="14"/>
    <x v="0"/>
    <x v="1"/>
    <x v="0"/>
    <x v="17"/>
    <x v="25"/>
    <n v="0.61"/>
    <n v="8.9599999999999999E-2"/>
    <x v="25"/>
    <x v="153"/>
    <x v="78"/>
  </r>
  <r>
    <n v="656"/>
    <x v="29"/>
    <x v="0"/>
    <n v="0"/>
    <x v="0"/>
    <x v="15"/>
    <x v="0"/>
    <x v="1"/>
    <x v="0"/>
    <x v="11"/>
    <x v="6"/>
    <n v="0.56000000000000005"/>
    <n v="0"/>
    <x v="24"/>
    <x v="73"/>
    <x v="142"/>
  </r>
  <r>
    <n v="657"/>
    <x v="29"/>
    <x v="0"/>
    <n v="0"/>
    <x v="0"/>
    <x v="16"/>
    <x v="0"/>
    <x v="1"/>
    <x v="0"/>
    <x v="11"/>
    <x v="6"/>
    <n v="0.56000000000000005"/>
    <n v="0"/>
    <x v="21"/>
    <x v="153"/>
    <x v="92"/>
  </r>
  <r>
    <n v="658"/>
    <x v="29"/>
    <x v="0"/>
    <n v="0"/>
    <x v="0"/>
    <x v="17"/>
    <x v="0"/>
    <x v="1"/>
    <x v="0"/>
    <x v="11"/>
    <x v="0"/>
    <n v="0.56000000000000005"/>
    <n v="0.19400000000000001"/>
    <x v="15"/>
    <x v="13"/>
    <x v="43"/>
  </r>
  <r>
    <n v="659"/>
    <x v="29"/>
    <x v="0"/>
    <n v="0"/>
    <x v="0"/>
    <x v="18"/>
    <x v="0"/>
    <x v="1"/>
    <x v="0"/>
    <x v="12"/>
    <x v="2"/>
    <n v="0.65"/>
    <n v="0.16420000000000001"/>
    <x v="1"/>
    <x v="77"/>
    <x v="32"/>
  </r>
  <r>
    <n v="660"/>
    <x v="29"/>
    <x v="0"/>
    <n v="0"/>
    <x v="0"/>
    <x v="19"/>
    <x v="0"/>
    <x v="1"/>
    <x v="0"/>
    <x v="12"/>
    <x v="2"/>
    <n v="0.65"/>
    <n v="0.19400000000000001"/>
    <x v="14"/>
    <x v="24"/>
    <x v="97"/>
  </r>
  <r>
    <n v="661"/>
    <x v="29"/>
    <x v="0"/>
    <n v="0"/>
    <x v="0"/>
    <x v="20"/>
    <x v="0"/>
    <x v="1"/>
    <x v="1"/>
    <x v="12"/>
    <x v="1"/>
    <n v="0.65"/>
    <n v="0.1045"/>
    <x v="0"/>
    <x v="10"/>
    <x v="63"/>
  </r>
  <r>
    <n v="662"/>
    <x v="29"/>
    <x v="0"/>
    <n v="0"/>
    <x v="0"/>
    <x v="21"/>
    <x v="0"/>
    <x v="1"/>
    <x v="1"/>
    <x v="0"/>
    <x v="19"/>
    <n v="0.7"/>
    <n v="0.16420000000000001"/>
    <x v="0"/>
    <x v="18"/>
    <x v="20"/>
  </r>
  <r>
    <n v="663"/>
    <x v="29"/>
    <x v="0"/>
    <n v="0"/>
    <x v="0"/>
    <x v="22"/>
    <x v="0"/>
    <x v="1"/>
    <x v="1"/>
    <x v="0"/>
    <x v="11"/>
    <n v="0.7"/>
    <n v="0.19400000000000001"/>
    <x v="4"/>
    <x v="23"/>
    <x v="137"/>
  </r>
  <r>
    <n v="664"/>
    <x v="29"/>
    <x v="0"/>
    <n v="0"/>
    <x v="0"/>
    <x v="23"/>
    <x v="0"/>
    <x v="1"/>
    <x v="1"/>
    <x v="0"/>
    <x v="12"/>
    <n v="0.65"/>
    <n v="0.28360000000000002"/>
    <x v="2"/>
    <x v="20"/>
    <x v="137"/>
  </r>
  <r>
    <n v="665"/>
    <x v="30"/>
    <x v="0"/>
    <n v="0"/>
    <x v="0"/>
    <x v="0"/>
    <x v="0"/>
    <x v="2"/>
    <x v="1"/>
    <x v="0"/>
    <x v="11"/>
    <n v="0.65"/>
    <n v="0.22389999999999999"/>
    <x v="5"/>
    <x v="8"/>
    <x v="85"/>
  </r>
  <r>
    <n v="666"/>
    <x v="30"/>
    <x v="0"/>
    <n v="0"/>
    <x v="0"/>
    <x v="1"/>
    <x v="0"/>
    <x v="2"/>
    <x v="0"/>
    <x v="1"/>
    <x v="12"/>
    <n v="0.64"/>
    <n v="0.25369999999999998"/>
    <x v="4"/>
    <x v="34"/>
    <x v="85"/>
  </r>
  <r>
    <n v="667"/>
    <x v="30"/>
    <x v="0"/>
    <n v="0"/>
    <x v="0"/>
    <x v="2"/>
    <x v="0"/>
    <x v="2"/>
    <x v="0"/>
    <x v="1"/>
    <x v="11"/>
    <n v="0.64"/>
    <n v="0.19400000000000001"/>
    <x v="3"/>
    <x v="4"/>
    <x v="4"/>
  </r>
  <r>
    <n v="668"/>
    <x v="30"/>
    <x v="0"/>
    <n v="0"/>
    <x v="0"/>
    <x v="3"/>
    <x v="0"/>
    <x v="2"/>
    <x v="0"/>
    <x v="1"/>
    <x v="11"/>
    <n v="0.64"/>
    <n v="0.19400000000000001"/>
    <x v="3"/>
    <x v="6"/>
    <x v="5"/>
  </r>
  <r>
    <n v="669"/>
    <x v="30"/>
    <x v="0"/>
    <n v="0"/>
    <x v="0"/>
    <x v="4"/>
    <x v="0"/>
    <x v="2"/>
    <x v="0"/>
    <x v="2"/>
    <x v="13"/>
    <n v="0.59"/>
    <n v="0.22389999999999999"/>
    <x v="3"/>
    <x v="6"/>
    <x v="5"/>
  </r>
  <r>
    <n v="670"/>
    <x v="30"/>
    <x v="0"/>
    <n v="0"/>
    <x v="0"/>
    <x v="5"/>
    <x v="0"/>
    <x v="2"/>
    <x v="0"/>
    <x v="15"/>
    <x v="17"/>
    <n v="0.64"/>
    <n v="0.28360000000000002"/>
    <x v="3"/>
    <x v="21"/>
    <x v="7"/>
  </r>
  <r>
    <n v="671"/>
    <x v="30"/>
    <x v="0"/>
    <n v="0"/>
    <x v="0"/>
    <x v="6"/>
    <x v="0"/>
    <x v="2"/>
    <x v="0"/>
    <x v="13"/>
    <x v="14"/>
    <n v="0.69"/>
    <n v="0.32840000000000003"/>
    <x v="3"/>
    <x v="53"/>
    <x v="18"/>
  </r>
  <r>
    <n v="672"/>
    <x v="30"/>
    <x v="0"/>
    <n v="0"/>
    <x v="0"/>
    <x v="7"/>
    <x v="0"/>
    <x v="2"/>
    <x v="1"/>
    <x v="13"/>
    <x v="14"/>
    <n v="0.64"/>
    <n v="0.28360000000000002"/>
    <x v="5"/>
    <x v="13"/>
    <x v="44"/>
  </r>
  <r>
    <n v="673"/>
    <x v="30"/>
    <x v="0"/>
    <n v="0"/>
    <x v="0"/>
    <x v="8"/>
    <x v="0"/>
    <x v="2"/>
    <x v="1"/>
    <x v="13"/>
    <x v="14"/>
    <n v="0.59"/>
    <n v="0.28360000000000002"/>
    <x v="0"/>
    <x v="154"/>
    <x v="147"/>
  </r>
  <r>
    <n v="674"/>
    <x v="30"/>
    <x v="0"/>
    <n v="0"/>
    <x v="0"/>
    <x v="9"/>
    <x v="0"/>
    <x v="2"/>
    <x v="1"/>
    <x v="13"/>
    <x v="14"/>
    <n v="0.59"/>
    <n v="0.29849999999999999"/>
    <x v="3"/>
    <x v="155"/>
    <x v="59"/>
  </r>
  <r>
    <n v="675"/>
    <x v="30"/>
    <x v="0"/>
    <n v="0"/>
    <x v="0"/>
    <x v="10"/>
    <x v="0"/>
    <x v="2"/>
    <x v="1"/>
    <x v="13"/>
    <x v="20"/>
    <n v="0.59"/>
    <n v="0.19400000000000001"/>
    <x v="5"/>
    <x v="56"/>
    <x v="83"/>
  </r>
  <r>
    <n v="676"/>
    <x v="30"/>
    <x v="0"/>
    <n v="0"/>
    <x v="0"/>
    <x v="11"/>
    <x v="0"/>
    <x v="2"/>
    <x v="1"/>
    <x v="13"/>
    <x v="20"/>
    <n v="0.59"/>
    <n v="0.19400000000000001"/>
    <x v="4"/>
    <x v="24"/>
    <x v="61"/>
  </r>
  <r>
    <n v="677"/>
    <x v="30"/>
    <x v="0"/>
    <n v="0"/>
    <x v="0"/>
    <x v="12"/>
    <x v="0"/>
    <x v="2"/>
    <x v="1"/>
    <x v="15"/>
    <x v="12"/>
    <n v="0.55000000000000004"/>
    <n v="0.1045"/>
    <x v="15"/>
    <x v="133"/>
    <x v="118"/>
  </r>
  <r>
    <n v="678"/>
    <x v="30"/>
    <x v="0"/>
    <n v="0"/>
    <x v="0"/>
    <x v="13"/>
    <x v="0"/>
    <x v="2"/>
    <x v="1"/>
    <x v="13"/>
    <x v="11"/>
    <n v="0.59"/>
    <n v="0"/>
    <x v="4"/>
    <x v="15"/>
    <x v="60"/>
  </r>
  <r>
    <n v="679"/>
    <x v="30"/>
    <x v="0"/>
    <n v="0"/>
    <x v="0"/>
    <x v="14"/>
    <x v="0"/>
    <x v="2"/>
    <x v="1"/>
    <x v="15"/>
    <x v="13"/>
    <n v="0.55000000000000004"/>
    <n v="0.1343"/>
    <x v="5"/>
    <x v="66"/>
    <x v="80"/>
  </r>
  <r>
    <n v="680"/>
    <x v="30"/>
    <x v="0"/>
    <n v="0"/>
    <x v="0"/>
    <x v="15"/>
    <x v="0"/>
    <x v="2"/>
    <x v="1"/>
    <x v="13"/>
    <x v="18"/>
    <n v="0.59"/>
    <n v="0.1343"/>
    <x v="0"/>
    <x v="40"/>
    <x v="40"/>
  </r>
  <r>
    <n v="681"/>
    <x v="30"/>
    <x v="0"/>
    <n v="0"/>
    <x v="0"/>
    <x v="16"/>
    <x v="0"/>
    <x v="2"/>
    <x v="1"/>
    <x v="13"/>
    <x v="18"/>
    <n v="0.56000000000000005"/>
    <n v="0.19400000000000001"/>
    <x v="0"/>
    <x v="93"/>
    <x v="80"/>
  </r>
  <r>
    <n v="682"/>
    <x v="30"/>
    <x v="0"/>
    <n v="0"/>
    <x v="0"/>
    <x v="17"/>
    <x v="0"/>
    <x v="2"/>
    <x v="1"/>
    <x v="13"/>
    <x v="20"/>
    <n v="0.59"/>
    <n v="0.19400000000000001"/>
    <x v="15"/>
    <x v="119"/>
    <x v="143"/>
  </r>
  <r>
    <n v="683"/>
    <x v="30"/>
    <x v="0"/>
    <n v="0"/>
    <x v="0"/>
    <x v="18"/>
    <x v="0"/>
    <x v="2"/>
    <x v="1"/>
    <x v="13"/>
    <x v="20"/>
    <n v="0.55000000000000004"/>
    <n v="0.22389999999999999"/>
    <x v="0"/>
    <x v="37"/>
    <x v="167"/>
  </r>
  <r>
    <n v="684"/>
    <x v="30"/>
    <x v="0"/>
    <n v="0"/>
    <x v="0"/>
    <x v="19"/>
    <x v="0"/>
    <x v="2"/>
    <x v="0"/>
    <x v="11"/>
    <x v="21"/>
    <n v="0.61"/>
    <n v="0.1045"/>
    <x v="0"/>
    <x v="123"/>
    <x v="168"/>
  </r>
  <r>
    <n v="685"/>
    <x v="30"/>
    <x v="0"/>
    <n v="0"/>
    <x v="0"/>
    <x v="20"/>
    <x v="0"/>
    <x v="2"/>
    <x v="2"/>
    <x v="13"/>
    <x v="17"/>
    <n v="0.59"/>
    <n v="0.16420000000000001"/>
    <x v="3"/>
    <x v="78"/>
    <x v="53"/>
  </r>
  <r>
    <n v="686"/>
    <x v="30"/>
    <x v="0"/>
    <n v="0"/>
    <x v="0"/>
    <x v="21"/>
    <x v="0"/>
    <x v="2"/>
    <x v="2"/>
    <x v="13"/>
    <x v="13"/>
    <n v="0.59"/>
    <n v="8.9599999999999999E-2"/>
    <x v="0"/>
    <x v="42"/>
    <x v="10"/>
  </r>
  <r>
    <n v="687"/>
    <x v="30"/>
    <x v="0"/>
    <n v="0"/>
    <x v="0"/>
    <x v="22"/>
    <x v="0"/>
    <x v="2"/>
    <x v="1"/>
    <x v="13"/>
    <x v="18"/>
    <n v="0.59"/>
    <n v="0.1045"/>
    <x v="3"/>
    <x v="60"/>
    <x v="19"/>
  </r>
  <r>
    <n v="688"/>
    <x v="30"/>
    <x v="0"/>
    <n v="0"/>
    <x v="0"/>
    <x v="23"/>
    <x v="0"/>
    <x v="2"/>
    <x v="1"/>
    <x v="13"/>
    <x v="13"/>
    <n v="0.64"/>
    <n v="8.9599999999999999E-2"/>
    <x v="4"/>
    <x v="89"/>
    <x v="22"/>
  </r>
  <r>
    <n v="689"/>
    <x v="31"/>
    <x v="0"/>
    <n v="0"/>
    <x v="1"/>
    <x v="0"/>
    <x v="0"/>
    <x v="3"/>
    <x v="1"/>
    <x v="13"/>
    <x v="18"/>
    <n v="0.64"/>
    <n v="0.1045"/>
    <x v="4"/>
    <x v="8"/>
    <x v="7"/>
  </r>
  <r>
    <n v="690"/>
    <x v="31"/>
    <x v="0"/>
    <n v="0"/>
    <x v="1"/>
    <x v="1"/>
    <x v="0"/>
    <x v="3"/>
    <x v="1"/>
    <x v="13"/>
    <x v="18"/>
    <n v="0.69"/>
    <n v="0.1045"/>
    <x v="3"/>
    <x v="35"/>
    <x v="6"/>
  </r>
  <r>
    <n v="691"/>
    <x v="31"/>
    <x v="0"/>
    <n v="0"/>
    <x v="1"/>
    <x v="2"/>
    <x v="0"/>
    <x v="3"/>
    <x v="1"/>
    <x v="13"/>
    <x v="11"/>
    <n v="0.69"/>
    <n v="0"/>
    <x v="3"/>
    <x v="6"/>
    <x v="5"/>
  </r>
  <r>
    <n v="692"/>
    <x v="31"/>
    <x v="0"/>
    <n v="0"/>
    <x v="1"/>
    <x v="3"/>
    <x v="0"/>
    <x v="3"/>
    <x v="1"/>
    <x v="13"/>
    <x v="11"/>
    <n v="0.69"/>
    <n v="0"/>
    <x v="3"/>
    <x v="6"/>
    <x v="5"/>
  </r>
  <r>
    <n v="693"/>
    <x v="31"/>
    <x v="0"/>
    <n v="0"/>
    <x v="1"/>
    <x v="5"/>
    <x v="0"/>
    <x v="3"/>
    <x v="2"/>
    <x v="14"/>
    <x v="12"/>
    <n v="0.93"/>
    <n v="0"/>
    <x v="3"/>
    <x v="35"/>
    <x v="6"/>
  </r>
  <r>
    <n v="694"/>
    <x v="31"/>
    <x v="0"/>
    <n v="0"/>
    <x v="1"/>
    <x v="6"/>
    <x v="0"/>
    <x v="3"/>
    <x v="2"/>
    <x v="14"/>
    <x v="12"/>
    <n v="0.93"/>
    <n v="0"/>
    <x v="3"/>
    <x v="97"/>
    <x v="34"/>
  </r>
  <r>
    <n v="695"/>
    <x v="31"/>
    <x v="0"/>
    <n v="0"/>
    <x v="1"/>
    <x v="7"/>
    <x v="0"/>
    <x v="3"/>
    <x v="2"/>
    <x v="13"/>
    <x v="11"/>
    <n v="0.93"/>
    <n v="0"/>
    <x v="3"/>
    <x v="15"/>
    <x v="46"/>
  </r>
  <r>
    <n v="696"/>
    <x v="31"/>
    <x v="0"/>
    <n v="0"/>
    <x v="1"/>
    <x v="8"/>
    <x v="0"/>
    <x v="3"/>
    <x v="2"/>
    <x v="13"/>
    <x v="11"/>
    <n v="0.93"/>
    <n v="0"/>
    <x v="0"/>
    <x v="126"/>
    <x v="169"/>
  </r>
  <r>
    <n v="697"/>
    <x v="31"/>
    <x v="0"/>
    <n v="0"/>
    <x v="1"/>
    <x v="9"/>
    <x v="0"/>
    <x v="3"/>
    <x v="1"/>
    <x v="13"/>
    <x v="11"/>
    <n v="0.93"/>
    <n v="0"/>
    <x v="4"/>
    <x v="156"/>
    <x v="155"/>
  </r>
  <r>
    <n v="698"/>
    <x v="31"/>
    <x v="0"/>
    <n v="0"/>
    <x v="1"/>
    <x v="10"/>
    <x v="0"/>
    <x v="3"/>
    <x v="1"/>
    <x v="13"/>
    <x v="11"/>
    <n v="0.93"/>
    <n v="0"/>
    <x v="3"/>
    <x v="12"/>
    <x v="105"/>
  </r>
  <r>
    <n v="699"/>
    <x v="31"/>
    <x v="0"/>
    <n v="0"/>
    <x v="1"/>
    <x v="11"/>
    <x v="0"/>
    <x v="3"/>
    <x v="1"/>
    <x v="15"/>
    <x v="19"/>
    <n v="0.86"/>
    <n v="0"/>
    <x v="4"/>
    <x v="47"/>
    <x v="41"/>
  </r>
  <r>
    <n v="700"/>
    <x v="31"/>
    <x v="0"/>
    <n v="0"/>
    <x v="1"/>
    <x v="12"/>
    <x v="0"/>
    <x v="3"/>
    <x v="1"/>
    <x v="2"/>
    <x v="2"/>
    <n v="0.86"/>
    <n v="0"/>
    <x v="4"/>
    <x v="42"/>
    <x v="97"/>
  </r>
  <r>
    <n v="701"/>
    <x v="31"/>
    <x v="0"/>
    <n v="0"/>
    <x v="1"/>
    <x v="13"/>
    <x v="0"/>
    <x v="3"/>
    <x v="1"/>
    <x v="2"/>
    <x v="2"/>
    <n v="0.86"/>
    <n v="0"/>
    <x v="0"/>
    <x v="47"/>
    <x v="46"/>
  </r>
  <r>
    <n v="702"/>
    <x v="31"/>
    <x v="0"/>
    <n v="0"/>
    <x v="1"/>
    <x v="14"/>
    <x v="0"/>
    <x v="3"/>
    <x v="1"/>
    <x v="1"/>
    <x v="2"/>
    <n v="0.8"/>
    <n v="8.9599999999999999E-2"/>
    <x v="2"/>
    <x v="47"/>
    <x v="60"/>
  </r>
  <r>
    <n v="703"/>
    <x v="31"/>
    <x v="0"/>
    <n v="0"/>
    <x v="1"/>
    <x v="15"/>
    <x v="0"/>
    <x v="3"/>
    <x v="1"/>
    <x v="0"/>
    <x v="0"/>
    <n v="0.75"/>
    <n v="0"/>
    <x v="18"/>
    <x v="108"/>
    <x v="46"/>
  </r>
  <r>
    <n v="704"/>
    <x v="31"/>
    <x v="0"/>
    <n v="0"/>
    <x v="1"/>
    <x v="16"/>
    <x v="0"/>
    <x v="3"/>
    <x v="1"/>
    <x v="0"/>
    <x v="19"/>
    <n v="0.75"/>
    <n v="0.1343"/>
    <x v="0"/>
    <x v="124"/>
    <x v="37"/>
  </r>
  <r>
    <n v="705"/>
    <x v="31"/>
    <x v="0"/>
    <n v="0"/>
    <x v="1"/>
    <x v="17"/>
    <x v="0"/>
    <x v="3"/>
    <x v="1"/>
    <x v="0"/>
    <x v="0"/>
    <n v="0.75"/>
    <n v="0"/>
    <x v="17"/>
    <x v="157"/>
    <x v="170"/>
  </r>
  <r>
    <n v="706"/>
    <x v="31"/>
    <x v="0"/>
    <n v="0"/>
    <x v="1"/>
    <x v="18"/>
    <x v="0"/>
    <x v="3"/>
    <x v="1"/>
    <x v="0"/>
    <x v="2"/>
    <n v="0.81"/>
    <n v="0.1045"/>
    <x v="0"/>
    <x v="158"/>
    <x v="171"/>
  </r>
  <r>
    <n v="707"/>
    <x v="31"/>
    <x v="0"/>
    <n v="0"/>
    <x v="1"/>
    <x v="19"/>
    <x v="0"/>
    <x v="3"/>
    <x v="1"/>
    <x v="0"/>
    <x v="19"/>
    <n v="0.81"/>
    <n v="0.1343"/>
    <x v="0"/>
    <x v="159"/>
    <x v="159"/>
  </r>
  <r>
    <n v="708"/>
    <x v="31"/>
    <x v="0"/>
    <n v="0"/>
    <x v="1"/>
    <x v="20"/>
    <x v="0"/>
    <x v="3"/>
    <x v="1"/>
    <x v="1"/>
    <x v="11"/>
    <n v="0.87"/>
    <n v="0.1343"/>
    <x v="2"/>
    <x v="94"/>
    <x v="30"/>
  </r>
  <r>
    <n v="709"/>
    <x v="31"/>
    <x v="0"/>
    <n v="0"/>
    <x v="1"/>
    <x v="21"/>
    <x v="0"/>
    <x v="3"/>
    <x v="1"/>
    <x v="1"/>
    <x v="11"/>
    <n v="0.87"/>
    <n v="0.1343"/>
    <x v="3"/>
    <x v="27"/>
    <x v="37"/>
  </r>
  <r>
    <n v="710"/>
    <x v="31"/>
    <x v="0"/>
    <n v="0"/>
    <x v="1"/>
    <x v="22"/>
    <x v="0"/>
    <x v="3"/>
    <x v="1"/>
    <x v="1"/>
    <x v="2"/>
    <n v="0.87"/>
    <n v="8.9599999999999999E-2"/>
    <x v="4"/>
    <x v="60"/>
    <x v="9"/>
  </r>
  <r>
    <n v="711"/>
    <x v="31"/>
    <x v="0"/>
    <n v="0"/>
    <x v="1"/>
    <x v="23"/>
    <x v="0"/>
    <x v="3"/>
    <x v="2"/>
    <x v="2"/>
    <x v="13"/>
    <n v="0.93"/>
    <n v="0.19400000000000001"/>
    <x v="5"/>
    <x v="89"/>
    <x v="0"/>
  </r>
  <r>
    <n v="712"/>
    <x v="32"/>
    <x v="0"/>
    <n v="0"/>
    <x v="1"/>
    <x v="0"/>
    <x v="0"/>
    <x v="4"/>
    <x v="2"/>
    <x v="1"/>
    <x v="19"/>
    <n v="0.93"/>
    <n v="0.1045"/>
    <x v="3"/>
    <x v="6"/>
    <x v="5"/>
  </r>
  <r>
    <n v="713"/>
    <x v="32"/>
    <x v="0"/>
    <n v="0"/>
    <x v="1"/>
    <x v="1"/>
    <x v="0"/>
    <x v="4"/>
    <x v="2"/>
    <x v="1"/>
    <x v="11"/>
    <n v="0.93"/>
    <n v="0.19400000000000001"/>
    <x v="3"/>
    <x v="35"/>
    <x v="6"/>
  </r>
  <r>
    <n v="714"/>
    <x v="32"/>
    <x v="0"/>
    <n v="0"/>
    <x v="1"/>
    <x v="2"/>
    <x v="0"/>
    <x v="4"/>
    <x v="2"/>
    <x v="1"/>
    <x v="11"/>
    <n v="0.93"/>
    <n v="0.1343"/>
    <x v="17"/>
    <x v="5"/>
    <x v="48"/>
  </r>
  <r>
    <n v="715"/>
    <x v="32"/>
    <x v="0"/>
    <n v="0"/>
    <x v="1"/>
    <x v="3"/>
    <x v="0"/>
    <x v="4"/>
    <x v="2"/>
    <x v="1"/>
    <x v="11"/>
    <n v="0.93"/>
    <n v="0.1343"/>
    <x v="3"/>
    <x v="4"/>
    <x v="4"/>
  </r>
  <r>
    <n v="716"/>
    <x v="32"/>
    <x v="0"/>
    <n v="0"/>
    <x v="1"/>
    <x v="4"/>
    <x v="0"/>
    <x v="4"/>
    <x v="2"/>
    <x v="1"/>
    <x v="12"/>
    <n v="0.93"/>
    <n v="0.28360000000000002"/>
    <x v="3"/>
    <x v="4"/>
    <x v="4"/>
  </r>
  <r>
    <n v="717"/>
    <x v="32"/>
    <x v="0"/>
    <n v="0"/>
    <x v="1"/>
    <x v="5"/>
    <x v="0"/>
    <x v="4"/>
    <x v="2"/>
    <x v="1"/>
    <x v="19"/>
    <n v="0.93"/>
    <n v="0.1045"/>
    <x v="3"/>
    <x v="35"/>
    <x v="6"/>
  </r>
  <r>
    <n v="718"/>
    <x v="32"/>
    <x v="0"/>
    <n v="0"/>
    <x v="1"/>
    <x v="6"/>
    <x v="0"/>
    <x v="4"/>
    <x v="2"/>
    <x v="1"/>
    <x v="19"/>
    <n v="0.93"/>
    <n v="0.1045"/>
    <x v="5"/>
    <x v="19"/>
    <x v="109"/>
  </r>
  <r>
    <n v="719"/>
    <x v="32"/>
    <x v="0"/>
    <n v="0"/>
    <x v="1"/>
    <x v="7"/>
    <x v="0"/>
    <x v="4"/>
    <x v="2"/>
    <x v="1"/>
    <x v="12"/>
    <n v="0.93"/>
    <n v="0.22389999999999999"/>
    <x v="5"/>
    <x v="41"/>
    <x v="99"/>
  </r>
  <r>
    <n v="720"/>
    <x v="32"/>
    <x v="0"/>
    <n v="0"/>
    <x v="1"/>
    <x v="8"/>
    <x v="0"/>
    <x v="4"/>
    <x v="2"/>
    <x v="1"/>
    <x v="12"/>
    <n v="0.93"/>
    <n v="0.22389999999999999"/>
    <x v="5"/>
    <x v="105"/>
    <x v="107"/>
  </r>
  <r>
    <n v="721"/>
    <x v="32"/>
    <x v="0"/>
    <n v="0"/>
    <x v="1"/>
    <x v="9"/>
    <x v="0"/>
    <x v="4"/>
    <x v="1"/>
    <x v="0"/>
    <x v="2"/>
    <n v="0.93"/>
    <n v="8.9599999999999999E-2"/>
    <x v="17"/>
    <x v="138"/>
    <x v="92"/>
  </r>
  <r>
    <n v="722"/>
    <x v="32"/>
    <x v="0"/>
    <n v="0"/>
    <x v="1"/>
    <x v="10"/>
    <x v="0"/>
    <x v="4"/>
    <x v="1"/>
    <x v="1"/>
    <x v="1"/>
    <n v="1"/>
    <n v="0"/>
    <x v="4"/>
    <x v="79"/>
    <x v="42"/>
  </r>
  <r>
    <n v="723"/>
    <x v="32"/>
    <x v="0"/>
    <n v="0"/>
    <x v="1"/>
    <x v="11"/>
    <x v="0"/>
    <x v="4"/>
    <x v="1"/>
    <x v="0"/>
    <x v="11"/>
    <n v="0.93"/>
    <n v="0.19400000000000001"/>
    <x v="2"/>
    <x v="12"/>
    <x v="46"/>
  </r>
  <r>
    <n v="724"/>
    <x v="32"/>
    <x v="0"/>
    <n v="0"/>
    <x v="1"/>
    <x v="12"/>
    <x v="0"/>
    <x v="4"/>
    <x v="1"/>
    <x v="0"/>
    <x v="11"/>
    <n v="0.93"/>
    <n v="0.22389999999999999"/>
    <x v="0"/>
    <x v="124"/>
    <x v="37"/>
  </r>
  <r>
    <n v="725"/>
    <x v="32"/>
    <x v="0"/>
    <n v="0"/>
    <x v="1"/>
    <x v="13"/>
    <x v="0"/>
    <x v="4"/>
    <x v="0"/>
    <x v="10"/>
    <x v="6"/>
    <n v="0.93"/>
    <n v="0.16420000000000001"/>
    <x v="5"/>
    <x v="64"/>
    <x v="28"/>
  </r>
  <r>
    <n v="726"/>
    <x v="32"/>
    <x v="0"/>
    <n v="0"/>
    <x v="1"/>
    <x v="14"/>
    <x v="0"/>
    <x v="4"/>
    <x v="0"/>
    <x v="4"/>
    <x v="5"/>
    <n v="0.82"/>
    <n v="0.3881"/>
    <x v="4"/>
    <x v="124"/>
    <x v="55"/>
  </r>
  <r>
    <n v="727"/>
    <x v="32"/>
    <x v="0"/>
    <n v="0"/>
    <x v="1"/>
    <x v="15"/>
    <x v="0"/>
    <x v="4"/>
    <x v="0"/>
    <x v="4"/>
    <x v="5"/>
    <n v="0.76"/>
    <n v="0.32840000000000003"/>
    <x v="22"/>
    <x v="43"/>
    <x v="31"/>
  </r>
  <r>
    <n v="728"/>
    <x v="32"/>
    <x v="0"/>
    <n v="0"/>
    <x v="1"/>
    <x v="16"/>
    <x v="0"/>
    <x v="4"/>
    <x v="0"/>
    <x v="5"/>
    <x v="6"/>
    <n v="0.71"/>
    <n v="0.29849999999999999"/>
    <x v="1"/>
    <x v="73"/>
    <x v="153"/>
  </r>
  <r>
    <n v="729"/>
    <x v="32"/>
    <x v="0"/>
    <n v="0"/>
    <x v="1"/>
    <x v="17"/>
    <x v="0"/>
    <x v="4"/>
    <x v="0"/>
    <x v="5"/>
    <x v="21"/>
    <n v="0.53"/>
    <n v="0.52239999999999998"/>
    <x v="18"/>
    <x v="160"/>
    <x v="71"/>
  </r>
  <r>
    <n v="730"/>
    <x v="32"/>
    <x v="0"/>
    <n v="0"/>
    <x v="1"/>
    <x v="18"/>
    <x v="0"/>
    <x v="4"/>
    <x v="0"/>
    <x v="10"/>
    <x v="0"/>
    <n v="0.42"/>
    <n v="0.55220000000000002"/>
    <x v="18"/>
    <x v="161"/>
    <x v="58"/>
  </r>
  <r>
    <n v="731"/>
    <x v="32"/>
    <x v="0"/>
    <n v="0"/>
    <x v="1"/>
    <x v="19"/>
    <x v="0"/>
    <x v="4"/>
    <x v="0"/>
    <x v="17"/>
    <x v="19"/>
    <n v="0.45"/>
    <n v="0.49249999999999999"/>
    <x v="0"/>
    <x v="152"/>
    <x v="134"/>
  </r>
  <r>
    <n v="732"/>
    <x v="32"/>
    <x v="0"/>
    <n v="0"/>
    <x v="1"/>
    <x v="20"/>
    <x v="0"/>
    <x v="4"/>
    <x v="0"/>
    <x v="0"/>
    <x v="13"/>
    <n v="0.48"/>
    <n v="0.55220000000000002"/>
    <x v="17"/>
    <x v="13"/>
    <x v="28"/>
  </r>
  <r>
    <n v="733"/>
    <x v="32"/>
    <x v="0"/>
    <n v="0"/>
    <x v="1"/>
    <x v="21"/>
    <x v="0"/>
    <x v="4"/>
    <x v="0"/>
    <x v="1"/>
    <x v="13"/>
    <n v="0.47"/>
    <n v="0.32840000000000003"/>
    <x v="5"/>
    <x v="133"/>
    <x v="55"/>
  </r>
  <r>
    <n v="734"/>
    <x v="32"/>
    <x v="0"/>
    <n v="0"/>
    <x v="1"/>
    <x v="22"/>
    <x v="0"/>
    <x v="4"/>
    <x v="0"/>
    <x v="1"/>
    <x v="12"/>
    <n v="0.44"/>
    <n v="0.25369999999999998"/>
    <x v="2"/>
    <x v="96"/>
    <x v="1"/>
  </r>
  <r>
    <n v="735"/>
    <x v="32"/>
    <x v="0"/>
    <n v="0"/>
    <x v="1"/>
    <x v="23"/>
    <x v="0"/>
    <x v="4"/>
    <x v="0"/>
    <x v="2"/>
    <x v="17"/>
    <n v="0.44"/>
    <n v="0.44779999999999998"/>
    <x v="0"/>
    <x v="31"/>
    <x v="2"/>
  </r>
  <r>
    <n v="736"/>
    <x v="33"/>
    <x v="0"/>
    <n v="0"/>
    <x v="1"/>
    <x v="0"/>
    <x v="0"/>
    <x v="5"/>
    <x v="0"/>
    <x v="2"/>
    <x v="17"/>
    <n v="0.4"/>
    <n v="0.44779999999999998"/>
    <x v="5"/>
    <x v="48"/>
    <x v="47"/>
  </r>
  <r>
    <n v="737"/>
    <x v="33"/>
    <x v="0"/>
    <n v="0"/>
    <x v="1"/>
    <x v="1"/>
    <x v="0"/>
    <x v="5"/>
    <x v="0"/>
    <x v="2"/>
    <x v="20"/>
    <n v="0.44"/>
    <n v="0.52239999999999998"/>
    <x v="3"/>
    <x v="34"/>
    <x v="36"/>
  </r>
  <r>
    <n v="738"/>
    <x v="33"/>
    <x v="0"/>
    <n v="0"/>
    <x v="1"/>
    <x v="2"/>
    <x v="0"/>
    <x v="5"/>
    <x v="0"/>
    <x v="15"/>
    <x v="17"/>
    <n v="0.43"/>
    <n v="0.25369999999999998"/>
    <x v="3"/>
    <x v="6"/>
    <x v="5"/>
  </r>
  <r>
    <n v="739"/>
    <x v="33"/>
    <x v="0"/>
    <n v="0"/>
    <x v="1"/>
    <x v="3"/>
    <x v="0"/>
    <x v="5"/>
    <x v="0"/>
    <x v="15"/>
    <x v="17"/>
    <n v="0.43"/>
    <n v="0.25369999999999998"/>
    <x v="3"/>
    <x v="4"/>
    <x v="4"/>
  </r>
  <r>
    <n v="740"/>
    <x v="33"/>
    <x v="0"/>
    <n v="0"/>
    <x v="1"/>
    <x v="5"/>
    <x v="0"/>
    <x v="5"/>
    <x v="0"/>
    <x v="13"/>
    <x v="14"/>
    <n v="0.5"/>
    <n v="0.29849999999999999"/>
    <x v="3"/>
    <x v="6"/>
    <x v="5"/>
  </r>
  <r>
    <n v="741"/>
    <x v="33"/>
    <x v="0"/>
    <n v="0"/>
    <x v="1"/>
    <x v="6"/>
    <x v="0"/>
    <x v="5"/>
    <x v="0"/>
    <x v="13"/>
    <x v="14"/>
    <n v="0.43"/>
    <n v="0.35820000000000002"/>
    <x v="3"/>
    <x v="87"/>
    <x v="21"/>
  </r>
  <r>
    <n v="742"/>
    <x v="33"/>
    <x v="0"/>
    <n v="0"/>
    <x v="1"/>
    <x v="7"/>
    <x v="0"/>
    <x v="5"/>
    <x v="0"/>
    <x v="14"/>
    <x v="16"/>
    <n v="0.5"/>
    <n v="0.32840000000000003"/>
    <x v="5"/>
    <x v="132"/>
    <x v="90"/>
  </r>
  <r>
    <n v="743"/>
    <x v="33"/>
    <x v="0"/>
    <n v="0"/>
    <x v="1"/>
    <x v="8"/>
    <x v="0"/>
    <x v="5"/>
    <x v="0"/>
    <x v="14"/>
    <x v="16"/>
    <n v="0.5"/>
    <n v="0.35820000000000002"/>
    <x v="17"/>
    <x v="103"/>
    <x v="104"/>
  </r>
  <r>
    <n v="744"/>
    <x v="33"/>
    <x v="0"/>
    <n v="0"/>
    <x v="1"/>
    <x v="9"/>
    <x v="0"/>
    <x v="5"/>
    <x v="0"/>
    <x v="13"/>
    <x v="14"/>
    <n v="0.47"/>
    <n v="0.29849999999999999"/>
    <x v="15"/>
    <x v="69"/>
    <x v="140"/>
  </r>
  <r>
    <n v="745"/>
    <x v="33"/>
    <x v="0"/>
    <n v="0"/>
    <x v="1"/>
    <x v="10"/>
    <x v="0"/>
    <x v="5"/>
    <x v="0"/>
    <x v="15"/>
    <x v="20"/>
    <n v="0.43"/>
    <n v="0.32840000000000003"/>
    <x v="4"/>
    <x v="54"/>
    <x v="46"/>
  </r>
  <r>
    <n v="746"/>
    <x v="33"/>
    <x v="0"/>
    <n v="0"/>
    <x v="1"/>
    <x v="11"/>
    <x v="0"/>
    <x v="5"/>
    <x v="0"/>
    <x v="15"/>
    <x v="14"/>
    <n v="0.43"/>
    <n v="0.44779999999999998"/>
    <x v="14"/>
    <x v="11"/>
    <x v="37"/>
  </r>
  <r>
    <n v="747"/>
    <x v="33"/>
    <x v="0"/>
    <n v="0"/>
    <x v="1"/>
    <x v="12"/>
    <x v="0"/>
    <x v="5"/>
    <x v="0"/>
    <x v="2"/>
    <x v="18"/>
    <n v="0.4"/>
    <n v="0.35820000000000002"/>
    <x v="4"/>
    <x v="28"/>
    <x v="83"/>
  </r>
  <r>
    <n v="748"/>
    <x v="33"/>
    <x v="0"/>
    <n v="0"/>
    <x v="1"/>
    <x v="13"/>
    <x v="0"/>
    <x v="5"/>
    <x v="0"/>
    <x v="2"/>
    <x v="17"/>
    <n v="0.4"/>
    <n v="0.41789999999999999"/>
    <x v="17"/>
    <x v="12"/>
    <x v="41"/>
  </r>
  <r>
    <n v="749"/>
    <x v="33"/>
    <x v="0"/>
    <n v="0"/>
    <x v="1"/>
    <x v="14"/>
    <x v="0"/>
    <x v="5"/>
    <x v="0"/>
    <x v="1"/>
    <x v="13"/>
    <n v="0.37"/>
    <n v="0.3881"/>
    <x v="17"/>
    <x v="30"/>
    <x v="105"/>
  </r>
  <r>
    <n v="750"/>
    <x v="33"/>
    <x v="0"/>
    <n v="0"/>
    <x v="1"/>
    <x v="15"/>
    <x v="0"/>
    <x v="5"/>
    <x v="0"/>
    <x v="1"/>
    <x v="13"/>
    <n v="0.37"/>
    <n v="0.32840000000000003"/>
    <x v="17"/>
    <x v="90"/>
    <x v="122"/>
  </r>
  <r>
    <n v="751"/>
    <x v="33"/>
    <x v="0"/>
    <n v="0"/>
    <x v="1"/>
    <x v="16"/>
    <x v="0"/>
    <x v="5"/>
    <x v="0"/>
    <x v="1"/>
    <x v="12"/>
    <n v="0.37"/>
    <n v="0.25369999999999998"/>
    <x v="2"/>
    <x v="26"/>
    <x v="53"/>
  </r>
  <r>
    <n v="752"/>
    <x v="33"/>
    <x v="0"/>
    <n v="0"/>
    <x v="1"/>
    <x v="17"/>
    <x v="0"/>
    <x v="5"/>
    <x v="0"/>
    <x v="2"/>
    <x v="13"/>
    <n v="0.4"/>
    <n v="0.19400000000000001"/>
    <x v="2"/>
    <x v="162"/>
    <x v="172"/>
  </r>
  <r>
    <n v="753"/>
    <x v="33"/>
    <x v="0"/>
    <n v="0"/>
    <x v="1"/>
    <x v="18"/>
    <x v="0"/>
    <x v="5"/>
    <x v="0"/>
    <x v="2"/>
    <x v="12"/>
    <n v="0.4"/>
    <n v="0.16420000000000001"/>
    <x v="4"/>
    <x v="142"/>
    <x v="173"/>
  </r>
  <r>
    <n v="754"/>
    <x v="33"/>
    <x v="0"/>
    <n v="0"/>
    <x v="1"/>
    <x v="19"/>
    <x v="0"/>
    <x v="5"/>
    <x v="0"/>
    <x v="2"/>
    <x v="2"/>
    <n v="0.4"/>
    <n v="0"/>
    <x v="17"/>
    <x v="50"/>
    <x v="152"/>
  </r>
  <r>
    <n v="755"/>
    <x v="33"/>
    <x v="0"/>
    <n v="0"/>
    <x v="1"/>
    <x v="20"/>
    <x v="0"/>
    <x v="5"/>
    <x v="0"/>
    <x v="2"/>
    <x v="11"/>
    <n v="0.47"/>
    <n v="8.9599999999999999E-2"/>
    <x v="5"/>
    <x v="123"/>
    <x v="142"/>
  </r>
  <r>
    <n v="756"/>
    <x v="33"/>
    <x v="0"/>
    <n v="0"/>
    <x v="1"/>
    <x v="21"/>
    <x v="0"/>
    <x v="5"/>
    <x v="0"/>
    <x v="15"/>
    <x v="12"/>
    <n v="0.55000000000000004"/>
    <n v="0.1045"/>
    <x v="5"/>
    <x v="42"/>
    <x v="60"/>
  </r>
  <r>
    <n v="757"/>
    <x v="33"/>
    <x v="0"/>
    <n v="0"/>
    <x v="1"/>
    <x v="22"/>
    <x v="0"/>
    <x v="5"/>
    <x v="0"/>
    <x v="15"/>
    <x v="12"/>
    <n v="0.51"/>
    <n v="8.9599999999999999E-2"/>
    <x v="4"/>
    <x v="87"/>
    <x v="102"/>
  </r>
  <r>
    <n v="758"/>
    <x v="33"/>
    <x v="0"/>
    <n v="0"/>
    <x v="1"/>
    <x v="23"/>
    <x v="0"/>
    <x v="5"/>
    <x v="0"/>
    <x v="2"/>
    <x v="11"/>
    <n v="0.47"/>
    <n v="0.1045"/>
    <x v="17"/>
    <x v="60"/>
    <x v="103"/>
  </r>
  <r>
    <n v="759"/>
    <x v="34"/>
    <x v="0"/>
    <n v="0"/>
    <x v="1"/>
    <x v="0"/>
    <x v="0"/>
    <x v="6"/>
    <x v="1"/>
    <x v="2"/>
    <x v="2"/>
    <n v="0.44"/>
    <n v="0"/>
    <x v="0"/>
    <x v="3"/>
    <x v="3"/>
  </r>
  <r>
    <n v="760"/>
    <x v="34"/>
    <x v="0"/>
    <n v="0"/>
    <x v="1"/>
    <x v="1"/>
    <x v="0"/>
    <x v="6"/>
    <x v="1"/>
    <x v="13"/>
    <x v="11"/>
    <n v="0.59"/>
    <n v="0"/>
    <x v="3"/>
    <x v="7"/>
    <x v="85"/>
  </r>
  <r>
    <n v="761"/>
    <x v="34"/>
    <x v="0"/>
    <n v="0"/>
    <x v="1"/>
    <x v="2"/>
    <x v="0"/>
    <x v="6"/>
    <x v="1"/>
    <x v="14"/>
    <x v="17"/>
    <n v="0.63"/>
    <n v="0.1045"/>
    <x v="3"/>
    <x v="4"/>
    <x v="4"/>
  </r>
  <r>
    <n v="762"/>
    <x v="34"/>
    <x v="0"/>
    <n v="0"/>
    <x v="1"/>
    <x v="3"/>
    <x v="0"/>
    <x v="6"/>
    <x v="1"/>
    <x v="14"/>
    <x v="17"/>
    <n v="0.63"/>
    <n v="0.1045"/>
    <x v="3"/>
    <x v="4"/>
    <x v="4"/>
  </r>
  <r>
    <n v="763"/>
    <x v="34"/>
    <x v="0"/>
    <n v="0"/>
    <x v="1"/>
    <x v="5"/>
    <x v="0"/>
    <x v="6"/>
    <x v="1"/>
    <x v="14"/>
    <x v="20"/>
    <n v="0.63"/>
    <n v="0.1343"/>
    <x v="3"/>
    <x v="7"/>
    <x v="85"/>
  </r>
  <r>
    <n v="764"/>
    <x v="34"/>
    <x v="0"/>
    <n v="0"/>
    <x v="1"/>
    <x v="6"/>
    <x v="0"/>
    <x v="6"/>
    <x v="1"/>
    <x v="13"/>
    <x v="11"/>
    <n v="0.55000000000000004"/>
    <n v="0"/>
    <x v="4"/>
    <x v="16"/>
    <x v="20"/>
  </r>
  <r>
    <n v="765"/>
    <x v="34"/>
    <x v="0"/>
    <n v="0"/>
    <x v="1"/>
    <x v="7"/>
    <x v="0"/>
    <x v="6"/>
    <x v="0"/>
    <x v="14"/>
    <x v="12"/>
    <n v="0.59"/>
    <n v="0"/>
    <x v="3"/>
    <x v="61"/>
    <x v="90"/>
  </r>
  <r>
    <n v="766"/>
    <x v="34"/>
    <x v="0"/>
    <n v="0"/>
    <x v="1"/>
    <x v="8"/>
    <x v="0"/>
    <x v="6"/>
    <x v="0"/>
    <x v="14"/>
    <x v="20"/>
    <n v="0.74"/>
    <n v="0.1343"/>
    <x v="0"/>
    <x v="163"/>
    <x v="174"/>
  </r>
  <r>
    <n v="767"/>
    <x v="34"/>
    <x v="0"/>
    <n v="0"/>
    <x v="1"/>
    <x v="9"/>
    <x v="0"/>
    <x v="6"/>
    <x v="1"/>
    <x v="13"/>
    <x v="18"/>
    <n v="0.8"/>
    <n v="0.1343"/>
    <x v="0"/>
    <x v="125"/>
    <x v="175"/>
  </r>
  <r>
    <n v="768"/>
    <x v="34"/>
    <x v="0"/>
    <n v="0"/>
    <x v="1"/>
    <x v="10"/>
    <x v="0"/>
    <x v="6"/>
    <x v="1"/>
    <x v="2"/>
    <x v="12"/>
    <n v="0.51"/>
    <n v="0.1343"/>
    <x v="2"/>
    <x v="24"/>
    <x v="41"/>
  </r>
  <r>
    <n v="769"/>
    <x v="34"/>
    <x v="0"/>
    <n v="0"/>
    <x v="1"/>
    <x v="11"/>
    <x v="0"/>
    <x v="6"/>
    <x v="0"/>
    <x v="1"/>
    <x v="11"/>
    <n v="0.51"/>
    <n v="0.16420000000000001"/>
    <x v="0"/>
    <x v="124"/>
    <x v="37"/>
  </r>
  <r>
    <n v="770"/>
    <x v="34"/>
    <x v="0"/>
    <n v="0"/>
    <x v="1"/>
    <x v="12"/>
    <x v="0"/>
    <x v="6"/>
    <x v="1"/>
    <x v="0"/>
    <x v="19"/>
    <n v="0.48"/>
    <n v="0.16420000000000001"/>
    <x v="1"/>
    <x v="78"/>
    <x v="80"/>
  </r>
  <r>
    <n v="771"/>
    <x v="34"/>
    <x v="0"/>
    <n v="0"/>
    <x v="1"/>
    <x v="13"/>
    <x v="0"/>
    <x v="6"/>
    <x v="1"/>
    <x v="12"/>
    <x v="2"/>
    <n v="0.5"/>
    <n v="0.22389999999999999"/>
    <x v="14"/>
    <x v="26"/>
    <x v="100"/>
  </r>
  <r>
    <n v="772"/>
    <x v="34"/>
    <x v="0"/>
    <n v="0"/>
    <x v="1"/>
    <x v="14"/>
    <x v="0"/>
    <x v="6"/>
    <x v="1"/>
    <x v="17"/>
    <x v="1"/>
    <n v="0.45"/>
    <n v="0.16420000000000001"/>
    <x v="13"/>
    <x v="83"/>
    <x v="134"/>
  </r>
  <r>
    <n v="773"/>
    <x v="34"/>
    <x v="0"/>
    <n v="0"/>
    <x v="1"/>
    <x v="15"/>
    <x v="0"/>
    <x v="6"/>
    <x v="1"/>
    <x v="17"/>
    <x v="1"/>
    <n v="0.48"/>
    <n v="0.25369999999999998"/>
    <x v="14"/>
    <x v="38"/>
    <x v="127"/>
  </r>
  <r>
    <n v="774"/>
    <x v="34"/>
    <x v="0"/>
    <n v="0"/>
    <x v="1"/>
    <x v="16"/>
    <x v="0"/>
    <x v="6"/>
    <x v="1"/>
    <x v="11"/>
    <x v="0"/>
    <n v="0.42"/>
    <n v="0.22389999999999999"/>
    <x v="1"/>
    <x v="164"/>
    <x v="111"/>
  </r>
  <r>
    <n v="775"/>
    <x v="34"/>
    <x v="0"/>
    <n v="0"/>
    <x v="1"/>
    <x v="17"/>
    <x v="0"/>
    <x v="6"/>
    <x v="1"/>
    <x v="12"/>
    <x v="1"/>
    <n v="0.56000000000000005"/>
    <n v="0.1343"/>
    <x v="22"/>
    <x v="165"/>
    <x v="176"/>
  </r>
  <r>
    <n v="776"/>
    <x v="34"/>
    <x v="0"/>
    <n v="0"/>
    <x v="1"/>
    <x v="18"/>
    <x v="0"/>
    <x v="6"/>
    <x v="1"/>
    <x v="0"/>
    <x v="2"/>
    <n v="0.6"/>
    <n v="0.1045"/>
    <x v="0"/>
    <x v="166"/>
    <x v="107"/>
  </r>
  <r>
    <n v="777"/>
    <x v="34"/>
    <x v="0"/>
    <n v="0"/>
    <x v="1"/>
    <x v="19"/>
    <x v="0"/>
    <x v="6"/>
    <x v="1"/>
    <x v="0"/>
    <x v="19"/>
    <n v="0.65"/>
    <n v="0.1343"/>
    <x v="5"/>
    <x v="46"/>
    <x v="153"/>
  </r>
  <r>
    <n v="778"/>
    <x v="34"/>
    <x v="0"/>
    <n v="0"/>
    <x v="1"/>
    <x v="20"/>
    <x v="0"/>
    <x v="6"/>
    <x v="1"/>
    <x v="0"/>
    <x v="19"/>
    <n v="0.65"/>
    <n v="0.16420000000000001"/>
    <x v="4"/>
    <x v="94"/>
    <x v="68"/>
  </r>
  <r>
    <n v="779"/>
    <x v="34"/>
    <x v="0"/>
    <n v="0"/>
    <x v="1"/>
    <x v="21"/>
    <x v="0"/>
    <x v="6"/>
    <x v="1"/>
    <x v="0"/>
    <x v="19"/>
    <n v="0.7"/>
    <n v="0.16420000000000001"/>
    <x v="4"/>
    <x v="40"/>
    <x v="74"/>
  </r>
  <r>
    <n v="780"/>
    <x v="34"/>
    <x v="0"/>
    <n v="0"/>
    <x v="1"/>
    <x v="22"/>
    <x v="0"/>
    <x v="6"/>
    <x v="1"/>
    <x v="0"/>
    <x v="19"/>
    <n v="0.65"/>
    <n v="0.16420000000000001"/>
    <x v="5"/>
    <x v="108"/>
    <x v="66"/>
  </r>
  <r>
    <n v="781"/>
    <x v="34"/>
    <x v="0"/>
    <n v="0"/>
    <x v="1"/>
    <x v="23"/>
    <x v="0"/>
    <x v="6"/>
    <x v="1"/>
    <x v="0"/>
    <x v="19"/>
    <n v="0.7"/>
    <n v="0.1343"/>
    <x v="5"/>
    <x v="10"/>
    <x v="35"/>
  </r>
  <r>
    <n v="782"/>
    <x v="35"/>
    <x v="0"/>
    <n v="0"/>
    <x v="1"/>
    <x v="0"/>
    <x v="0"/>
    <x v="0"/>
    <x v="1"/>
    <x v="0"/>
    <x v="19"/>
    <n v="0.7"/>
    <n v="0.16420000000000001"/>
    <x v="0"/>
    <x v="49"/>
    <x v="21"/>
  </r>
  <r>
    <n v="783"/>
    <x v="35"/>
    <x v="0"/>
    <n v="0"/>
    <x v="1"/>
    <x v="1"/>
    <x v="0"/>
    <x v="0"/>
    <x v="1"/>
    <x v="0"/>
    <x v="19"/>
    <n v="0.65"/>
    <n v="0.16420000000000001"/>
    <x v="5"/>
    <x v="19"/>
    <x v="109"/>
  </r>
  <r>
    <n v="784"/>
    <x v="35"/>
    <x v="0"/>
    <n v="0"/>
    <x v="1"/>
    <x v="2"/>
    <x v="0"/>
    <x v="0"/>
    <x v="1"/>
    <x v="0"/>
    <x v="19"/>
    <n v="0.75"/>
    <n v="0.16420000000000001"/>
    <x v="2"/>
    <x v="98"/>
    <x v="22"/>
  </r>
  <r>
    <n v="785"/>
    <x v="35"/>
    <x v="0"/>
    <n v="0"/>
    <x v="1"/>
    <x v="3"/>
    <x v="0"/>
    <x v="0"/>
    <x v="1"/>
    <x v="0"/>
    <x v="19"/>
    <n v="0.75"/>
    <n v="0.16420000000000001"/>
    <x v="5"/>
    <x v="3"/>
    <x v="62"/>
  </r>
  <r>
    <n v="786"/>
    <x v="35"/>
    <x v="0"/>
    <n v="0"/>
    <x v="1"/>
    <x v="4"/>
    <x v="0"/>
    <x v="0"/>
    <x v="2"/>
    <x v="1"/>
    <x v="11"/>
    <n v="0.93"/>
    <n v="0.1343"/>
    <x v="3"/>
    <x v="21"/>
    <x v="7"/>
  </r>
  <r>
    <n v="787"/>
    <x v="35"/>
    <x v="0"/>
    <n v="0"/>
    <x v="1"/>
    <x v="5"/>
    <x v="0"/>
    <x v="0"/>
    <x v="2"/>
    <x v="2"/>
    <x v="11"/>
    <n v="1"/>
    <n v="8.9599999999999999E-2"/>
    <x v="3"/>
    <x v="33"/>
    <x v="23"/>
  </r>
  <r>
    <n v="788"/>
    <x v="35"/>
    <x v="0"/>
    <n v="0"/>
    <x v="1"/>
    <x v="6"/>
    <x v="0"/>
    <x v="0"/>
    <x v="2"/>
    <x v="2"/>
    <x v="2"/>
    <n v="1"/>
    <n v="0"/>
    <x v="3"/>
    <x v="22"/>
    <x v="48"/>
  </r>
  <r>
    <n v="789"/>
    <x v="35"/>
    <x v="0"/>
    <n v="0"/>
    <x v="1"/>
    <x v="7"/>
    <x v="0"/>
    <x v="0"/>
    <x v="2"/>
    <x v="1"/>
    <x v="2"/>
    <n v="0.93"/>
    <n v="8.9599999999999999E-2"/>
    <x v="3"/>
    <x v="22"/>
    <x v="48"/>
  </r>
  <r>
    <n v="790"/>
    <x v="35"/>
    <x v="0"/>
    <n v="0"/>
    <x v="1"/>
    <x v="8"/>
    <x v="0"/>
    <x v="0"/>
    <x v="2"/>
    <x v="2"/>
    <x v="11"/>
    <n v="1"/>
    <n v="8.9599999999999999E-2"/>
    <x v="3"/>
    <x v="3"/>
    <x v="98"/>
  </r>
  <r>
    <n v="791"/>
    <x v="35"/>
    <x v="0"/>
    <n v="0"/>
    <x v="1"/>
    <x v="9"/>
    <x v="0"/>
    <x v="0"/>
    <x v="2"/>
    <x v="2"/>
    <x v="11"/>
    <n v="1"/>
    <n v="8.9599999999999999E-2"/>
    <x v="0"/>
    <x v="19"/>
    <x v="25"/>
  </r>
  <r>
    <n v="792"/>
    <x v="35"/>
    <x v="0"/>
    <n v="0"/>
    <x v="1"/>
    <x v="10"/>
    <x v="0"/>
    <x v="0"/>
    <x v="2"/>
    <x v="2"/>
    <x v="12"/>
    <n v="1"/>
    <n v="0.1343"/>
    <x v="0"/>
    <x v="17"/>
    <x v="19"/>
  </r>
  <r>
    <n v="793"/>
    <x v="35"/>
    <x v="0"/>
    <n v="0"/>
    <x v="1"/>
    <x v="11"/>
    <x v="0"/>
    <x v="0"/>
    <x v="2"/>
    <x v="1"/>
    <x v="11"/>
    <n v="1"/>
    <n v="0.1343"/>
    <x v="5"/>
    <x v="24"/>
    <x v="105"/>
  </r>
  <r>
    <n v="794"/>
    <x v="35"/>
    <x v="0"/>
    <n v="0"/>
    <x v="1"/>
    <x v="12"/>
    <x v="0"/>
    <x v="0"/>
    <x v="2"/>
    <x v="1"/>
    <x v="11"/>
    <n v="1"/>
    <n v="0.16420000000000001"/>
    <x v="22"/>
    <x v="76"/>
    <x v="46"/>
  </r>
  <r>
    <n v="795"/>
    <x v="35"/>
    <x v="0"/>
    <n v="0"/>
    <x v="1"/>
    <x v="13"/>
    <x v="0"/>
    <x v="0"/>
    <x v="2"/>
    <x v="1"/>
    <x v="11"/>
    <n v="1"/>
    <n v="0.16420000000000001"/>
    <x v="22"/>
    <x v="133"/>
    <x v="44"/>
  </r>
  <r>
    <n v="796"/>
    <x v="35"/>
    <x v="0"/>
    <n v="0"/>
    <x v="1"/>
    <x v="14"/>
    <x v="0"/>
    <x v="0"/>
    <x v="2"/>
    <x v="1"/>
    <x v="1"/>
    <n v="1"/>
    <n v="0"/>
    <x v="2"/>
    <x v="54"/>
    <x v="97"/>
  </r>
  <r>
    <n v="797"/>
    <x v="35"/>
    <x v="0"/>
    <n v="0"/>
    <x v="1"/>
    <x v="15"/>
    <x v="0"/>
    <x v="0"/>
    <x v="2"/>
    <x v="1"/>
    <x v="1"/>
    <n v="1"/>
    <n v="0"/>
    <x v="16"/>
    <x v="47"/>
    <x v="122"/>
  </r>
  <r>
    <n v="798"/>
    <x v="35"/>
    <x v="0"/>
    <n v="0"/>
    <x v="1"/>
    <x v="16"/>
    <x v="0"/>
    <x v="0"/>
    <x v="2"/>
    <x v="1"/>
    <x v="11"/>
    <n v="1"/>
    <n v="0.1343"/>
    <x v="1"/>
    <x v="36"/>
    <x v="68"/>
  </r>
  <r>
    <n v="799"/>
    <x v="35"/>
    <x v="0"/>
    <n v="0"/>
    <x v="1"/>
    <x v="17"/>
    <x v="0"/>
    <x v="0"/>
    <x v="1"/>
    <x v="0"/>
    <x v="12"/>
    <n v="1"/>
    <n v="0.28360000000000002"/>
    <x v="24"/>
    <x v="27"/>
    <x v="53"/>
  </r>
  <r>
    <n v="800"/>
    <x v="35"/>
    <x v="0"/>
    <n v="0"/>
    <x v="1"/>
    <x v="18"/>
    <x v="0"/>
    <x v="0"/>
    <x v="1"/>
    <x v="17"/>
    <x v="19"/>
    <n v="0.93"/>
    <n v="0.44779999999999998"/>
    <x v="4"/>
    <x v="38"/>
    <x v="56"/>
  </r>
  <r>
    <n v="801"/>
    <x v="35"/>
    <x v="0"/>
    <n v="0"/>
    <x v="1"/>
    <x v="19"/>
    <x v="0"/>
    <x v="0"/>
    <x v="1"/>
    <x v="17"/>
    <x v="19"/>
    <n v="0.93"/>
    <n v="0.44779999999999998"/>
    <x v="15"/>
    <x v="78"/>
    <x v="11"/>
  </r>
  <r>
    <n v="802"/>
    <x v="35"/>
    <x v="0"/>
    <n v="0"/>
    <x v="1"/>
    <x v="20"/>
    <x v="0"/>
    <x v="0"/>
    <x v="0"/>
    <x v="11"/>
    <x v="0"/>
    <n v="0.87"/>
    <n v="0.25369999999999998"/>
    <x v="2"/>
    <x v="27"/>
    <x v="83"/>
  </r>
  <r>
    <n v="803"/>
    <x v="35"/>
    <x v="0"/>
    <n v="0"/>
    <x v="1"/>
    <x v="21"/>
    <x v="0"/>
    <x v="0"/>
    <x v="0"/>
    <x v="12"/>
    <x v="2"/>
    <n v="1"/>
    <n v="0.19400000000000001"/>
    <x v="0"/>
    <x v="42"/>
    <x v="10"/>
  </r>
  <r>
    <n v="804"/>
    <x v="35"/>
    <x v="0"/>
    <n v="0"/>
    <x v="1"/>
    <x v="22"/>
    <x v="0"/>
    <x v="0"/>
    <x v="0"/>
    <x v="12"/>
    <x v="1"/>
    <n v="0.93"/>
    <n v="0.1343"/>
    <x v="4"/>
    <x v="30"/>
    <x v="79"/>
  </r>
  <r>
    <n v="805"/>
    <x v="35"/>
    <x v="0"/>
    <n v="0"/>
    <x v="1"/>
    <x v="23"/>
    <x v="0"/>
    <x v="0"/>
    <x v="0"/>
    <x v="12"/>
    <x v="2"/>
    <n v="0.93"/>
    <n v="0.22389999999999999"/>
    <x v="18"/>
    <x v="15"/>
    <x v="29"/>
  </r>
  <r>
    <n v="806"/>
    <x v="36"/>
    <x v="0"/>
    <n v="0"/>
    <x v="1"/>
    <x v="0"/>
    <x v="0"/>
    <x v="1"/>
    <x v="0"/>
    <x v="12"/>
    <x v="2"/>
    <n v="0.7"/>
    <n v="0.19400000000000001"/>
    <x v="4"/>
    <x v="53"/>
    <x v="21"/>
  </r>
  <r>
    <n v="807"/>
    <x v="36"/>
    <x v="0"/>
    <n v="0"/>
    <x v="1"/>
    <x v="1"/>
    <x v="0"/>
    <x v="1"/>
    <x v="0"/>
    <x v="12"/>
    <x v="11"/>
    <n v="0.65"/>
    <n v="0.41789999999999999"/>
    <x v="17"/>
    <x v="71"/>
    <x v="40"/>
  </r>
  <r>
    <n v="808"/>
    <x v="36"/>
    <x v="0"/>
    <n v="0"/>
    <x v="1"/>
    <x v="2"/>
    <x v="0"/>
    <x v="1"/>
    <x v="0"/>
    <x v="12"/>
    <x v="11"/>
    <n v="0.6"/>
    <n v="0.32840000000000003"/>
    <x v="3"/>
    <x v="32"/>
    <x v="25"/>
  </r>
  <r>
    <n v="809"/>
    <x v="36"/>
    <x v="0"/>
    <n v="0"/>
    <x v="1"/>
    <x v="3"/>
    <x v="0"/>
    <x v="1"/>
    <x v="0"/>
    <x v="12"/>
    <x v="0"/>
    <n v="0.6"/>
    <n v="8.9599999999999999E-2"/>
    <x v="0"/>
    <x v="3"/>
    <x v="3"/>
  </r>
  <r>
    <n v="810"/>
    <x v="36"/>
    <x v="0"/>
    <n v="0"/>
    <x v="1"/>
    <x v="4"/>
    <x v="0"/>
    <x v="1"/>
    <x v="0"/>
    <x v="12"/>
    <x v="11"/>
    <n v="0.6"/>
    <n v="0.35820000000000002"/>
    <x v="3"/>
    <x v="6"/>
    <x v="5"/>
  </r>
  <r>
    <n v="811"/>
    <x v="36"/>
    <x v="0"/>
    <n v="0"/>
    <x v="1"/>
    <x v="5"/>
    <x v="0"/>
    <x v="1"/>
    <x v="0"/>
    <x v="12"/>
    <x v="2"/>
    <n v="0.6"/>
    <n v="0.22389999999999999"/>
    <x v="3"/>
    <x v="4"/>
    <x v="4"/>
  </r>
  <r>
    <n v="812"/>
    <x v="36"/>
    <x v="0"/>
    <n v="0"/>
    <x v="1"/>
    <x v="6"/>
    <x v="0"/>
    <x v="1"/>
    <x v="0"/>
    <x v="12"/>
    <x v="2"/>
    <n v="0.6"/>
    <n v="0.22389999999999999"/>
    <x v="3"/>
    <x v="4"/>
    <x v="4"/>
  </r>
  <r>
    <n v="813"/>
    <x v="36"/>
    <x v="0"/>
    <n v="0"/>
    <x v="1"/>
    <x v="7"/>
    <x v="0"/>
    <x v="1"/>
    <x v="0"/>
    <x v="0"/>
    <x v="19"/>
    <n v="0.65"/>
    <n v="0.16420000000000001"/>
    <x v="3"/>
    <x v="21"/>
    <x v="7"/>
  </r>
  <r>
    <n v="814"/>
    <x v="36"/>
    <x v="0"/>
    <n v="0"/>
    <x v="1"/>
    <x v="8"/>
    <x v="0"/>
    <x v="1"/>
    <x v="0"/>
    <x v="0"/>
    <x v="2"/>
    <n v="0.65"/>
    <n v="0.1045"/>
    <x v="4"/>
    <x v="144"/>
    <x v="84"/>
  </r>
  <r>
    <n v="815"/>
    <x v="36"/>
    <x v="0"/>
    <n v="0"/>
    <x v="1"/>
    <x v="9"/>
    <x v="0"/>
    <x v="1"/>
    <x v="0"/>
    <x v="17"/>
    <x v="0"/>
    <n v="0.56000000000000005"/>
    <n v="0.1045"/>
    <x v="18"/>
    <x v="101"/>
    <x v="79"/>
  </r>
  <r>
    <n v="816"/>
    <x v="36"/>
    <x v="0"/>
    <n v="0"/>
    <x v="1"/>
    <x v="10"/>
    <x v="0"/>
    <x v="1"/>
    <x v="0"/>
    <x v="11"/>
    <x v="0"/>
    <n v="0.52"/>
    <n v="0.25369999999999998"/>
    <x v="13"/>
    <x v="64"/>
    <x v="70"/>
  </r>
  <r>
    <n v="817"/>
    <x v="36"/>
    <x v="0"/>
    <n v="0"/>
    <x v="1"/>
    <x v="11"/>
    <x v="0"/>
    <x v="1"/>
    <x v="0"/>
    <x v="3"/>
    <x v="25"/>
    <n v="0.49"/>
    <n v="0.25369999999999998"/>
    <x v="32"/>
    <x v="121"/>
    <x v="126"/>
  </r>
  <r>
    <n v="818"/>
    <x v="36"/>
    <x v="0"/>
    <n v="0"/>
    <x v="1"/>
    <x v="12"/>
    <x v="0"/>
    <x v="1"/>
    <x v="0"/>
    <x v="10"/>
    <x v="6"/>
    <n v="0.46"/>
    <n v="0"/>
    <x v="33"/>
    <x v="167"/>
    <x v="177"/>
  </r>
  <r>
    <n v="819"/>
    <x v="36"/>
    <x v="0"/>
    <n v="0"/>
    <x v="1"/>
    <x v="13"/>
    <x v="0"/>
    <x v="1"/>
    <x v="0"/>
    <x v="10"/>
    <x v="29"/>
    <n v="0.46"/>
    <n v="0"/>
    <x v="9"/>
    <x v="113"/>
    <x v="58"/>
  </r>
  <r>
    <n v="820"/>
    <x v="36"/>
    <x v="0"/>
    <n v="0"/>
    <x v="1"/>
    <x v="14"/>
    <x v="0"/>
    <x v="1"/>
    <x v="0"/>
    <x v="10"/>
    <x v="4"/>
    <n v="0.46"/>
    <n v="8.9599999999999999E-2"/>
    <x v="9"/>
    <x v="156"/>
    <x v="143"/>
  </r>
  <r>
    <n v="821"/>
    <x v="36"/>
    <x v="0"/>
    <n v="0"/>
    <x v="1"/>
    <x v="15"/>
    <x v="0"/>
    <x v="1"/>
    <x v="0"/>
    <x v="10"/>
    <x v="4"/>
    <n v="0.46"/>
    <n v="8.9599999999999999E-2"/>
    <x v="34"/>
    <x v="110"/>
    <x v="58"/>
  </r>
  <r>
    <n v="822"/>
    <x v="36"/>
    <x v="0"/>
    <n v="0"/>
    <x v="1"/>
    <x v="16"/>
    <x v="0"/>
    <x v="1"/>
    <x v="0"/>
    <x v="10"/>
    <x v="4"/>
    <n v="0.49"/>
    <n v="0.1045"/>
    <x v="35"/>
    <x v="168"/>
    <x v="45"/>
  </r>
  <r>
    <n v="823"/>
    <x v="36"/>
    <x v="0"/>
    <n v="0"/>
    <x v="1"/>
    <x v="17"/>
    <x v="0"/>
    <x v="1"/>
    <x v="0"/>
    <x v="10"/>
    <x v="29"/>
    <n v="0.46"/>
    <n v="0"/>
    <x v="31"/>
    <x v="106"/>
    <x v="178"/>
  </r>
  <r>
    <n v="824"/>
    <x v="36"/>
    <x v="0"/>
    <n v="0"/>
    <x v="1"/>
    <x v="18"/>
    <x v="0"/>
    <x v="1"/>
    <x v="0"/>
    <x v="11"/>
    <x v="25"/>
    <n v="0.56000000000000005"/>
    <n v="0.16420000000000001"/>
    <x v="23"/>
    <x v="65"/>
    <x v="53"/>
  </r>
  <r>
    <n v="825"/>
    <x v="36"/>
    <x v="0"/>
    <n v="0"/>
    <x v="1"/>
    <x v="19"/>
    <x v="0"/>
    <x v="1"/>
    <x v="0"/>
    <x v="17"/>
    <x v="0"/>
    <n v="0.61"/>
    <n v="0.1343"/>
    <x v="5"/>
    <x v="32"/>
    <x v="137"/>
  </r>
  <r>
    <n v="826"/>
    <x v="36"/>
    <x v="0"/>
    <n v="0"/>
    <x v="1"/>
    <x v="20"/>
    <x v="0"/>
    <x v="1"/>
    <x v="0"/>
    <x v="17"/>
    <x v="0"/>
    <n v="0.61"/>
    <n v="0.1045"/>
    <x v="2"/>
    <x v="144"/>
    <x v="132"/>
  </r>
  <r>
    <n v="827"/>
    <x v="36"/>
    <x v="0"/>
    <n v="0"/>
    <x v="1"/>
    <x v="21"/>
    <x v="0"/>
    <x v="1"/>
    <x v="0"/>
    <x v="12"/>
    <x v="25"/>
    <n v="0.6"/>
    <n v="0"/>
    <x v="2"/>
    <x v="97"/>
    <x v="110"/>
  </r>
  <r>
    <n v="828"/>
    <x v="36"/>
    <x v="0"/>
    <n v="0"/>
    <x v="1"/>
    <x v="22"/>
    <x v="0"/>
    <x v="1"/>
    <x v="0"/>
    <x v="12"/>
    <x v="25"/>
    <n v="0.6"/>
    <n v="0"/>
    <x v="2"/>
    <x v="77"/>
    <x v="69"/>
  </r>
  <r>
    <n v="829"/>
    <x v="36"/>
    <x v="0"/>
    <n v="0"/>
    <x v="1"/>
    <x v="23"/>
    <x v="0"/>
    <x v="1"/>
    <x v="0"/>
    <x v="0"/>
    <x v="0"/>
    <n v="0.65"/>
    <n v="0"/>
    <x v="17"/>
    <x v="16"/>
    <x v="33"/>
  </r>
  <r>
    <n v="830"/>
    <x v="37"/>
    <x v="0"/>
    <n v="0"/>
    <x v="1"/>
    <x v="0"/>
    <x v="0"/>
    <x v="2"/>
    <x v="0"/>
    <x v="0"/>
    <x v="0"/>
    <n v="0.65"/>
    <n v="0"/>
    <x v="5"/>
    <x v="88"/>
    <x v="93"/>
  </r>
  <r>
    <n v="831"/>
    <x v="37"/>
    <x v="0"/>
    <n v="0"/>
    <x v="1"/>
    <x v="1"/>
    <x v="0"/>
    <x v="2"/>
    <x v="0"/>
    <x v="1"/>
    <x v="1"/>
    <n v="0.75"/>
    <n v="0"/>
    <x v="5"/>
    <x v="22"/>
    <x v="36"/>
  </r>
  <r>
    <n v="832"/>
    <x v="37"/>
    <x v="0"/>
    <n v="0"/>
    <x v="1"/>
    <x v="2"/>
    <x v="0"/>
    <x v="2"/>
    <x v="0"/>
    <x v="2"/>
    <x v="2"/>
    <n v="0.8"/>
    <n v="0"/>
    <x v="3"/>
    <x v="35"/>
    <x v="6"/>
  </r>
  <r>
    <n v="833"/>
    <x v="37"/>
    <x v="0"/>
    <n v="0"/>
    <x v="1"/>
    <x v="3"/>
    <x v="0"/>
    <x v="2"/>
    <x v="0"/>
    <x v="2"/>
    <x v="2"/>
    <n v="0.86"/>
    <n v="0"/>
    <x v="3"/>
    <x v="4"/>
    <x v="4"/>
  </r>
  <r>
    <n v="834"/>
    <x v="37"/>
    <x v="0"/>
    <n v="0"/>
    <x v="1"/>
    <x v="4"/>
    <x v="0"/>
    <x v="2"/>
    <x v="0"/>
    <x v="2"/>
    <x v="2"/>
    <n v="0.86"/>
    <n v="0"/>
    <x v="5"/>
    <x v="4"/>
    <x v="5"/>
  </r>
  <r>
    <n v="835"/>
    <x v="37"/>
    <x v="0"/>
    <n v="0"/>
    <x v="1"/>
    <x v="5"/>
    <x v="0"/>
    <x v="2"/>
    <x v="0"/>
    <x v="2"/>
    <x v="2"/>
    <n v="0.86"/>
    <n v="0"/>
    <x v="5"/>
    <x v="33"/>
    <x v="98"/>
  </r>
  <r>
    <n v="836"/>
    <x v="37"/>
    <x v="0"/>
    <n v="0"/>
    <x v="1"/>
    <x v="6"/>
    <x v="0"/>
    <x v="2"/>
    <x v="0"/>
    <x v="15"/>
    <x v="19"/>
    <n v="0.93"/>
    <n v="0"/>
    <x v="5"/>
    <x v="31"/>
    <x v="33"/>
  </r>
  <r>
    <n v="837"/>
    <x v="37"/>
    <x v="0"/>
    <n v="0"/>
    <x v="1"/>
    <x v="7"/>
    <x v="0"/>
    <x v="2"/>
    <x v="0"/>
    <x v="15"/>
    <x v="19"/>
    <n v="0.86"/>
    <n v="0"/>
    <x v="15"/>
    <x v="121"/>
    <x v="76"/>
  </r>
  <r>
    <n v="838"/>
    <x v="37"/>
    <x v="0"/>
    <n v="0"/>
    <x v="1"/>
    <x v="8"/>
    <x v="0"/>
    <x v="2"/>
    <x v="1"/>
    <x v="13"/>
    <x v="11"/>
    <n v="1"/>
    <n v="0"/>
    <x v="18"/>
    <x v="169"/>
    <x v="179"/>
  </r>
  <r>
    <n v="839"/>
    <x v="37"/>
    <x v="0"/>
    <n v="0"/>
    <x v="1"/>
    <x v="9"/>
    <x v="0"/>
    <x v="2"/>
    <x v="0"/>
    <x v="1"/>
    <x v="1"/>
    <n v="0.8"/>
    <n v="0"/>
    <x v="0"/>
    <x v="168"/>
    <x v="130"/>
  </r>
  <r>
    <n v="840"/>
    <x v="37"/>
    <x v="0"/>
    <n v="0"/>
    <x v="1"/>
    <x v="10"/>
    <x v="0"/>
    <x v="2"/>
    <x v="0"/>
    <x v="0"/>
    <x v="2"/>
    <n v="0.75"/>
    <n v="0.1045"/>
    <x v="15"/>
    <x v="47"/>
    <x v="97"/>
  </r>
  <r>
    <n v="841"/>
    <x v="37"/>
    <x v="0"/>
    <n v="0"/>
    <x v="1"/>
    <x v="11"/>
    <x v="0"/>
    <x v="2"/>
    <x v="0"/>
    <x v="11"/>
    <x v="21"/>
    <n v="0.65"/>
    <n v="8.9599999999999999E-2"/>
    <x v="16"/>
    <x v="49"/>
    <x v="105"/>
  </r>
  <r>
    <n v="842"/>
    <x v="37"/>
    <x v="0"/>
    <n v="0"/>
    <x v="1"/>
    <x v="12"/>
    <x v="0"/>
    <x v="2"/>
    <x v="1"/>
    <x v="3"/>
    <x v="4"/>
    <n v="0.62"/>
    <n v="0"/>
    <x v="18"/>
    <x v="79"/>
    <x v="180"/>
  </r>
  <r>
    <n v="843"/>
    <x v="37"/>
    <x v="0"/>
    <n v="0"/>
    <x v="1"/>
    <x v="13"/>
    <x v="0"/>
    <x v="2"/>
    <x v="1"/>
    <x v="5"/>
    <x v="29"/>
    <n v="0.56999999999999995"/>
    <n v="8.9599999999999999E-2"/>
    <x v="22"/>
    <x v="25"/>
    <x v="37"/>
  </r>
  <r>
    <n v="844"/>
    <x v="37"/>
    <x v="0"/>
    <n v="0"/>
    <x v="1"/>
    <x v="14"/>
    <x v="0"/>
    <x v="2"/>
    <x v="1"/>
    <x v="5"/>
    <x v="29"/>
    <n v="0.56999999999999995"/>
    <n v="8.9599999999999999E-2"/>
    <x v="1"/>
    <x v="15"/>
    <x v="122"/>
  </r>
  <r>
    <n v="845"/>
    <x v="37"/>
    <x v="0"/>
    <n v="0"/>
    <x v="1"/>
    <x v="15"/>
    <x v="0"/>
    <x v="2"/>
    <x v="1"/>
    <x v="4"/>
    <x v="5"/>
    <n v="0.54"/>
    <n v="8.9599999999999999E-2"/>
    <x v="17"/>
    <x v="24"/>
    <x v="89"/>
  </r>
  <r>
    <n v="846"/>
    <x v="37"/>
    <x v="0"/>
    <n v="0"/>
    <x v="1"/>
    <x v="16"/>
    <x v="0"/>
    <x v="2"/>
    <x v="1"/>
    <x v="5"/>
    <x v="4"/>
    <n v="0.56999999999999995"/>
    <n v="0.1343"/>
    <x v="19"/>
    <x v="52"/>
    <x v="181"/>
  </r>
  <r>
    <n v="847"/>
    <x v="37"/>
    <x v="0"/>
    <n v="0"/>
    <x v="1"/>
    <x v="17"/>
    <x v="0"/>
    <x v="2"/>
    <x v="1"/>
    <x v="3"/>
    <x v="21"/>
    <n v="0.7"/>
    <n v="0.16420000000000001"/>
    <x v="14"/>
    <x v="134"/>
    <x v="182"/>
  </r>
  <r>
    <n v="848"/>
    <x v="37"/>
    <x v="0"/>
    <n v="0"/>
    <x v="1"/>
    <x v="18"/>
    <x v="0"/>
    <x v="2"/>
    <x v="1"/>
    <x v="10"/>
    <x v="6"/>
    <n v="0.66"/>
    <n v="0.1343"/>
    <x v="2"/>
    <x v="162"/>
    <x v="172"/>
  </r>
  <r>
    <n v="849"/>
    <x v="37"/>
    <x v="0"/>
    <n v="0"/>
    <x v="1"/>
    <x v="19"/>
    <x v="0"/>
    <x v="2"/>
    <x v="1"/>
    <x v="3"/>
    <x v="4"/>
    <n v="0.7"/>
    <n v="0"/>
    <x v="2"/>
    <x v="170"/>
    <x v="116"/>
  </r>
  <r>
    <n v="850"/>
    <x v="37"/>
    <x v="0"/>
    <n v="0"/>
    <x v="1"/>
    <x v="20"/>
    <x v="0"/>
    <x v="2"/>
    <x v="1"/>
    <x v="3"/>
    <x v="6"/>
    <n v="0.7"/>
    <n v="0.1045"/>
    <x v="15"/>
    <x v="70"/>
    <x v="39"/>
  </r>
  <r>
    <n v="851"/>
    <x v="37"/>
    <x v="0"/>
    <n v="0"/>
    <x v="1"/>
    <x v="21"/>
    <x v="0"/>
    <x v="2"/>
    <x v="0"/>
    <x v="3"/>
    <x v="4"/>
    <n v="0.7"/>
    <n v="0"/>
    <x v="0"/>
    <x v="102"/>
    <x v="53"/>
  </r>
  <r>
    <n v="852"/>
    <x v="37"/>
    <x v="0"/>
    <n v="0"/>
    <x v="1"/>
    <x v="22"/>
    <x v="0"/>
    <x v="2"/>
    <x v="0"/>
    <x v="17"/>
    <x v="25"/>
    <n v="0.81"/>
    <n v="8.9599999999999999E-2"/>
    <x v="0"/>
    <x v="60"/>
    <x v="18"/>
  </r>
  <r>
    <n v="853"/>
    <x v="37"/>
    <x v="0"/>
    <n v="0"/>
    <x v="1"/>
    <x v="23"/>
    <x v="0"/>
    <x v="2"/>
    <x v="1"/>
    <x v="11"/>
    <x v="6"/>
    <n v="0.81"/>
    <n v="0"/>
    <x v="15"/>
    <x v="23"/>
    <x v="94"/>
  </r>
  <r>
    <n v="854"/>
    <x v="38"/>
    <x v="0"/>
    <n v="0"/>
    <x v="1"/>
    <x v="0"/>
    <x v="0"/>
    <x v="3"/>
    <x v="1"/>
    <x v="17"/>
    <x v="21"/>
    <n v="0.87"/>
    <n v="0"/>
    <x v="17"/>
    <x v="8"/>
    <x v="98"/>
  </r>
  <r>
    <n v="855"/>
    <x v="38"/>
    <x v="0"/>
    <n v="0"/>
    <x v="1"/>
    <x v="1"/>
    <x v="0"/>
    <x v="3"/>
    <x v="1"/>
    <x v="17"/>
    <x v="21"/>
    <n v="0.87"/>
    <n v="0"/>
    <x v="3"/>
    <x v="22"/>
    <x v="48"/>
  </r>
  <r>
    <n v="856"/>
    <x v="38"/>
    <x v="0"/>
    <n v="0"/>
    <x v="1"/>
    <x v="2"/>
    <x v="0"/>
    <x v="3"/>
    <x v="1"/>
    <x v="12"/>
    <x v="1"/>
    <n v="0.93"/>
    <n v="0.1045"/>
    <x v="5"/>
    <x v="4"/>
    <x v="5"/>
  </r>
  <r>
    <n v="857"/>
    <x v="38"/>
    <x v="0"/>
    <n v="0"/>
    <x v="1"/>
    <x v="3"/>
    <x v="0"/>
    <x v="3"/>
    <x v="2"/>
    <x v="17"/>
    <x v="1"/>
    <n v="0.93"/>
    <n v="0.16420000000000001"/>
    <x v="3"/>
    <x v="4"/>
    <x v="4"/>
  </r>
  <r>
    <n v="858"/>
    <x v="38"/>
    <x v="0"/>
    <n v="0"/>
    <x v="1"/>
    <x v="4"/>
    <x v="0"/>
    <x v="3"/>
    <x v="0"/>
    <x v="12"/>
    <x v="2"/>
    <n v="0.93"/>
    <n v="0.16420000000000001"/>
    <x v="3"/>
    <x v="35"/>
    <x v="6"/>
  </r>
  <r>
    <n v="859"/>
    <x v="38"/>
    <x v="0"/>
    <n v="0"/>
    <x v="1"/>
    <x v="5"/>
    <x v="0"/>
    <x v="3"/>
    <x v="0"/>
    <x v="12"/>
    <x v="11"/>
    <n v="0.81"/>
    <n v="0.32840000000000003"/>
    <x v="3"/>
    <x v="6"/>
    <x v="5"/>
  </r>
  <r>
    <n v="860"/>
    <x v="38"/>
    <x v="0"/>
    <n v="0"/>
    <x v="1"/>
    <x v="6"/>
    <x v="0"/>
    <x v="3"/>
    <x v="0"/>
    <x v="12"/>
    <x v="11"/>
    <n v="0.7"/>
    <n v="0.32840000000000003"/>
    <x v="3"/>
    <x v="87"/>
    <x v="21"/>
  </r>
  <r>
    <n v="861"/>
    <x v="38"/>
    <x v="0"/>
    <n v="0"/>
    <x v="1"/>
    <x v="7"/>
    <x v="0"/>
    <x v="3"/>
    <x v="0"/>
    <x v="0"/>
    <x v="13"/>
    <n v="0.65"/>
    <n v="0.41789999999999999"/>
    <x v="0"/>
    <x v="106"/>
    <x v="50"/>
  </r>
  <r>
    <n v="862"/>
    <x v="38"/>
    <x v="0"/>
    <n v="0"/>
    <x v="1"/>
    <x v="8"/>
    <x v="0"/>
    <x v="3"/>
    <x v="0"/>
    <x v="0"/>
    <x v="13"/>
    <n v="0.56000000000000005"/>
    <n v="0.49249999999999999"/>
    <x v="18"/>
    <x v="171"/>
    <x v="183"/>
  </r>
  <r>
    <n v="863"/>
    <x v="38"/>
    <x v="0"/>
    <n v="0"/>
    <x v="1"/>
    <x v="9"/>
    <x v="0"/>
    <x v="3"/>
    <x v="0"/>
    <x v="0"/>
    <x v="13"/>
    <n v="0.52"/>
    <n v="0.49249999999999999"/>
    <x v="18"/>
    <x v="172"/>
    <x v="169"/>
  </r>
  <r>
    <n v="864"/>
    <x v="38"/>
    <x v="0"/>
    <n v="0"/>
    <x v="1"/>
    <x v="10"/>
    <x v="0"/>
    <x v="3"/>
    <x v="0"/>
    <x v="1"/>
    <x v="18"/>
    <n v="0.47"/>
    <n v="0.55220000000000002"/>
    <x v="17"/>
    <x v="100"/>
    <x v="61"/>
  </r>
  <r>
    <n v="865"/>
    <x v="38"/>
    <x v="0"/>
    <n v="0"/>
    <x v="1"/>
    <x v="11"/>
    <x v="0"/>
    <x v="3"/>
    <x v="0"/>
    <x v="1"/>
    <x v="18"/>
    <n v="0.47"/>
    <n v="0.4627"/>
    <x v="5"/>
    <x v="47"/>
    <x v="89"/>
  </r>
  <r>
    <n v="866"/>
    <x v="38"/>
    <x v="0"/>
    <n v="0"/>
    <x v="1"/>
    <x v="12"/>
    <x v="0"/>
    <x v="3"/>
    <x v="0"/>
    <x v="0"/>
    <x v="13"/>
    <n v="0.38"/>
    <n v="0.49249999999999999"/>
    <x v="4"/>
    <x v="36"/>
    <x v="32"/>
  </r>
  <r>
    <n v="867"/>
    <x v="38"/>
    <x v="0"/>
    <n v="0"/>
    <x v="1"/>
    <x v="13"/>
    <x v="0"/>
    <x v="3"/>
    <x v="1"/>
    <x v="0"/>
    <x v="13"/>
    <n v="0.32"/>
    <n v="0.44779999999999998"/>
    <x v="4"/>
    <x v="41"/>
    <x v="89"/>
  </r>
  <r>
    <n v="868"/>
    <x v="38"/>
    <x v="0"/>
    <n v="0"/>
    <x v="1"/>
    <x v="14"/>
    <x v="0"/>
    <x v="3"/>
    <x v="0"/>
    <x v="1"/>
    <x v="13"/>
    <n v="0.37"/>
    <n v="0.41789999999999999"/>
    <x v="0"/>
    <x v="124"/>
    <x v="37"/>
  </r>
  <r>
    <n v="869"/>
    <x v="38"/>
    <x v="0"/>
    <n v="0"/>
    <x v="1"/>
    <x v="15"/>
    <x v="0"/>
    <x v="3"/>
    <x v="0"/>
    <x v="1"/>
    <x v="13"/>
    <n v="0.35"/>
    <n v="0.3881"/>
    <x v="15"/>
    <x v="108"/>
    <x v="41"/>
  </r>
  <r>
    <n v="870"/>
    <x v="38"/>
    <x v="0"/>
    <n v="0"/>
    <x v="1"/>
    <x v="16"/>
    <x v="0"/>
    <x v="3"/>
    <x v="0"/>
    <x v="1"/>
    <x v="18"/>
    <n v="0.35"/>
    <n v="0.52239999999999998"/>
    <x v="17"/>
    <x v="55"/>
    <x v="56"/>
  </r>
  <r>
    <n v="871"/>
    <x v="38"/>
    <x v="0"/>
    <n v="0"/>
    <x v="1"/>
    <x v="17"/>
    <x v="0"/>
    <x v="3"/>
    <x v="0"/>
    <x v="1"/>
    <x v="18"/>
    <n v="0.32"/>
    <n v="0.58209999999999995"/>
    <x v="17"/>
    <x v="157"/>
    <x v="170"/>
  </r>
  <r>
    <n v="872"/>
    <x v="38"/>
    <x v="0"/>
    <n v="0"/>
    <x v="1"/>
    <x v="18"/>
    <x v="0"/>
    <x v="3"/>
    <x v="0"/>
    <x v="2"/>
    <x v="18"/>
    <n v="0.32"/>
    <n v="0.3881"/>
    <x v="5"/>
    <x v="137"/>
    <x v="148"/>
  </r>
  <r>
    <n v="873"/>
    <x v="38"/>
    <x v="0"/>
    <n v="0"/>
    <x v="1"/>
    <x v="19"/>
    <x v="0"/>
    <x v="3"/>
    <x v="0"/>
    <x v="13"/>
    <x v="16"/>
    <n v="0.4"/>
    <n v="0.4627"/>
    <x v="5"/>
    <x v="129"/>
    <x v="129"/>
  </r>
  <r>
    <n v="874"/>
    <x v="38"/>
    <x v="0"/>
    <n v="0"/>
    <x v="1"/>
    <x v="20"/>
    <x v="0"/>
    <x v="3"/>
    <x v="0"/>
    <x v="13"/>
    <x v="14"/>
    <n v="0.4"/>
    <n v="0.32840000000000003"/>
    <x v="0"/>
    <x v="42"/>
    <x v="10"/>
  </r>
  <r>
    <n v="875"/>
    <x v="38"/>
    <x v="0"/>
    <n v="0"/>
    <x v="1"/>
    <x v="21"/>
    <x v="0"/>
    <x v="3"/>
    <x v="0"/>
    <x v="14"/>
    <x v="15"/>
    <n v="0.33"/>
    <n v="0.4627"/>
    <x v="1"/>
    <x v="24"/>
    <x v="60"/>
  </r>
  <r>
    <n v="876"/>
    <x v="38"/>
    <x v="0"/>
    <n v="0"/>
    <x v="1"/>
    <x v="22"/>
    <x v="0"/>
    <x v="3"/>
    <x v="0"/>
    <x v="16"/>
    <x v="15"/>
    <n v="0.33"/>
    <n v="0.35820000000000002"/>
    <x v="3"/>
    <x v="31"/>
    <x v="115"/>
  </r>
  <r>
    <n v="877"/>
    <x v="38"/>
    <x v="0"/>
    <n v="0"/>
    <x v="1"/>
    <x v="23"/>
    <x v="0"/>
    <x v="3"/>
    <x v="0"/>
    <x v="16"/>
    <x v="15"/>
    <n v="0.33"/>
    <n v="0.32840000000000003"/>
    <x v="0"/>
    <x v="33"/>
    <x v="47"/>
  </r>
  <r>
    <n v="878"/>
    <x v="39"/>
    <x v="0"/>
    <n v="0"/>
    <x v="1"/>
    <x v="0"/>
    <x v="0"/>
    <x v="4"/>
    <x v="0"/>
    <x v="18"/>
    <x v="23"/>
    <n v="0.36"/>
    <n v="0.35820000000000002"/>
    <x v="3"/>
    <x v="19"/>
    <x v="22"/>
  </r>
  <r>
    <n v="879"/>
    <x v="39"/>
    <x v="0"/>
    <n v="0"/>
    <x v="1"/>
    <x v="1"/>
    <x v="0"/>
    <x v="4"/>
    <x v="0"/>
    <x v="18"/>
    <x v="15"/>
    <n v="0.36"/>
    <n v="0.22389999999999999"/>
    <x v="3"/>
    <x v="7"/>
    <x v="85"/>
  </r>
  <r>
    <n v="880"/>
    <x v="39"/>
    <x v="0"/>
    <n v="0"/>
    <x v="1"/>
    <x v="2"/>
    <x v="0"/>
    <x v="4"/>
    <x v="0"/>
    <x v="19"/>
    <x v="23"/>
    <n v="0.38"/>
    <n v="0.28360000000000002"/>
    <x v="5"/>
    <x v="6"/>
    <x v="6"/>
  </r>
  <r>
    <n v="881"/>
    <x v="39"/>
    <x v="0"/>
    <n v="0"/>
    <x v="1"/>
    <x v="3"/>
    <x v="0"/>
    <x v="4"/>
    <x v="0"/>
    <x v="20"/>
    <x v="23"/>
    <n v="0.45"/>
    <n v="0.1343"/>
    <x v="3"/>
    <x v="6"/>
    <x v="5"/>
  </r>
  <r>
    <n v="882"/>
    <x v="39"/>
    <x v="0"/>
    <n v="0"/>
    <x v="1"/>
    <x v="5"/>
    <x v="0"/>
    <x v="4"/>
    <x v="0"/>
    <x v="20"/>
    <x v="15"/>
    <n v="0.45"/>
    <n v="0.1045"/>
    <x v="3"/>
    <x v="7"/>
    <x v="85"/>
  </r>
  <r>
    <n v="883"/>
    <x v="39"/>
    <x v="0"/>
    <n v="0"/>
    <x v="1"/>
    <x v="6"/>
    <x v="0"/>
    <x v="4"/>
    <x v="0"/>
    <x v="20"/>
    <x v="20"/>
    <n v="0.45"/>
    <n v="0"/>
    <x v="3"/>
    <x v="30"/>
    <x v="74"/>
  </r>
  <r>
    <n v="884"/>
    <x v="39"/>
    <x v="0"/>
    <n v="0"/>
    <x v="1"/>
    <x v="7"/>
    <x v="0"/>
    <x v="4"/>
    <x v="0"/>
    <x v="20"/>
    <x v="15"/>
    <n v="0.49"/>
    <n v="0.1045"/>
    <x v="17"/>
    <x v="73"/>
    <x v="111"/>
  </r>
  <r>
    <n v="885"/>
    <x v="39"/>
    <x v="0"/>
    <n v="0"/>
    <x v="1"/>
    <x v="8"/>
    <x v="0"/>
    <x v="4"/>
    <x v="0"/>
    <x v="18"/>
    <x v="14"/>
    <n v="0.42"/>
    <n v="0"/>
    <x v="5"/>
    <x v="173"/>
    <x v="184"/>
  </r>
  <r>
    <n v="886"/>
    <x v="39"/>
    <x v="0"/>
    <n v="0"/>
    <x v="1"/>
    <x v="9"/>
    <x v="0"/>
    <x v="4"/>
    <x v="0"/>
    <x v="16"/>
    <x v="14"/>
    <n v="0.39"/>
    <n v="0.16420000000000001"/>
    <x v="17"/>
    <x v="138"/>
    <x v="92"/>
  </r>
  <r>
    <n v="887"/>
    <x v="39"/>
    <x v="0"/>
    <n v="0"/>
    <x v="1"/>
    <x v="10"/>
    <x v="0"/>
    <x v="4"/>
    <x v="0"/>
    <x v="14"/>
    <x v="18"/>
    <n v="0.36"/>
    <n v="0"/>
    <x v="1"/>
    <x v="82"/>
    <x v="29"/>
  </r>
  <r>
    <n v="888"/>
    <x v="39"/>
    <x v="0"/>
    <n v="0"/>
    <x v="1"/>
    <x v="11"/>
    <x v="0"/>
    <x v="4"/>
    <x v="1"/>
    <x v="14"/>
    <x v="20"/>
    <n v="0.43"/>
    <n v="0.16420000000000001"/>
    <x v="5"/>
    <x v="71"/>
    <x v="102"/>
  </r>
  <r>
    <n v="889"/>
    <x v="39"/>
    <x v="0"/>
    <n v="0"/>
    <x v="1"/>
    <x v="12"/>
    <x v="0"/>
    <x v="4"/>
    <x v="1"/>
    <x v="15"/>
    <x v="18"/>
    <n v="0.4"/>
    <n v="0.22389999999999999"/>
    <x v="17"/>
    <x v="77"/>
    <x v="42"/>
  </r>
  <r>
    <n v="890"/>
    <x v="39"/>
    <x v="0"/>
    <n v="0"/>
    <x v="1"/>
    <x v="13"/>
    <x v="0"/>
    <x v="4"/>
    <x v="0"/>
    <x v="15"/>
    <x v="17"/>
    <n v="0.4"/>
    <n v="0.25369999999999998"/>
    <x v="4"/>
    <x v="28"/>
    <x v="83"/>
  </r>
  <r>
    <n v="891"/>
    <x v="39"/>
    <x v="0"/>
    <n v="0"/>
    <x v="1"/>
    <x v="14"/>
    <x v="0"/>
    <x v="4"/>
    <x v="0"/>
    <x v="2"/>
    <x v="18"/>
    <n v="0.34"/>
    <n v="0.29849999999999999"/>
    <x v="4"/>
    <x v="90"/>
    <x v="154"/>
  </r>
  <r>
    <n v="892"/>
    <x v="39"/>
    <x v="0"/>
    <n v="0"/>
    <x v="1"/>
    <x v="15"/>
    <x v="0"/>
    <x v="4"/>
    <x v="1"/>
    <x v="2"/>
    <x v="18"/>
    <n v="0.34"/>
    <n v="0.28360000000000002"/>
    <x v="0"/>
    <x v="124"/>
    <x v="37"/>
  </r>
  <r>
    <n v="893"/>
    <x v="39"/>
    <x v="0"/>
    <n v="0"/>
    <x v="1"/>
    <x v="16"/>
    <x v="0"/>
    <x v="4"/>
    <x v="1"/>
    <x v="2"/>
    <x v="13"/>
    <n v="0.37"/>
    <n v="0.25369999999999998"/>
    <x v="18"/>
    <x v="109"/>
    <x v="67"/>
  </r>
  <r>
    <n v="894"/>
    <x v="39"/>
    <x v="0"/>
    <n v="0"/>
    <x v="1"/>
    <x v="17"/>
    <x v="0"/>
    <x v="4"/>
    <x v="1"/>
    <x v="2"/>
    <x v="13"/>
    <n v="0.34"/>
    <n v="0.25369999999999998"/>
    <x v="14"/>
    <x v="174"/>
    <x v="150"/>
  </r>
  <r>
    <n v="895"/>
    <x v="39"/>
    <x v="0"/>
    <n v="0"/>
    <x v="1"/>
    <x v="18"/>
    <x v="0"/>
    <x v="4"/>
    <x v="1"/>
    <x v="15"/>
    <x v="17"/>
    <n v="0.47"/>
    <n v="0.29849999999999999"/>
    <x v="4"/>
    <x v="175"/>
    <x v="185"/>
  </r>
  <r>
    <n v="896"/>
    <x v="39"/>
    <x v="0"/>
    <n v="0"/>
    <x v="1"/>
    <x v="19"/>
    <x v="0"/>
    <x v="4"/>
    <x v="2"/>
    <x v="14"/>
    <x v="16"/>
    <n v="0.86"/>
    <n v="0.25369999999999998"/>
    <x v="5"/>
    <x v="61"/>
    <x v="39"/>
  </r>
  <r>
    <n v="897"/>
    <x v="39"/>
    <x v="0"/>
    <n v="0"/>
    <x v="1"/>
    <x v="20"/>
    <x v="0"/>
    <x v="4"/>
    <x v="2"/>
    <x v="14"/>
    <x v="20"/>
    <n v="0.86"/>
    <n v="0.16420000000000001"/>
    <x v="3"/>
    <x v="151"/>
    <x v="11"/>
  </r>
  <r>
    <n v="898"/>
    <x v="39"/>
    <x v="0"/>
    <n v="0"/>
    <x v="1"/>
    <x v="21"/>
    <x v="0"/>
    <x v="4"/>
    <x v="1"/>
    <x v="14"/>
    <x v="20"/>
    <n v="0.86"/>
    <n v="0.16420000000000001"/>
    <x v="3"/>
    <x v="93"/>
    <x v="56"/>
  </r>
  <r>
    <n v="899"/>
    <x v="39"/>
    <x v="0"/>
    <n v="0"/>
    <x v="1"/>
    <x v="22"/>
    <x v="0"/>
    <x v="4"/>
    <x v="2"/>
    <x v="13"/>
    <x v="17"/>
    <n v="0.8"/>
    <n v="0.16420000000000001"/>
    <x v="17"/>
    <x v="76"/>
    <x v="66"/>
  </r>
  <r>
    <n v="900"/>
    <x v="39"/>
    <x v="0"/>
    <n v="0"/>
    <x v="1"/>
    <x v="23"/>
    <x v="0"/>
    <x v="4"/>
    <x v="2"/>
    <x v="13"/>
    <x v="20"/>
    <n v="0.8"/>
    <n v="0.19400000000000001"/>
    <x v="3"/>
    <x v="53"/>
    <x v="18"/>
  </r>
  <r>
    <n v="901"/>
    <x v="40"/>
    <x v="0"/>
    <n v="0"/>
    <x v="1"/>
    <x v="0"/>
    <x v="0"/>
    <x v="5"/>
    <x v="2"/>
    <x v="14"/>
    <x v="14"/>
    <n v="0.86"/>
    <n v="0.19400000000000001"/>
    <x v="3"/>
    <x v="20"/>
    <x v="0"/>
  </r>
  <r>
    <n v="902"/>
    <x v="40"/>
    <x v="0"/>
    <n v="0"/>
    <x v="1"/>
    <x v="1"/>
    <x v="0"/>
    <x v="5"/>
    <x v="2"/>
    <x v="14"/>
    <x v="20"/>
    <n v="0.8"/>
    <n v="0.1343"/>
    <x v="3"/>
    <x v="7"/>
    <x v="85"/>
  </r>
  <r>
    <n v="903"/>
    <x v="40"/>
    <x v="0"/>
    <n v="0"/>
    <x v="1"/>
    <x v="2"/>
    <x v="0"/>
    <x v="5"/>
    <x v="2"/>
    <x v="14"/>
    <x v="20"/>
    <n v="0.8"/>
    <n v="0.1343"/>
    <x v="3"/>
    <x v="35"/>
    <x v="6"/>
  </r>
  <r>
    <n v="904"/>
    <x v="40"/>
    <x v="0"/>
    <n v="0"/>
    <x v="1"/>
    <x v="4"/>
    <x v="0"/>
    <x v="5"/>
    <x v="1"/>
    <x v="14"/>
    <x v="14"/>
    <n v="0.59"/>
    <n v="0.22389999999999999"/>
    <x v="3"/>
    <x v="4"/>
    <x v="4"/>
  </r>
  <r>
    <n v="905"/>
    <x v="40"/>
    <x v="0"/>
    <n v="0"/>
    <x v="1"/>
    <x v="5"/>
    <x v="0"/>
    <x v="5"/>
    <x v="1"/>
    <x v="16"/>
    <x v="16"/>
    <n v="0.5"/>
    <n v="0.22389999999999999"/>
    <x v="3"/>
    <x v="8"/>
    <x v="24"/>
  </r>
  <r>
    <n v="906"/>
    <x v="40"/>
    <x v="0"/>
    <n v="0"/>
    <x v="1"/>
    <x v="6"/>
    <x v="0"/>
    <x v="5"/>
    <x v="1"/>
    <x v="16"/>
    <x v="16"/>
    <n v="0.54"/>
    <n v="0.28360000000000002"/>
    <x v="3"/>
    <x v="16"/>
    <x v="132"/>
  </r>
  <r>
    <n v="907"/>
    <x v="40"/>
    <x v="0"/>
    <n v="0"/>
    <x v="1"/>
    <x v="7"/>
    <x v="0"/>
    <x v="5"/>
    <x v="0"/>
    <x v="18"/>
    <x v="23"/>
    <n v="0.5"/>
    <n v="0.41789999999999999"/>
    <x v="3"/>
    <x v="176"/>
    <x v="111"/>
  </r>
  <r>
    <n v="908"/>
    <x v="40"/>
    <x v="0"/>
    <n v="0"/>
    <x v="1"/>
    <x v="8"/>
    <x v="0"/>
    <x v="5"/>
    <x v="0"/>
    <x v="18"/>
    <x v="23"/>
    <n v="0.49"/>
    <n v="0.32840000000000003"/>
    <x v="2"/>
    <x v="177"/>
    <x v="106"/>
  </r>
  <r>
    <n v="909"/>
    <x v="40"/>
    <x v="0"/>
    <n v="0"/>
    <x v="1"/>
    <x v="9"/>
    <x v="0"/>
    <x v="5"/>
    <x v="0"/>
    <x v="16"/>
    <x v="15"/>
    <n v="0.42"/>
    <n v="0.35820000000000002"/>
    <x v="5"/>
    <x v="178"/>
    <x v="78"/>
  </r>
  <r>
    <n v="910"/>
    <x v="40"/>
    <x v="0"/>
    <n v="0"/>
    <x v="1"/>
    <x v="10"/>
    <x v="0"/>
    <x v="5"/>
    <x v="0"/>
    <x v="16"/>
    <x v="15"/>
    <n v="0.42"/>
    <n v="0.29849999999999999"/>
    <x v="5"/>
    <x v="60"/>
    <x v="17"/>
  </r>
  <r>
    <n v="911"/>
    <x v="40"/>
    <x v="0"/>
    <n v="0"/>
    <x v="1"/>
    <x v="11"/>
    <x v="0"/>
    <x v="5"/>
    <x v="0"/>
    <x v="14"/>
    <x v="16"/>
    <n v="0.39"/>
    <n v="0.35820000000000002"/>
    <x v="5"/>
    <x v="100"/>
    <x v="79"/>
  </r>
  <r>
    <n v="912"/>
    <x v="40"/>
    <x v="0"/>
    <n v="0"/>
    <x v="1"/>
    <x v="12"/>
    <x v="0"/>
    <x v="5"/>
    <x v="0"/>
    <x v="13"/>
    <x v="14"/>
    <n v="0.34"/>
    <n v="0.3881"/>
    <x v="17"/>
    <x v="65"/>
    <x v="83"/>
  </r>
  <r>
    <n v="913"/>
    <x v="40"/>
    <x v="0"/>
    <n v="0"/>
    <x v="1"/>
    <x v="13"/>
    <x v="0"/>
    <x v="5"/>
    <x v="0"/>
    <x v="15"/>
    <x v="17"/>
    <n v="0.28999999999999998"/>
    <n v="0.29849999999999999"/>
    <x v="0"/>
    <x v="79"/>
    <x v="69"/>
  </r>
  <r>
    <n v="914"/>
    <x v="40"/>
    <x v="0"/>
    <n v="0"/>
    <x v="1"/>
    <x v="14"/>
    <x v="0"/>
    <x v="5"/>
    <x v="0"/>
    <x v="2"/>
    <x v="18"/>
    <n v="0.27"/>
    <n v="0.28360000000000002"/>
    <x v="15"/>
    <x v="76"/>
    <x v="61"/>
  </r>
  <r>
    <n v="915"/>
    <x v="40"/>
    <x v="0"/>
    <n v="0"/>
    <x v="1"/>
    <x v="15"/>
    <x v="0"/>
    <x v="5"/>
    <x v="0"/>
    <x v="2"/>
    <x v="13"/>
    <n v="0.25"/>
    <n v="0.25369999999999998"/>
    <x v="3"/>
    <x v="54"/>
    <x v="89"/>
  </r>
  <r>
    <n v="916"/>
    <x v="40"/>
    <x v="0"/>
    <n v="0"/>
    <x v="1"/>
    <x v="16"/>
    <x v="0"/>
    <x v="5"/>
    <x v="0"/>
    <x v="2"/>
    <x v="18"/>
    <n v="0.27"/>
    <n v="0.29849999999999999"/>
    <x v="17"/>
    <x v="83"/>
    <x v="138"/>
  </r>
  <r>
    <n v="917"/>
    <x v="40"/>
    <x v="0"/>
    <n v="0"/>
    <x v="1"/>
    <x v="17"/>
    <x v="0"/>
    <x v="5"/>
    <x v="0"/>
    <x v="15"/>
    <x v="18"/>
    <n v="0.26"/>
    <n v="0.19400000000000001"/>
    <x v="15"/>
    <x v="136"/>
    <x v="186"/>
  </r>
  <r>
    <n v="918"/>
    <x v="40"/>
    <x v="0"/>
    <n v="0"/>
    <x v="1"/>
    <x v="18"/>
    <x v="0"/>
    <x v="5"/>
    <x v="0"/>
    <x v="13"/>
    <x v="18"/>
    <n v="0.28000000000000003"/>
    <n v="0.1343"/>
    <x v="0"/>
    <x v="174"/>
    <x v="187"/>
  </r>
  <r>
    <n v="919"/>
    <x v="40"/>
    <x v="0"/>
    <n v="0"/>
    <x v="1"/>
    <x v="19"/>
    <x v="0"/>
    <x v="5"/>
    <x v="0"/>
    <x v="14"/>
    <x v="17"/>
    <n v="0.28000000000000003"/>
    <n v="0.1045"/>
    <x v="4"/>
    <x v="59"/>
    <x v="59"/>
  </r>
  <r>
    <n v="920"/>
    <x v="40"/>
    <x v="0"/>
    <n v="0"/>
    <x v="1"/>
    <x v="20"/>
    <x v="0"/>
    <x v="5"/>
    <x v="0"/>
    <x v="14"/>
    <x v="18"/>
    <n v="0.31"/>
    <n v="8.9599999999999999E-2"/>
    <x v="17"/>
    <x v="139"/>
    <x v="54"/>
  </r>
  <r>
    <n v="921"/>
    <x v="40"/>
    <x v="0"/>
    <n v="0"/>
    <x v="1"/>
    <x v="21"/>
    <x v="0"/>
    <x v="5"/>
    <x v="0"/>
    <x v="14"/>
    <x v="12"/>
    <n v="0.39"/>
    <n v="0"/>
    <x v="4"/>
    <x v="14"/>
    <x v="44"/>
  </r>
  <r>
    <n v="922"/>
    <x v="40"/>
    <x v="0"/>
    <n v="0"/>
    <x v="1"/>
    <x v="22"/>
    <x v="0"/>
    <x v="5"/>
    <x v="0"/>
    <x v="16"/>
    <x v="13"/>
    <n v="0.39"/>
    <n v="0"/>
    <x v="17"/>
    <x v="12"/>
    <x v="41"/>
  </r>
  <r>
    <n v="923"/>
    <x v="40"/>
    <x v="0"/>
    <n v="0"/>
    <x v="1"/>
    <x v="23"/>
    <x v="0"/>
    <x v="5"/>
    <x v="0"/>
    <x v="16"/>
    <x v="20"/>
    <n v="0.42"/>
    <n v="0.1045"/>
    <x v="5"/>
    <x v="39"/>
    <x v="19"/>
  </r>
  <r>
    <n v="924"/>
    <x v="41"/>
    <x v="0"/>
    <n v="0"/>
    <x v="1"/>
    <x v="0"/>
    <x v="0"/>
    <x v="6"/>
    <x v="0"/>
    <x v="18"/>
    <x v="14"/>
    <n v="0.49"/>
    <n v="0.1045"/>
    <x v="4"/>
    <x v="98"/>
    <x v="8"/>
  </r>
  <r>
    <n v="925"/>
    <x v="41"/>
    <x v="0"/>
    <n v="0"/>
    <x v="1"/>
    <x v="1"/>
    <x v="0"/>
    <x v="6"/>
    <x v="0"/>
    <x v="18"/>
    <x v="14"/>
    <n v="0.54"/>
    <n v="8.9599999999999999E-2"/>
    <x v="5"/>
    <x v="8"/>
    <x v="85"/>
  </r>
  <r>
    <n v="926"/>
    <x v="41"/>
    <x v="0"/>
    <n v="0"/>
    <x v="1"/>
    <x v="2"/>
    <x v="0"/>
    <x v="6"/>
    <x v="0"/>
    <x v="18"/>
    <x v="14"/>
    <n v="0.54"/>
    <n v="8.9599999999999999E-2"/>
    <x v="3"/>
    <x v="35"/>
    <x v="6"/>
  </r>
  <r>
    <n v="927"/>
    <x v="41"/>
    <x v="0"/>
    <n v="0"/>
    <x v="1"/>
    <x v="5"/>
    <x v="0"/>
    <x v="6"/>
    <x v="0"/>
    <x v="19"/>
    <x v="16"/>
    <n v="0.63"/>
    <n v="8.9599999999999999E-2"/>
    <x v="3"/>
    <x v="22"/>
    <x v="48"/>
  </r>
  <r>
    <n v="928"/>
    <x v="41"/>
    <x v="0"/>
    <n v="0"/>
    <x v="1"/>
    <x v="6"/>
    <x v="0"/>
    <x v="6"/>
    <x v="0"/>
    <x v="18"/>
    <x v="18"/>
    <n v="0.68"/>
    <n v="0"/>
    <x v="5"/>
    <x v="140"/>
    <x v="108"/>
  </r>
  <r>
    <n v="929"/>
    <x v="41"/>
    <x v="0"/>
    <n v="0"/>
    <x v="1"/>
    <x v="7"/>
    <x v="0"/>
    <x v="6"/>
    <x v="0"/>
    <x v="19"/>
    <x v="17"/>
    <n v="0.73"/>
    <n v="0"/>
    <x v="5"/>
    <x v="26"/>
    <x v="30"/>
  </r>
  <r>
    <n v="930"/>
    <x v="41"/>
    <x v="0"/>
    <n v="0"/>
    <x v="1"/>
    <x v="8"/>
    <x v="0"/>
    <x v="6"/>
    <x v="0"/>
    <x v="18"/>
    <x v="16"/>
    <n v="0.74"/>
    <n v="0.16420000000000001"/>
    <x v="17"/>
    <x v="179"/>
    <x v="182"/>
  </r>
  <r>
    <n v="931"/>
    <x v="41"/>
    <x v="0"/>
    <n v="0"/>
    <x v="1"/>
    <x v="9"/>
    <x v="0"/>
    <x v="6"/>
    <x v="0"/>
    <x v="16"/>
    <x v="16"/>
    <n v="0.74"/>
    <n v="0.22389999999999999"/>
    <x v="1"/>
    <x v="126"/>
    <x v="188"/>
  </r>
  <r>
    <n v="932"/>
    <x v="41"/>
    <x v="0"/>
    <n v="0"/>
    <x v="1"/>
    <x v="10"/>
    <x v="0"/>
    <x v="6"/>
    <x v="0"/>
    <x v="14"/>
    <x v="14"/>
    <n v="0.69"/>
    <n v="0.19400000000000001"/>
    <x v="2"/>
    <x v="87"/>
    <x v="40"/>
  </r>
  <r>
    <n v="933"/>
    <x v="41"/>
    <x v="0"/>
    <n v="0"/>
    <x v="1"/>
    <x v="11"/>
    <x v="0"/>
    <x v="6"/>
    <x v="0"/>
    <x v="1"/>
    <x v="11"/>
    <n v="0.47"/>
    <n v="0.1343"/>
    <x v="6"/>
    <x v="15"/>
    <x v="37"/>
  </r>
  <r>
    <n v="934"/>
    <x v="41"/>
    <x v="0"/>
    <n v="0"/>
    <x v="1"/>
    <x v="12"/>
    <x v="0"/>
    <x v="6"/>
    <x v="0"/>
    <x v="1"/>
    <x v="11"/>
    <n v="0.47"/>
    <n v="0.1343"/>
    <x v="18"/>
    <x v="27"/>
    <x v="68"/>
  </r>
  <r>
    <n v="935"/>
    <x v="41"/>
    <x v="0"/>
    <n v="0"/>
    <x v="1"/>
    <x v="13"/>
    <x v="0"/>
    <x v="6"/>
    <x v="0"/>
    <x v="0"/>
    <x v="11"/>
    <n v="0.35"/>
    <n v="0.19400000000000001"/>
    <x v="27"/>
    <x v="121"/>
    <x v="14"/>
  </r>
  <r>
    <n v="936"/>
    <x v="41"/>
    <x v="0"/>
    <n v="0"/>
    <x v="1"/>
    <x v="14"/>
    <x v="0"/>
    <x v="6"/>
    <x v="0"/>
    <x v="11"/>
    <x v="0"/>
    <n v="0.26"/>
    <n v="0.25369999999999998"/>
    <x v="26"/>
    <x v="28"/>
    <x v="11"/>
  </r>
  <r>
    <n v="937"/>
    <x v="41"/>
    <x v="0"/>
    <n v="0"/>
    <x v="1"/>
    <x v="15"/>
    <x v="0"/>
    <x v="6"/>
    <x v="0"/>
    <x v="3"/>
    <x v="21"/>
    <n v="0.21"/>
    <n v="0.16420000000000001"/>
    <x v="6"/>
    <x v="133"/>
    <x v="30"/>
  </r>
  <r>
    <n v="938"/>
    <x v="41"/>
    <x v="0"/>
    <n v="0"/>
    <x v="1"/>
    <x v="16"/>
    <x v="0"/>
    <x v="6"/>
    <x v="0"/>
    <x v="11"/>
    <x v="0"/>
    <n v="0.28000000000000003"/>
    <n v="0.19400000000000001"/>
    <x v="24"/>
    <x v="180"/>
    <x v="139"/>
  </r>
  <r>
    <n v="939"/>
    <x v="41"/>
    <x v="0"/>
    <n v="0"/>
    <x v="1"/>
    <x v="17"/>
    <x v="0"/>
    <x v="6"/>
    <x v="0"/>
    <x v="11"/>
    <x v="6"/>
    <n v="0.24"/>
    <n v="0"/>
    <x v="25"/>
    <x v="181"/>
    <x v="189"/>
  </r>
  <r>
    <n v="940"/>
    <x v="41"/>
    <x v="0"/>
    <n v="0"/>
    <x v="1"/>
    <x v="18"/>
    <x v="0"/>
    <x v="6"/>
    <x v="0"/>
    <x v="17"/>
    <x v="21"/>
    <n v="0.28000000000000003"/>
    <n v="0"/>
    <x v="14"/>
    <x v="158"/>
    <x v="177"/>
  </r>
  <r>
    <n v="941"/>
    <x v="41"/>
    <x v="0"/>
    <n v="0"/>
    <x v="1"/>
    <x v="19"/>
    <x v="0"/>
    <x v="6"/>
    <x v="0"/>
    <x v="12"/>
    <x v="25"/>
    <n v="0.33"/>
    <n v="0"/>
    <x v="18"/>
    <x v="111"/>
    <x v="129"/>
  </r>
  <r>
    <n v="942"/>
    <x v="41"/>
    <x v="0"/>
    <n v="0"/>
    <x v="1"/>
    <x v="20"/>
    <x v="0"/>
    <x v="6"/>
    <x v="0"/>
    <x v="1"/>
    <x v="11"/>
    <n v="0.55000000000000004"/>
    <n v="0.1343"/>
    <x v="4"/>
    <x v="124"/>
    <x v="55"/>
  </r>
  <r>
    <n v="943"/>
    <x v="41"/>
    <x v="0"/>
    <n v="0"/>
    <x v="1"/>
    <x v="21"/>
    <x v="0"/>
    <x v="6"/>
    <x v="0"/>
    <x v="2"/>
    <x v="12"/>
    <n v="0.59"/>
    <n v="0.1343"/>
    <x v="5"/>
    <x v="24"/>
    <x v="105"/>
  </r>
  <r>
    <n v="944"/>
    <x v="41"/>
    <x v="0"/>
    <n v="0"/>
    <x v="1"/>
    <x v="22"/>
    <x v="0"/>
    <x v="6"/>
    <x v="0"/>
    <x v="2"/>
    <x v="11"/>
    <n v="0.64"/>
    <n v="8.9599999999999999E-2"/>
    <x v="4"/>
    <x v="40"/>
    <x v="74"/>
  </r>
  <r>
    <n v="945"/>
    <x v="41"/>
    <x v="0"/>
    <n v="0"/>
    <x v="1"/>
    <x v="23"/>
    <x v="0"/>
    <x v="6"/>
    <x v="0"/>
    <x v="15"/>
    <x v="19"/>
    <n v="0.69"/>
    <n v="0"/>
    <x v="2"/>
    <x v="41"/>
    <x v="26"/>
  </r>
  <r>
    <n v="946"/>
    <x v="42"/>
    <x v="0"/>
    <n v="0"/>
    <x v="1"/>
    <x v="0"/>
    <x v="0"/>
    <x v="0"/>
    <x v="0"/>
    <x v="13"/>
    <x v="13"/>
    <n v="0.69"/>
    <n v="8.9599999999999999E-2"/>
    <x v="0"/>
    <x v="2"/>
    <x v="33"/>
  </r>
  <r>
    <n v="947"/>
    <x v="42"/>
    <x v="0"/>
    <n v="0"/>
    <x v="1"/>
    <x v="1"/>
    <x v="0"/>
    <x v="0"/>
    <x v="0"/>
    <x v="14"/>
    <x v="12"/>
    <n v="0.86"/>
    <n v="0"/>
    <x v="4"/>
    <x v="97"/>
    <x v="108"/>
  </r>
  <r>
    <n v="948"/>
    <x v="42"/>
    <x v="0"/>
    <n v="0"/>
    <x v="1"/>
    <x v="2"/>
    <x v="0"/>
    <x v="0"/>
    <x v="0"/>
    <x v="14"/>
    <x v="12"/>
    <n v="0.8"/>
    <n v="0"/>
    <x v="4"/>
    <x v="0"/>
    <x v="93"/>
  </r>
  <r>
    <n v="949"/>
    <x v="42"/>
    <x v="0"/>
    <n v="0"/>
    <x v="1"/>
    <x v="3"/>
    <x v="0"/>
    <x v="0"/>
    <x v="0"/>
    <x v="16"/>
    <x v="13"/>
    <n v="0.8"/>
    <n v="0"/>
    <x v="0"/>
    <x v="7"/>
    <x v="98"/>
  </r>
  <r>
    <n v="950"/>
    <x v="42"/>
    <x v="0"/>
    <n v="0"/>
    <x v="1"/>
    <x v="4"/>
    <x v="0"/>
    <x v="0"/>
    <x v="0"/>
    <x v="16"/>
    <x v="17"/>
    <n v="0.74"/>
    <n v="8.9599999999999999E-2"/>
    <x v="3"/>
    <x v="22"/>
    <x v="48"/>
  </r>
  <r>
    <n v="951"/>
    <x v="42"/>
    <x v="0"/>
    <n v="0"/>
    <x v="1"/>
    <x v="5"/>
    <x v="0"/>
    <x v="0"/>
    <x v="0"/>
    <x v="16"/>
    <x v="17"/>
    <n v="0.74"/>
    <n v="8.9599999999999999E-2"/>
    <x v="3"/>
    <x v="4"/>
    <x v="4"/>
  </r>
  <r>
    <n v="952"/>
    <x v="42"/>
    <x v="0"/>
    <n v="0"/>
    <x v="1"/>
    <x v="6"/>
    <x v="0"/>
    <x v="0"/>
    <x v="0"/>
    <x v="16"/>
    <x v="14"/>
    <n v="0.93"/>
    <n v="0.19400000000000001"/>
    <x v="5"/>
    <x v="4"/>
    <x v="5"/>
  </r>
  <r>
    <n v="953"/>
    <x v="42"/>
    <x v="0"/>
    <n v="0"/>
    <x v="1"/>
    <x v="7"/>
    <x v="0"/>
    <x v="0"/>
    <x v="0"/>
    <x v="16"/>
    <x v="20"/>
    <n v="0.8"/>
    <n v="0.1045"/>
    <x v="4"/>
    <x v="33"/>
    <x v="62"/>
  </r>
  <r>
    <n v="954"/>
    <x v="42"/>
    <x v="0"/>
    <n v="0"/>
    <x v="1"/>
    <x v="8"/>
    <x v="0"/>
    <x v="0"/>
    <x v="0"/>
    <x v="14"/>
    <x v="20"/>
    <n v="0.86"/>
    <n v="0.1343"/>
    <x v="4"/>
    <x v="95"/>
    <x v="33"/>
  </r>
  <r>
    <n v="955"/>
    <x v="42"/>
    <x v="0"/>
    <n v="0"/>
    <x v="1"/>
    <x v="9"/>
    <x v="0"/>
    <x v="0"/>
    <x v="0"/>
    <x v="13"/>
    <x v="18"/>
    <n v="0.64"/>
    <n v="0.1343"/>
    <x v="2"/>
    <x v="101"/>
    <x v="74"/>
  </r>
  <r>
    <n v="956"/>
    <x v="42"/>
    <x v="0"/>
    <n v="0"/>
    <x v="1"/>
    <x v="10"/>
    <x v="0"/>
    <x v="0"/>
    <x v="0"/>
    <x v="1"/>
    <x v="12"/>
    <n v="0.41"/>
    <n v="0.25369999999999998"/>
    <x v="23"/>
    <x v="13"/>
    <x v="11"/>
  </r>
  <r>
    <n v="957"/>
    <x v="42"/>
    <x v="0"/>
    <n v="0"/>
    <x v="1"/>
    <x v="11"/>
    <x v="0"/>
    <x v="0"/>
    <x v="0"/>
    <x v="11"/>
    <x v="1"/>
    <n v="0.28000000000000003"/>
    <n v="0.32840000000000003"/>
    <x v="36"/>
    <x v="151"/>
    <x v="181"/>
  </r>
  <r>
    <n v="958"/>
    <x v="42"/>
    <x v="0"/>
    <n v="0"/>
    <x v="1"/>
    <x v="12"/>
    <x v="0"/>
    <x v="0"/>
    <x v="0"/>
    <x v="11"/>
    <x v="1"/>
    <n v="0.39"/>
    <n v="0.4627"/>
    <x v="37"/>
    <x v="139"/>
    <x v="151"/>
  </r>
  <r>
    <n v="959"/>
    <x v="42"/>
    <x v="0"/>
    <n v="0"/>
    <x v="1"/>
    <x v="13"/>
    <x v="0"/>
    <x v="0"/>
    <x v="0"/>
    <x v="11"/>
    <x v="1"/>
    <n v="0.39"/>
    <n v="0.41789999999999999"/>
    <x v="38"/>
    <x v="145"/>
    <x v="169"/>
  </r>
  <r>
    <n v="960"/>
    <x v="42"/>
    <x v="0"/>
    <n v="0"/>
    <x v="1"/>
    <x v="14"/>
    <x v="0"/>
    <x v="0"/>
    <x v="0"/>
    <x v="10"/>
    <x v="21"/>
    <n v="0.31"/>
    <n v="0.28360000000000002"/>
    <x v="36"/>
    <x v="92"/>
    <x v="151"/>
  </r>
  <r>
    <n v="961"/>
    <x v="42"/>
    <x v="0"/>
    <n v="0"/>
    <x v="1"/>
    <x v="15"/>
    <x v="0"/>
    <x v="0"/>
    <x v="0"/>
    <x v="10"/>
    <x v="25"/>
    <n v="0.28999999999999998"/>
    <n v="0.41789999999999999"/>
    <x v="9"/>
    <x v="69"/>
    <x v="177"/>
  </r>
  <r>
    <n v="962"/>
    <x v="42"/>
    <x v="0"/>
    <n v="0"/>
    <x v="1"/>
    <x v="16"/>
    <x v="0"/>
    <x v="0"/>
    <x v="0"/>
    <x v="10"/>
    <x v="25"/>
    <n v="0.28999999999999998"/>
    <n v="0.41789999999999999"/>
    <x v="35"/>
    <x v="145"/>
    <x v="190"/>
  </r>
  <r>
    <n v="963"/>
    <x v="42"/>
    <x v="0"/>
    <n v="0"/>
    <x v="1"/>
    <x v="17"/>
    <x v="0"/>
    <x v="0"/>
    <x v="0"/>
    <x v="3"/>
    <x v="0"/>
    <n v="0.31"/>
    <n v="0.52239999999999998"/>
    <x v="31"/>
    <x v="182"/>
    <x v="120"/>
  </r>
  <r>
    <n v="964"/>
    <x v="42"/>
    <x v="0"/>
    <n v="0"/>
    <x v="1"/>
    <x v="18"/>
    <x v="0"/>
    <x v="0"/>
    <x v="0"/>
    <x v="17"/>
    <x v="2"/>
    <n v="0.38"/>
    <n v="0.32840000000000003"/>
    <x v="17"/>
    <x v="91"/>
    <x v="37"/>
  </r>
  <r>
    <n v="965"/>
    <x v="42"/>
    <x v="0"/>
    <n v="0"/>
    <x v="1"/>
    <x v="19"/>
    <x v="0"/>
    <x v="0"/>
    <x v="0"/>
    <x v="17"/>
    <x v="1"/>
    <n v="0.38"/>
    <n v="0.16420000000000001"/>
    <x v="4"/>
    <x v="87"/>
    <x v="102"/>
  </r>
  <r>
    <n v="966"/>
    <x v="42"/>
    <x v="0"/>
    <n v="0"/>
    <x v="1"/>
    <x v="20"/>
    <x v="0"/>
    <x v="0"/>
    <x v="0"/>
    <x v="12"/>
    <x v="2"/>
    <n v="0.41"/>
    <n v="0.22389999999999999"/>
    <x v="5"/>
    <x v="87"/>
    <x v="1"/>
  </r>
  <r>
    <n v="967"/>
    <x v="42"/>
    <x v="0"/>
    <n v="0"/>
    <x v="1"/>
    <x v="21"/>
    <x v="0"/>
    <x v="0"/>
    <x v="0"/>
    <x v="12"/>
    <x v="25"/>
    <n v="0.41"/>
    <n v="0"/>
    <x v="14"/>
    <x v="76"/>
    <x v="41"/>
  </r>
  <r>
    <n v="968"/>
    <x v="42"/>
    <x v="0"/>
    <n v="0"/>
    <x v="1"/>
    <x v="22"/>
    <x v="0"/>
    <x v="0"/>
    <x v="0"/>
    <x v="0"/>
    <x v="2"/>
    <n v="0.44"/>
    <n v="8.9599999999999999E-2"/>
    <x v="15"/>
    <x v="87"/>
    <x v="79"/>
  </r>
  <r>
    <n v="969"/>
    <x v="42"/>
    <x v="0"/>
    <n v="0"/>
    <x v="1"/>
    <x v="23"/>
    <x v="0"/>
    <x v="0"/>
    <x v="0"/>
    <x v="1"/>
    <x v="11"/>
    <n v="0.51"/>
    <n v="0.1343"/>
    <x v="5"/>
    <x v="17"/>
    <x v="2"/>
  </r>
  <r>
    <n v="970"/>
    <x v="43"/>
    <x v="0"/>
    <n v="0"/>
    <x v="1"/>
    <x v="0"/>
    <x v="0"/>
    <x v="1"/>
    <x v="0"/>
    <x v="2"/>
    <x v="11"/>
    <n v="0.64"/>
    <n v="0.1045"/>
    <x v="2"/>
    <x v="60"/>
    <x v="21"/>
  </r>
  <r>
    <n v="971"/>
    <x v="43"/>
    <x v="0"/>
    <n v="0"/>
    <x v="1"/>
    <x v="1"/>
    <x v="0"/>
    <x v="1"/>
    <x v="0"/>
    <x v="2"/>
    <x v="11"/>
    <n v="0.59"/>
    <n v="8.9599999999999999E-2"/>
    <x v="5"/>
    <x v="140"/>
    <x v="108"/>
  </r>
  <r>
    <n v="972"/>
    <x v="43"/>
    <x v="0"/>
    <n v="0"/>
    <x v="1"/>
    <x v="2"/>
    <x v="0"/>
    <x v="1"/>
    <x v="1"/>
    <x v="2"/>
    <x v="11"/>
    <n v="0.75"/>
    <n v="8.9599999999999999E-2"/>
    <x v="5"/>
    <x v="23"/>
    <x v="25"/>
  </r>
  <r>
    <n v="973"/>
    <x v="43"/>
    <x v="0"/>
    <n v="0"/>
    <x v="1"/>
    <x v="3"/>
    <x v="0"/>
    <x v="1"/>
    <x v="1"/>
    <x v="2"/>
    <x v="11"/>
    <n v="0.69"/>
    <n v="0.1045"/>
    <x v="17"/>
    <x v="21"/>
    <x v="47"/>
  </r>
  <r>
    <n v="974"/>
    <x v="43"/>
    <x v="0"/>
    <n v="0"/>
    <x v="1"/>
    <x v="4"/>
    <x v="0"/>
    <x v="1"/>
    <x v="1"/>
    <x v="2"/>
    <x v="12"/>
    <n v="0.69"/>
    <n v="0.16420000000000001"/>
    <x v="3"/>
    <x v="6"/>
    <x v="5"/>
  </r>
  <r>
    <n v="975"/>
    <x v="43"/>
    <x v="0"/>
    <n v="0"/>
    <x v="1"/>
    <x v="6"/>
    <x v="0"/>
    <x v="1"/>
    <x v="1"/>
    <x v="2"/>
    <x v="12"/>
    <n v="0.69"/>
    <n v="0.1343"/>
    <x v="4"/>
    <x v="35"/>
    <x v="36"/>
  </r>
  <r>
    <n v="976"/>
    <x v="43"/>
    <x v="0"/>
    <n v="0"/>
    <x v="1"/>
    <x v="7"/>
    <x v="0"/>
    <x v="1"/>
    <x v="1"/>
    <x v="1"/>
    <x v="1"/>
    <n v="0.55000000000000004"/>
    <n v="0"/>
    <x v="3"/>
    <x v="35"/>
    <x v="6"/>
  </r>
  <r>
    <n v="977"/>
    <x v="43"/>
    <x v="0"/>
    <n v="0"/>
    <x v="1"/>
    <x v="8"/>
    <x v="0"/>
    <x v="1"/>
    <x v="1"/>
    <x v="1"/>
    <x v="11"/>
    <n v="0.64"/>
    <n v="0.19400000000000001"/>
    <x v="5"/>
    <x v="48"/>
    <x v="47"/>
  </r>
  <r>
    <n v="978"/>
    <x v="43"/>
    <x v="0"/>
    <n v="0"/>
    <x v="1"/>
    <x v="9"/>
    <x v="0"/>
    <x v="1"/>
    <x v="1"/>
    <x v="0"/>
    <x v="11"/>
    <n v="0.6"/>
    <n v="0.22389999999999999"/>
    <x v="6"/>
    <x v="96"/>
    <x v="105"/>
  </r>
  <r>
    <n v="979"/>
    <x v="43"/>
    <x v="0"/>
    <n v="0"/>
    <x v="1"/>
    <x v="10"/>
    <x v="0"/>
    <x v="1"/>
    <x v="0"/>
    <x v="11"/>
    <x v="1"/>
    <n v="0.45"/>
    <n v="0.32840000000000003"/>
    <x v="21"/>
    <x v="132"/>
    <x v="136"/>
  </r>
  <r>
    <n v="980"/>
    <x v="43"/>
    <x v="0"/>
    <n v="0"/>
    <x v="1"/>
    <x v="11"/>
    <x v="0"/>
    <x v="1"/>
    <x v="0"/>
    <x v="3"/>
    <x v="0"/>
    <n v="0.39"/>
    <n v="0.44779999999999998"/>
    <x v="7"/>
    <x v="132"/>
    <x v="59"/>
  </r>
  <r>
    <n v="981"/>
    <x v="43"/>
    <x v="0"/>
    <n v="0"/>
    <x v="1"/>
    <x v="12"/>
    <x v="0"/>
    <x v="1"/>
    <x v="0"/>
    <x v="5"/>
    <x v="21"/>
    <n v="0.32"/>
    <n v="0.4627"/>
    <x v="39"/>
    <x v="111"/>
    <x v="148"/>
  </r>
  <r>
    <n v="982"/>
    <x v="43"/>
    <x v="0"/>
    <n v="0"/>
    <x v="1"/>
    <x v="13"/>
    <x v="0"/>
    <x v="1"/>
    <x v="0"/>
    <x v="4"/>
    <x v="5"/>
    <n v="0.28999999999999998"/>
    <n v="0.35820000000000002"/>
    <x v="40"/>
    <x v="50"/>
    <x v="38"/>
  </r>
  <r>
    <n v="983"/>
    <x v="43"/>
    <x v="0"/>
    <n v="0"/>
    <x v="1"/>
    <x v="14"/>
    <x v="0"/>
    <x v="1"/>
    <x v="1"/>
    <x v="9"/>
    <x v="10"/>
    <n v="0.3"/>
    <n v="0.41789999999999999"/>
    <x v="41"/>
    <x v="59"/>
    <x v="143"/>
  </r>
  <r>
    <n v="984"/>
    <x v="43"/>
    <x v="0"/>
    <n v="0"/>
    <x v="1"/>
    <x v="15"/>
    <x v="0"/>
    <x v="1"/>
    <x v="1"/>
    <x v="9"/>
    <x v="10"/>
    <n v="0.3"/>
    <n v="0.29849999999999999"/>
    <x v="11"/>
    <x v="183"/>
    <x v="123"/>
  </r>
  <r>
    <n v="985"/>
    <x v="43"/>
    <x v="0"/>
    <n v="0"/>
    <x v="1"/>
    <x v="16"/>
    <x v="0"/>
    <x v="1"/>
    <x v="1"/>
    <x v="6"/>
    <x v="7"/>
    <n v="0.28000000000000003"/>
    <n v="0.32840000000000003"/>
    <x v="32"/>
    <x v="184"/>
    <x v="87"/>
  </r>
  <r>
    <n v="986"/>
    <x v="43"/>
    <x v="0"/>
    <n v="0"/>
    <x v="1"/>
    <x v="17"/>
    <x v="0"/>
    <x v="1"/>
    <x v="0"/>
    <x v="6"/>
    <x v="7"/>
    <n v="0.28000000000000003"/>
    <n v="0.32840000000000003"/>
    <x v="36"/>
    <x v="73"/>
    <x v="139"/>
  </r>
  <r>
    <n v="987"/>
    <x v="43"/>
    <x v="0"/>
    <n v="0"/>
    <x v="1"/>
    <x v="18"/>
    <x v="0"/>
    <x v="1"/>
    <x v="0"/>
    <x v="9"/>
    <x v="10"/>
    <n v="0.32"/>
    <n v="0.29849999999999999"/>
    <x v="26"/>
    <x v="78"/>
    <x v="76"/>
  </r>
  <r>
    <n v="988"/>
    <x v="43"/>
    <x v="0"/>
    <n v="0"/>
    <x v="1"/>
    <x v="19"/>
    <x v="0"/>
    <x v="1"/>
    <x v="0"/>
    <x v="9"/>
    <x v="10"/>
    <n v="0.35"/>
    <n v="0.28360000000000002"/>
    <x v="16"/>
    <x v="54"/>
    <x v="42"/>
  </r>
  <r>
    <n v="989"/>
    <x v="43"/>
    <x v="0"/>
    <n v="0"/>
    <x v="1"/>
    <x v="20"/>
    <x v="0"/>
    <x v="1"/>
    <x v="0"/>
    <x v="9"/>
    <x v="10"/>
    <n v="0.35"/>
    <n v="0.32840000000000003"/>
    <x v="13"/>
    <x v="1"/>
    <x v="105"/>
  </r>
  <r>
    <n v="990"/>
    <x v="43"/>
    <x v="0"/>
    <n v="0"/>
    <x v="1"/>
    <x v="21"/>
    <x v="0"/>
    <x v="1"/>
    <x v="0"/>
    <x v="9"/>
    <x v="10"/>
    <n v="0.35"/>
    <n v="0.35820000000000002"/>
    <x v="15"/>
    <x v="108"/>
    <x v="41"/>
  </r>
  <r>
    <n v="991"/>
    <x v="43"/>
    <x v="0"/>
    <n v="0"/>
    <x v="1"/>
    <x v="22"/>
    <x v="0"/>
    <x v="1"/>
    <x v="0"/>
    <x v="9"/>
    <x v="10"/>
    <n v="0.35"/>
    <n v="0.29849999999999999"/>
    <x v="2"/>
    <x v="17"/>
    <x v="9"/>
  </r>
  <r>
    <n v="992"/>
    <x v="43"/>
    <x v="0"/>
    <n v="0"/>
    <x v="1"/>
    <x v="23"/>
    <x v="0"/>
    <x v="1"/>
    <x v="0"/>
    <x v="9"/>
    <x v="10"/>
    <n v="0.35"/>
    <n v="0.35820000000000002"/>
    <x v="0"/>
    <x v="2"/>
    <x v="33"/>
  </r>
  <r>
    <n v="993"/>
    <x v="44"/>
    <x v="0"/>
    <n v="0"/>
    <x v="1"/>
    <x v="0"/>
    <x v="0"/>
    <x v="2"/>
    <x v="0"/>
    <x v="4"/>
    <x v="5"/>
    <n v="0.37"/>
    <n v="0.35820000000000002"/>
    <x v="0"/>
    <x v="21"/>
    <x v="62"/>
  </r>
  <r>
    <n v="994"/>
    <x v="44"/>
    <x v="0"/>
    <n v="0"/>
    <x v="1"/>
    <x v="1"/>
    <x v="0"/>
    <x v="2"/>
    <x v="0"/>
    <x v="4"/>
    <x v="5"/>
    <n v="0.37"/>
    <n v="0.35820000000000002"/>
    <x v="5"/>
    <x v="8"/>
    <x v="85"/>
  </r>
  <r>
    <n v="995"/>
    <x v="44"/>
    <x v="0"/>
    <n v="0"/>
    <x v="1"/>
    <x v="2"/>
    <x v="0"/>
    <x v="2"/>
    <x v="0"/>
    <x v="5"/>
    <x v="6"/>
    <n v="0.4"/>
    <n v="0.29849999999999999"/>
    <x v="3"/>
    <x v="6"/>
    <x v="5"/>
  </r>
  <r>
    <n v="996"/>
    <x v="44"/>
    <x v="0"/>
    <n v="0"/>
    <x v="1"/>
    <x v="3"/>
    <x v="0"/>
    <x v="2"/>
    <x v="0"/>
    <x v="10"/>
    <x v="21"/>
    <n v="0.46"/>
    <n v="0.22389999999999999"/>
    <x v="5"/>
    <x v="4"/>
    <x v="5"/>
  </r>
  <r>
    <n v="997"/>
    <x v="44"/>
    <x v="0"/>
    <n v="0"/>
    <x v="1"/>
    <x v="4"/>
    <x v="0"/>
    <x v="2"/>
    <x v="0"/>
    <x v="3"/>
    <x v="25"/>
    <n v="0.53"/>
    <n v="0.28360000000000002"/>
    <x v="3"/>
    <x v="6"/>
    <x v="5"/>
  </r>
  <r>
    <n v="998"/>
    <x v="44"/>
    <x v="0"/>
    <n v="0"/>
    <x v="1"/>
    <x v="5"/>
    <x v="0"/>
    <x v="2"/>
    <x v="0"/>
    <x v="3"/>
    <x v="25"/>
    <n v="0.53"/>
    <n v="0.28360000000000002"/>
    <x v="3"/>
    <x v="35"/>
    <x v="6"/>
  </r>
  <r>
    <n v="999"/>
    <x v="44"/>
    <x v="0"/>
    <n v="0"/>
    <x v="1"/>
    <x v="6"/>
    <x v="0"/>
    <x v="2"/>
    <x v="0"/>
    <x v="10"/>
    <x v="25"/>
    <n v="0.46"/>
    <n v="0.29849999999999999"/>
    <x v="5"/>
    <x v="18"/>
    <x v="132"/>
  </r>
  <r>
    <n v="1000"/>
    <x v="44"/>
    <x v="0"/>
    <n v="0"/>
    <x v="1"/>
    <x v="7"/>
    <x v="0"/>
    <x v="2"/>
    <x v="0"/>
    <x v="10"/>
    <x v="25"/>
    <n v="0.46"/>
    <n v="0.29849999999999999"/>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3826E-72EC-44FF-9898-502E1E2734E7}" name="PivotTable1" cacheId="0" dataPosition="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5:U34" firstHeaderRow="0" firstDataRow="1" firstDataCol="1" rowPageCount="2" colPageCount="1"/>
  <pivotFields count="16">
    <pivotField axis="axisPage" multipleItemSelectionAllowed="1"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2">
        <item x="0"/>
        <item t="default"/>
      </items>
    </pivotField>
    <pivotField showAll="0">
      <items count="2">
        <item x="0"/>
        <item t="default"/>
      </items>
    </pivotField>
    <pivotField showAll="0">
      <items count="2">
        <item x="0"/>
        <item t="default"/>
      </items>
    </pivotField>
    <pivotField showAll="0"/>
    <pivotField axis="axisPage" multipleItemSelectionAllowed="1" showAll="0">
      <items count="3">
        <item x="0"/>
        <item x="1"/>
        <item t="default"/>
      </items>
    </pivotField>
    <pivotField showAll="0"/>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dataField="1"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3">
    <i>
      <x/>
    </i>
    <i i="1">
      <x v="1"/>
    </i>
    <i i="2">
      <x v="2"/>
    </i>
  </colItems>
  <pageFields count="2">
    <pageField fld="6" hier="-1"/>
    <pageField fld="0" hier="-1"/>
  </pageFields>
  <dataFields count="3">
    <dataField name="Sum of casual" fld="13" baseField="0" baseItem="0"/>
    <dataField name="Sum of registered" fld="14" baseField="0" baseItem="0"/>
    <dataField name="Sum of cnt" fld="15" baseField="0" baseItem="0"/>
  </dataFields>
  <formats count="6">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B89623-52E9-4B0B-8E95-921EAFB4375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5:V51" firstHeaderRow="0" firstDataRow="1" firstDataCol="1" rowPageCount="2" colPageCount="1"/>
  <pivotFields count="17">
    <pivotField axis="axisPage" multipleItemSelectionAllowe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2">
        <item x="0"/>
        <item t="default"/>
      </items>
    </pivotField>
    <pivotField axis="axisPage" multipleItemSelectionAllowed="1" showAll="0">
      <items count="3">
        <item x="0"/>
        <item x="1"/>
        <item t="default"/>
      </items>
    </pivotField>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4">
    <i>
      <x/>
    </i>
    <i i="1">
      <x v="1"/>
    </i>
    <i i="2">
      <x v="2"/>
    </i>
    <i i="3">
      <x v="3"/>
    </i>
  </colItems>
  <pageFields count="2">
    <pageField fld="4" hier="-1"/>
    <pageField fld="0" hier="-1"/>
  </pageFields>
  <dataFields count="4">
    <dataField name="Sum of Hours" fld="5" baseField="0" baseItem="0"/>
    <dataField name="Sum of casual" fld="13" baseField="0" baseItem="0"/>
    <dataField name="Sum of cnt" fld="15" baseField="0" baseItem="0"/>
    <dataField name="Sum of registered" fld="14" baseField="0" baseItem="0"/>
  </dataFields>
  <formats count="6">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49">
      <pivotArea dataOnly="0" labelOnly="1" grandRow="1" outline="0" fieldPosition="0"/>
    </format>
    <format dxfId="48">
      <pivotArea dataOnly="0" labelOnly="1" outline="0" fieldPosition="0">
        <references count="1">
          <reference field="4294967294" count="3">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D760D5-D394-4AAE-A38D-1D0BD1B11F2B}"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Temp">
  <location ref="A52:B76"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6"/>
        <item x="0"/>
        <item x="5"/>
        <item t="default"/>
      </items>
    </pivotField>
    <pivotField showAll="0">
      <items count="5">
        <item x="0"/>
        <item x="3"/>
        <item x="2"/>
        <item x="1"/>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5" baseField="0" baseItem="0"/>
  </dataFields>
  <chartFormats count="2">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3B1C6A-6C5C-4DC6-B9D3-9B0F9587E8C8}"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Weekday">
  <location ref="A35:B43"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6"/>
        <item x="0"/>
        <item x="5"/>
        <item t="default"/>
      </items>
    </pivotField>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7"/>
  </rowFields>
  <rowItems count="8">
    <i>
      <x/>
    </i>
    <i>
      <x v="1"/>
    </i>
    <i>
      <x v="2"/>
    </i>
    <i>
      <x v="3"/>
    </i>
    <i>
      <x v="4"/>
    </i>
    <i>
      <x v="5"/>
    </i>
    <i>
      <x v="6"/>
    </i>
    <i t="grand">
      <x/>
    </i>
  </rowItems>
  <colItems count="1">
    <i/>
  </colItems>
  <dataFields count="1">
    <dataField name="Sum of cnt" fld="15"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7" count="1" selected="0">
            <x v="0"/>
          </reference>
        </references>
      </pivotArea>
    </chartFormat>
    <chartFormat chart="2" format="18">
      <pivotArea type="data" outline="0" fieldPosition="0">
        <references count="2">
          <reference field="4294967294" count="1" selected="0">
            <x v="0"/>
          </reference>
          <reference field="7" count="1" selected="0">
            <x v="1"/>
          </reference>
        </references>
      </pivotArea>
    </chartFormat>
    <chartFormat chart="2" format="19">
      <pivotArea type="data" outline="0" fieldPosition="0">
        <references count="2">
          <reference field="4294967294" count="1" selected="0">
            <x v="0"/>
          </reference>
          <reference field="7" count="1" selected="0">
            <x v="2"/>
          </reference>
        </references>
      </pivotArea>
    </chartFormat>
    <chartFormat chart="2" format="20">
      <pivotArea type="data" outline="0" fieldPosition="0">
        <references count="2">
          <reference field="4294967294" count="1" selected="0">
            <x v="0"/>
          </reference>
          <reference field="7" count="1" selected="0">
            <x v="3"/>
          </reference>
        </references>
      </pivotArea>
    </chartFormat>
    <chartFormat chart="2" format="21">
      <pivotArea type="data" outline="0" fieldPosition="0">
        <references count="2">
          <reference field="4294967294" count="1" selected="0">
            <x v="0"/>
          </reference>
          <reference field="7" count="1" selected="0">
            <x v="4"/>
          </reference>
        </references>
      </pivotArea>
    </chartFormat>
    <chartFormat chart="2" format="22">
      <pivotArea type="data" outline="0" fieldPosition="0">
        <references count="2">
          <reference field="4294967294" count="1" selected="0">
            <x v="0"/>
          </reference>
          <reference field="7" count="1" selected="0">
            <x v="5"/>
          </reference>
        </references>
      </pivotArea>
    </chartFormat>
    <chartFormat chart="2"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1C829C-E36A-43CE-95B2-ED9775ACF9C3}"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6:B17" firstHeaderRow="0" firstDataRow="1" firstDataCol="0"/>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6"/>
        <item x="0"/>
        <item x="5"/>
        <item t="default"/>
      </items>
    </pivotField>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Items count="1">
    <i/>
  </rowItems>
  <colFields count="1">
    <field x="-2"/>
  </colFields>
  <colItems count="2">
    <i>
      <x/>
    </i>
    <i i="1">
      <x v="1"/>
    </i>
  </colItems>
  <dataFields count="2">
    <dataField name="Sum of registered" fld="14" baseField="0" baseItem="0"/>
    <dataField name="Sum of casual" fld="13"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D6BDE-C079-4804-899C-AFFF95FFDE89}"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eason">
  <location ref="A4:B6"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
        <item x="0"/>
        <item t="default"/>
      </items>
    </pivotField>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6"/>
        <item x="0"/>
        <item x="5"/>
        <item t="default"/>
      </items>
    </pivotField>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multipleItemSelectionAllowe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2"/>
  </rowFields>
  <rowItems count="2">
    <i>
      <x/>
    </i>
    <i t="grand">
      <x/>
    </i>
  </rowItems>
  <colItems count="1">
    <i/>
  </colItems>
  <dataFields count="1">
    <dataField name="Sum of cnt" fld="1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2B47D6-CB8F-4C15-8125-BBA0CEF9C843}"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Weathers">
  <location ref="J47:K52"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6"/>
        <item x="0"/>
        <item x="5"/>
        <item t="default"/>
      </items>
    </pivotField>
    <pivotField axis="axisRow"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8"/>
  </rowFields>
  <rowItems count="5">
    <i>
      <x/>
    </i>
    <i>
      <x v="1"/>
    </i>
    <i>
      <x v="2"/>
    </i>
    <i>
      <x v="3"/>
    </i>
    <i t="grand">
      <x/>
    </i>
  </rowItems>
  <colItems count="1">
    <i/>
  </colItems>
  <dataFields count="1">
    <dataField name="Sum of cnt" fld="1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E6B8B8-5DE4-4385-970C-67A861E78DC3}"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Holiday Vs Non-Holiday">
  <location ref="H30:I33"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3">
        <item x="0"/>
        <item x="1"/>
        <item t="default"/>
      </items>
    </pivotField>
    <pivotField showAll="0">
      <items count="8">
        <item x="1"/>
        <item x="2"/>
        <item x="3"/>
        <item x="4"/>
        <item x="6"/>
        <item x="0"/>
        <item x="5"/>
        <item t="default"/>
      </items>
    </pivotField>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6"/>
  </rowFields>
  <rowItems count="3">
    <i>
      <x/>
    </i>
    <i>
      <x v="1"/>
    </i>
    <i t="grand">
      <x/>
    </i>
  </rowItems>
  <colItems count="1">
    <i/>
  </colItems>
  <dataFields count="1">
    <dataField name="Sum of cnt" fld="1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19A7A2-8735-47D4-B950-99B984AB5EDF}"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ntal Hours">
  <location ref="H2:I27" firstHeaderRow="1" firstDataRow="1" firstDataCol="1"/>
  <pivotFields count="16">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6"/>
        <item x="0"/>
        <item x="5"/>
        <item t="default"/>
      </items>
    </pivotField>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32F5E4-6EB6-4923-AF2B-22523DC17337}" autoFormatId="16" applyNumberFormats="0" applyBorderFormats="0" applyFontFormats="0" applyPatternFormats="0" applyAlignmentFormats="0" applyWidthHeightFormats="0">
  <queryTableRefresh nextId="17">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s" tableColumnId="6"/>
      <queryTableField id="7" name="Holiday" tableColumnId="7"/>
      <queryTableField id="8" name="Weekday" tableColumnId="8"/>
      <queryTableField id="9" name="Wethers"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95B49CA-0900-4A77-A47F-980F35E5B161}" autoFormatId="16" applyNumberFormats="0" applyBorderFormats="0" applyFontFormats="0" applyPatternFormats="0" applyAlignmentFormats="0" applyWidthHeightFormats="0">
  <queryTableRefresh nextId="17">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s" tableColumnId="6"/>
      <queryTableField id="7" name="Holiday" tableColumnId="7"/>
      <queryTableField id="8" name="Weekday" tableColumnId="8"/>
      <queryTableField id="9" name="Wethers"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3FDB2E0-571E-4D97-903E-E62364D1485E}" autoFormatId="16" applyNumberFormats="0" applyBorderFormats="0" applyFontFormats="0" applyPatternFormats="0" applyAlignmentFormats="0" applyWidthHeightFormats="0">
  <queryTableRefresh nextId="17">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s" tableColumnId="6"/>
      <queryTableField id="7" name="Holiday" tableColumnId="7"/>
      <queryTableField id="8" name="Weekday" tableColumnId="8"/>
      <queryTableField id="9" name="Wethers"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2DDB8C94-F1B5-4B47-814D-21038BE7EA36}" sourceName="Hours">
  <pivotTables>
    <pivotTable tabId="13" name="PivotTable2"/>
  </pivotTables>
  <data>
    <tabular pivotCacheId="1662287246">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thers" xr10:uid="{874FA3BD-559B-48BB-9072-685A72E288BC}" sourceName="Wethers">
  <pivotTables>
    <pivotTable tabId="13" name="PivotTable2"/>
  </pivotTables>
  <data>
    <tabular pivotCacheId="166228724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AEE6A43-BE4D-4054-B88A-2617FCA4FEDB}" sourceName="Weekday">
  <pivotTables>
    <pivotTable tabId="13" name="PivotTable2"/>
  </pivotTables>
  <data>
    <tabular pivotCacheId="1662287246">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79C5455A-E664-4604-862E-56FA3AC36CEC}" sourceName="casual">
  <pivotTables>
    <pivotTable tabId="13" name="PivotTable2"/>
  </pivotTables>
  <data>
    <tabular pivotCacheId="1662287246">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E4775AF0-C7A8-4D01-B02C-8E103C6F7B83}" sourceName="registered">
  <pivotTables>
    <pivotTable tabId="13" name="PivotTable2"/>
  </pivotTables>
  <data>
    <tabular pivotCacheId="1662287246">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11C1D04-C0BD-4DB5-95C1-53A9EA67088F}" sourceName="Date">
  <pivotTables>
    <pivotTable tabId="13" name="PivotTable2"/>
  </pivotTables>
  <data>
    <tabular pivotCacheId="1662287246">
      <items count="368">
        <i x="41" s="1"/>
        <i x="10" s="1"/>
        <i x="42" s="1"/>
        <i x="11" s="1"/>
        <i x="43" s="1"/>
        <i x="12" s="1"/>
        <i x="44" s="1"/>
        <i x="13" s="1"/>
        <i x="45" s="1"/>
        <i x="14" s="1"/>
        <i x="15" s="1"/>
        <i x="16" s="1"/>
        <i x="17" s="1"/>
        <i x="18" s="1"/>
        <i x="19" s="1"/>
        <i x="32" s="1"/>
        <i x="1" s="1"/>
        <i x="20" s="1"/>
        <i x="21" s="1"/>
        <i x="22" s="1"/>
        <i x="23" s="1"/>
        <i x="24" s="1"/>
        <i x="25" s="1"/>
        <i x="26" s="1"/>
        <i x="27" s="1"/>
        <i x="28" s="1"/>
        <i x="29" s="1"/>
        <i x="33" s="1"/>
        <i x="2" s="1"/>
        <i x="30" s="1"/>
        <i x="31" s="1"/>
        <i x="34" s="1"/>
        <i x="3" s="1"/>
        <i x="35" s="1"/>
        <i x="4" s="1"/>
        <i x="36" s="1"/>
        <i x="5" s="1"/>
        <i x="37" s="1"/>
        <i x="6" s="1"/>
        <i x="38" s="1"/>
        <i x="7" s="1"/>
        <i x="39" s="1"/>
        <i x="8" s="1"/>
        <i x="40" s="1"/>
        <i x="9" s="1"/>
        <i x="0" s="1" nd="1"/>
        <i x="367" s="1" nd="1"/>
        <i x="101" s="1" nd="1"/>
        <i x="223" s="1" nd="1"/>
        <i x="345" s="1" nd="1"/>
        <i x="192" s="1" nd="1"/>
        <i x="162" s="1" nd="1"/>
        <i x="70" s="1" nd="1"/>
        <i x="131" s="1" nd="1"/>
        <i x="315" s="1" nd="1"/>
        <i x="284" s="1" nd="1"/>
        <i x="254" s="1" nd="1"/>
        <i x="102" s="1" nd="1"/>
        <i x="224" s="1" nd="1"/>
        <i x="346" s="1" nd="1"/>
        <i x="193" s="1" nd="1"/>
        <i x="163" s="1" nd="1"/>
        <i x="71" s="1" nd="1"/>
        <i x="132" s="1" nd="1"/>
        <i x="316" s="1" nd="1"/>
        <i x="285" s="1" nd="1"/>
        <i x="255" s="1" nd="1"/>
        <i x="103" s="1" nd="1"/>
        <i x="225" s="1" nd="1"/>
        <i x="347" s="1" nd="1"/>
        <i x="194" s="1" nd="1"/>
        <i x="164" s="1" nd="1"/>
        <i x="72" s="1" nd="1"/>
        <i x="133" s="1" nd="1"/>
        <i x="317" s="1" nd="1"/>
        <i x="286" s="1" nd="1"/>
        <i x="256" s="1" nd="1"/>
        <i x="104" s="1" nd="1"/>
        <i x="226" s="1" nd="1"/>
        <i x="348" s="1" nd="1"/>
        <i x="195" s="1" nd="1"/>
        <i x="165" s="1" nd="1"/>
        <i x="73" s="1" nd="1"/>
        <i x="134" s="1" nd="1"/>
        <i x="318" s="1" nd="1"/>
        <i x="287" s="1" nd="1"/>
        <i x="257" s="1" nd="1"/>
        <i x="105" s="1" nd="1"/>
        <i x="227" s="1" nd="1"/>
        <i x="349" s="1" nd="1"/>
        <i x="196" s="1" nd="1"/>
        <i x="166" s="1" nd="1"/>
        <i x="74" s="1" nd="1"/>
        <i x="135" s="1" nd="1"/>
        <i x="319" s="1" nd="1"/>
        <i x="288" s="1" nd="1"/>
        <i x="258" s="1" nd="1"/>
        <i x="106" s="1" nd="1"/>
        <i x="228" s="1" nd="1"/>
        <i x="350" s="1" nd="1"/>
        <i x="46" s="1" nd="1"/>
        <i x="197" s="1" nd="1"/>
        <i x="167" s="1" nd="1"/>
        <i x="75" s="1" nd="1"/>
        <i x="136" s="1" nd="1"/>
        <i x="320" s="1" nd="1"/>
        <i x="289" s="1" nd="1"/>
        <i x="259" s="1" nd="1"/>
        <i x="107" s="1" nd="1"/>
        <i x="229" s="1" nd="1"/>
        <i x="351" s="1" nd="1"/>
        <i x="47" s="1" nd="1"/>
        <i x="198" s="1" nd="1"/>
        <i x="168" s="1" nd="1"/>
        <i x="76" s="1" nd="1"/>
        <i x="137" s="1" nd="1"/>
        <i x="321" s="1" nd="1"/>
        <i x="290" s="1" nd="1"/>
        <i x="260" s="1" nd="1"/>
        <i x="108" s="1" nd="1"/>
        <i x="230" s="1" nd="1"/>
        <i x="352" s="1" nd="1"/>
        <i x="48" s="1" nd="1"/>
        <i x="199" s="1" nd="1"/>
        <i x="169" s="1" nd="1"/>
        <i x="77" s="1" nd="1"/>
        <i x="138" s="1" nd="1"/>
        <i x="322" s="1" nd="1"/>
        <i x="291" s="1" nd="1"/>
        <i x="261" s="1" nd="1"/>
        <i x="109" s="1" nd="1"/>
        <i x="231" s="1" nd="1"/>
        <i x="353" s="1" nd="1"/>
        <i x="49" s="1" nd="1"/>
        <i x="200" s="1" nd="1"/>
        <i x="170" s="1" nd="1"/>
        <i x="78" s="1" nd="1"/>
        <i x="139" s="1" nd="1"/>
        <i x="323" s="1" nd="1"/>
        <i x="292" s="1" nd="1"/>
        <i x="262" s="1" nd="1"/>
        <i x="110" s="1" nd="1"/>
        <i x="232" s="1" nd="1"/>
        <i x="354" s="1" nd="1"/>
        <i x="50" s="1" nd="1"/>
        <i x="201" s="1" nd="1"/>
        <i x="171" s="1" nd="1"/>
        <i x="79" s="1" nd="1"/>
        <i x="140" s="1" nd="1"/>
        <i x="324" s="1" nd="1"/>
        <i x="293" s="1" nd="1"/>
        <i x="263" s="1" nd="1"/>
        <i x="92" s="1" nd="1"/>
        <i x="214" s="1" nd="1"/>
        <i x="336" s="1" nd="1"/>
        <i x="183" s="1" nd="1"/>
        <i x="153" s="1" nd="1"/>
        <i x="61" s="1" nd="1"/>
        <i x="122" s="1" nd="1"/>
        <i x="306" s="1" nd="1"/>
        <i x="275" s="1" nd="1"/>
        <i x="245" s="1" nd="1"/>
        <i x="111" s="1" nd="1"/>
        <i x="233" s="1" nd="1"/>
        <i x="355" s="1" nd="1"/>
        <i x="51" s="1" nd="1"/>
        <i x="202" s="1" nd="1"/>
        <i x="172" s="1" nd="1"/>
        <i x="80" s="1" nd="1"/>
        <i x="141" s="1" nd="1"/>
        <i x="325" s="1" nd="1"/>
        <i x="294" s="1" nd="1"/>
        <i x="264" s="1" nd="1"/>
        <i x="112" s="1" nd="1"/>
        <i x="234" s="1" nd="1"/>
        <i x="356" s="1" nd="1"/>
        <i x="52" s="1" nd="1"/>
        <i x="203" s="1" nd="1"/>
        <i x="173" s="1" nd="1"/>
        <i x="81" s="1" nd="1"/>
        <i x="142" s="1" nd="1"/>
        <i x="326" s="1" nd="1"/>
        <i x="295" s="1" nd="1"/>
        <i x="265" s="1" nd="1"/>
        <i x="113" s="1" nd="1"/>
        <i x="235" s="1" nd="1"/>
        <i x="357" s="1" nd="1"/>
        <i x="53" s="1" nd="1"/>
        <i x="204" s="1" nd="1"/>
        <i x="174" s="1" nd="1"/>
        <i x="82" s="1" nd="1"/>
        <i x="143" s="1" nd="1"/>
        <i x="327" s="1" nd="1"/>
        <i x="296" s="1" nd="1"/>
        <i x="266" s="1" nd="1"/>
        <i x="114" s="1" nd="1"/>
        <i x="236" s="1" nd="1"/>
        <i x="358" s="1" nd="1"/>
        <i x="54" s="1" nd="1"/>
        <i x="205" s="1" nd="1"/>
        <i x="175" s="1" nd="1"/>
        <i x="83" s="1" nd="1"/>
        <i x="144" s="1" nd="1"/>
        <i x="328" s="1" nd="1"/>
        <i x="297" s="1" nd="1"/>
        <i x="267" s="1" nd="1"/>
        <i x="115" s="1" nd="1"/>
        <i x="237" s="1" nd="1"/>
        <i x="359" s="1" nd="1"/>
        <i x="55" s="1" nd="1"/>
        <i x="206" s="1" nd="1"/>
        <i x="176" s="1" nd="1"/>
        <i x="84" s="1" nd="1"/>
        <i x="145" s="1" nd="1"/>
        <i x="329" s="1" nd="1"/>
        <i x="298" s="1" nd="1"/>
        <i x="268" s="1" nd="1"/>
        <i x="116" s="1" nd="1"/>
        <i x="238" s="1" nd="1"/>
        <i x="360" s="1" nd="1"/>
        <i x="56" s="1" nd="1"/>
        <i x="207" s="1" nd="1"/>
        <i x="177" s="1" nd="1"/>
        <i x="85" s="1" nd="1"/>
        <i x="146" s="1" nd="1"/>
        <i x="330" s="1" nd="1"/>
        <i x="299" s="1" nd="1"/>
        <i x="269" s="1" nd="1"/>
        <i x="117" s="1" nd="1"/>
        <i x="239" s="1" nd="1"/>
        <i x="361" s="1" nd="1"/>
        <i x="57" s="1" nd="1"/>
        <i x="208" s="1" nd="1"/>
        <i x="178" s="1" nd="1"/>
        <i x="86" s="1" nd="1"/>
        <i x="147" s="1" nd="1"/>
        <i x="331" s="1" nd="1"/>
        <i x="300" s="1" nd="1"/>
        <i x="270" s="1" nd="1"/>
        <i x="118" s="1" nd="1"/>
        <i x="240" s="1" nd="1"/>
        <i x="362" s="1" nd="1"/>
        <i x="58" s="1" nd="1"/>
        <i x="209" s="1" nd="1"/>
        <i x="179" s="1" nd="1"/>
        <i x="87" s="1" nd="1"/>
        <i x="148" s="1" nd="1"/>
        <i x="332" s="1" nd="1"/>
        <i x="301" s="1" nd="1"/>
        <i x="271" s="1" nd="1"/>
        <i x="119" s="1" nd="1"/>
        <i x="241" s="1" nd="1"/>
        <i x="363" s="1" nd="1"/>
        <i x="59" s="1" nd="1"/>
        <i x="210" s="1" nd="1"/>
        <i x="180" s="1" nd="1"/>
        <i x="88" s="1" nd="1"/>
        <i x="149" s="1" nd="1"/>
        <i x="333" s="1" nd="1"/>
        <i x="302" s="1" nd="1"/>
        <i x="272" s="1" nd="1"/>
        <i x="120" s="1" nd="1"/>
        <i x="242" s="1" nd="1"/>
        <i x="364" s="1" nd="1"/>
        <i x="60" s="1" nd="1"/>
        <i x="211" s="1" nd="1"/>
        <i x="181" s="1" nd="1"/>
        <i x="89" s="1" nd="1"/>
        <i x="150" s="1" nd="1"/>
        <i x="334" s="1" nd="1"/>
        <i x="303" s="1" nd="1"/>
        <i x="273" s="1" nd="1"/>
        <i x="93" s="1" nd="1"/>
        <i x="215" s="1" nd="1"/>
        <i x="337" s="1" nd="1"/>
        <i x="184" s="1" nd="1"/>
        <i x="154" s="1" nd="1"/>
        <i x="62" s="1" nd="1"/>
        <i x="123" s="1" nd="1"/>
        <i x="307" s="1" nd="1"/>
        <i x="276" s="1" nd="1"/>
        <i x="246" s="1" nd="1"/>
        <i x="121" s="1" nd="1"/>
        <i x="243" s="1" nd="1"/>
        <i x="365" s="1" nd="1"/>
        <i x="212" s="1" nd="1"/>
        <i x="182" s="1" nd="1"/>
        <i x="90" s="1" nd="1"/>
        <i x="151" s="1" nd="1"/>
        <i x="335" s="1" nd="1"/>
        <i x="304" s="1" nd="1"/>
        <i x="274" s="1" nd="1"/>
        <i x="244" s="1" nd="1"/>
        <i x="366" s="1" nd="1"/>
        <i x="213" s="1" nd="1"/>
        <i x="91" s="1" nd="1"/>
        <i x="152" s="1" nd="1"/>
        <i x="305" s="1" nd="1"/>
        <i x="94" s="1" nd="1"/>
        <i x="216" s="1" nd="1"/>
        <i x="338" s="1" nd="1"/>
        <i x="185" s="1" nd="1"/>
        <i x="155" s="1" nd="1"/>
        <i x="63" s="1" nd="1"/>
        <i x="124" s="1" nd="1"/>
        <i x="308" s="1" nd="1"/>
        <i x="277" s="1" nd="1"/>
        <i x="247" s="1" nd="1"/>
        <i x="95" s="1" nd="1"/>
        <i x="217" s="1" nd="1"/>
        <i x="339" s="1" nd="1"/>
        <i x="186" s="1" nd="1"/>
        <i x="156" s="1" nd="1"/>
        <i x="64" s="1" nd="1"/>
        <i x="125" s="1" nd="1"/>
        <i x="309" s="1" nd="1"/>
        <i x="278" s="1" nd="1"/>
        <i x="248" s="1" nd="1"/>
        <i x="96" s="1" nd="1"/>
        <i x="218" s="1" nd="1"/>
        <i x="340" s="1" nd="1"/>
        <i x="187" s="1" nd="1"/>
        <i x="157" s="1" nd="1"/>
        <i x="65" s="1" nd="1"/>
        <i x="126" s="1" nd="1"/>
        <i x="310" s="1" nd="1"/>
        <i x="279" s="1" nd="1"/>
        <i x="249" s="1" nd="1"/>
        <i x="97" s="1" nd="1"/>
        <i x="219" s="1" nd="1"/>
        <i x="341" s="1" nd="1"/>
        <i x="188" s="1" nd="1"/>
        <i x="158" s="1" nd="1"/>
        <i x="66" s="1" nd="1"/>
        <i x="127" s="1" nd="1"/>
        <i x="311" s="1" nd="1"/>
        <i x="280" s="1" nd="1"/>
        <i x="250" s="1" nd="1"/>
        <i x="98" s="1" nd="1"/>
        <i x="220" s="1" nd="1"/>
        <i x="342" s="1" nd="1"/>
        <i x="189" s="1" nd="1"/>
        <i x="159" s="1" nd="1"/>
        <i x="67" s="1" nd="1"/>
        <i x="128" s="1" nd="1"/>
        <i x="312" s="1" nd="1"/>
        <i x="281" s="1" nd="1"/>
        <i x="251" s="1" nd="1"/>
        <i x="99" s="1" nd="1"/>
        <i x="221" s="1" nd="1"/>
        <i x="343" s="1" nd="1"/>
        <i x="190" s="1" nd="1"/>
        <i x="160" s="1" nd="1"/>
        <i x="68" s="1" nd="1"/>
        <i x="129" s="1" nd="1"/>
        <i x="313" s="1" nd="1"/>
        <i x="282" s="1" nd="1"/>
        <i x="252" s="1" nd="1"/>
        <i x="100" s="1" nd="1"/>
        <i x="222" s="1" nd="1"/>
        <i x="344" s="1" nd="1"/>
        <i x="191" s="1" nd="1"/>
        <i x="161" s="1" nd="1"/>
        <i x="69" s="1" nd="1"/>
        <i x="130" s="1" nd="1"/>
        <i x="314" s="1" nd="1"/>
        <i x="283" s="1" nd="1"/>
        <i x="25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6810A554-8A5C-4386-A2AB-23CE870BA292}" sourceName="Temp">
  <pivotTables>
    <pivotTable tabId="13" name="PivotTable2"/>
  </pivotTables>
  <data>
    <tabular pivotCacheId="1662287246">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F1AC6946-2B6D-47A0-85D9-15E00EA43573}" sourceName="cnt">
  <pivotTables>
    <pivotTable tabId="13" name="PivotTable2"/>
  </pivotTables>
  <data>
    <tabular pivotCacheId="1662287246">
      <items count="19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65"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0140B589-CC2D-40FD-B021-527146FE9C07}" sourceName="Date">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1" xr10:uid="{4B137E8D-EE6C-41C5-8399-CC42877A415C}" sourceName="Hours">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1" xr10:uid="{11711ADE-77E9-46DC-A246-FBE17E1D34C1}" sourceName="Weekday">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7">
        <i x="1" s="1"/>
        <i x="2" s="1"/>
        <i x="3" s="1"/>
        <i x="4" s="1"/>
        <i x="6" s="1"/>
        <i x="0" s="1"/>
        <i x="5"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thers1" xr10:uid="{E84BF5A5-7DF8-4D5D-8420-C3FC19DD89C3}" sourceName="Wethers">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4">
        <i x="0" s="1"/>
        <i x="3" s="1"/>
        <i x="2"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1" xr10:uid="{A5957040-5BF0-499C-BC12-DBE92A316DE4}" sourceName="casual">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1" xr10:uid="{374BBC51-1C04-49D2-BCB1-DECF06F81AB3}" sourceName="registered">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1" xr10:uid="{69E50CC5-42D2-4158-BBE8-0349B19D1B34}" sourceName="cnt">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19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65"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1" xr10:uid="{B7E8FCB9-BF2E-4076-A35A-DF95B9E71413}" sourceName="Temp">
  <pivotTables>
    <pivotTable tabId="16" name="PivotTable1"/>
    <pivotTable tabId="16" name="PivotTable10"/>
    <pivotTable tabId="16" name="PivotTable2"/>
    <pivotTable tabId="16" name="PivotTable3"/>
    <pivotTable tabId="16" name="PivotTable4"/>
    <pivotTable tabId="16" name="PivotTable5"/>
    <pivotTable tabId="16" name="PivotTable8"/>
  </pivotTables>
  <data>
    <tabular pivotCacheId="2010998526">
      <items count="23">
        <i x="22" s="1"/>
        <i x="21" s="1"/>
        <i x="20" s="1"/>
        <i x="19" s="1"/>
        <i x="18" s="1"/>
        <i x="16" s="1"/>
        <i x="14" s="1"/>
        <i x="13" s="1"/>
        <i x="15" s="1"/>
        <i x="2" s="1"/>
        <i x="1" s="1"/>
        <i x="0" s="1"/>
        <i x="12" s="1"/>
        <i x="17" s="1"/>
        <i x="11" s="1"/>
        <i x="3" s="1"/>
        <i x="10" s="1"/>
        <i x="5" s="1"/>
        <i x="4" s="1"/>
        <i x="9"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 xr10:uid="{A28C97D0-7F50-4EA5-95E6-BC95F8F16014}" cache="Slicer_Hours" caption="Hours" startItem="21" rowHeight="241300"/>
  <slicer name="Wethers" xr10:uid="{B1374EEC-5F47-4146-8348-F9DA271D043A}" cache="Slicer_Wethers" caption="Wethers" rowHeight="241300"/>
  <slicer name="Weekday" xr10:uid="{319C96BC-DE2F-4A15-AEE2-39B225142CDA}" cache="Slicer_Weekday" caption="Weekday" rowHeight="241300"/>
  <slicer name="casual" xr10:uid="{5735F573-FC28-4BD4-B8FE-2DA735F6D719}" cache="Slicer_casual" caption="casual" rowHeight="241300"/>
  <slicer name="registered" xr10:uid="{2C3714A6-F42A-458D-ADB2-38648A34E2B9}" cache="Slicer_registered" caption="registered" rowHeight="241300"/>
  <slicer name="Date" xr10:uid="{7303D1DE-ACED-4BAA-A4A8-E4D27DFA9E92}" cache="Slicer_Date" caption="Date" rowHeight="241300"/>
  <slicer name="Temp" xr10:uid="{9B09C677-A7AE-4DAC-9DBC-67A643634187}" cache="Slicer_Temp" caption="Temp" rowHeight="241300"/>
  <slicer name="cnt" xr10:uid="{3DD6A18E-7D87-4285-8017-3769C8BBECFA}" cache="Slicer_cnt" caption="c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2" xr10:uid="{2134587D-A8FD-48BA-8735-BCB65B60472D}" cache="Slicer_Date1" caption="Date" rowHeight="241300"/>
  <slicer name="Hours 2" xr10:uid="{58D2AB39-0CD7-4BEE-AC07-C889DA878FAB}" cache="Slicer_Hours1" caption="Hours" rowHeight="241300"/>
  <slicer name="Weekday 2" xr10:uid="{3CBFA58B-B9E6-48D3-A005-7EDCA7C1C74C}" cache="Slicer_Weekday1" caption="Weekday" rowHeight="241300"/>
  <slicer name="Wethers 2" xr10:uid="{72074C68-4049-486C-8DC5-72B0E0E64F8E}" cache="Slicer_Wethers1" caption="Wethers" rowHeight="241300"/>
  <slicer name="casual 2" xr10:uid="{D762766B-B81E-4A2C-A23C-950481851886}" cache="Slicer_casual1" caption="casual" startItem="36" rowHeight="241300"/>
  <slicer name="registered 2" xr10:uid="{4FE6BA86-53AD-4365-AEDB-483F47E5A61B}" cache="Slicer_registered1" caption="registered" rowHeight="241300"/>
  <slicer name="cnt 2" xr10:uid="{2C528F38-2D80-40EE-84A2-D7D67C3297D2}" cache="Slicer_cnt1" caption="cnt" startItem="60" rowHeight="241300"/>
  <slicer name="Temp 2" xr10:uid="{37798365-3BEF-4502-8295-8DFF4C6D1F7E}" cache="Slicer_Temp1" caption="Temp"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E1963-0A79-475F-B230-78F056CC60E7}" name="Table1" displayName="Table1" ref="A1:H611" totalsRowShown="0" headerRowDxfId="89" dataDxfId="87" headerRowBorderDxfId="88" tableBorderDxfId="86" totalsRowBorderDxfId="85">
  <autoFilter ref="A1:H611" xr:uid="{F0D511E6-9420-4882-9070-8309A9D40D38}"/>
  <sortState ref="A2:H611">
    <sortCondition descending="1" ref="H1:H611"/>
  </sortState>
  <tableColumns count="8">
    <tableColumn id="1" xr3:uid="{896C0016-67F3-499A-AFE6-125BBD55939A}" name="Record ID" dataDxfId="84"/>
    <tableColumn id="2" xr3:uid="{0BC8E5CA-27D6-461C-B435-DA9F97273EEF}" name="instant" dataDxfId="83"/>
    <tableColumn id="3" xr3:uid="{ABD65A58-8B21-474D-85E8-628F305041C0}" name="Temp" dataDxfId="82"/>
    <tableColumn id="4" xr3:uid="{F9BD38E7-62AA-48D3-8C95-FF9C982E6331}" name="humudity" dataDxfId="81"/>
    <tableColumn id="5" xr3:uid="{0D90F97C-FD56-44F4-A6E8-27ECCEE47D76}" name="windspeed" dataDxfId="80"/>
    <tableColumn id="6" xr3:uid="{37B22F6B-8961-407F-BFFD-468DB6BD205F}" name="casual" dataDxfId="79"/>
    <tableColumn id="7" xr3:uid="{9AE0E8E9-90A8-4473-AAC4-8D9F56439E96}" name="registered" dataDxfId="78"/>
    <tableColumn id="8" xr3:uid="{E6B04CFC-2AC7-4FED-92EF-2AD2031736C1}" name="cnt" dataDxfId="7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1657E3-CDBD-48F6-977E-B36331050748}" name="Sheet1" displayName="Sheet1" ref="A1:P611" tableType="queryTable" totalsRowShown="0" dataDxfId="70">
  <autoFilter ref="A1:P611" xr:uid="{9FF27FD1-9C14-4180-ABDB-CB3E5DD6616F}"/>
  <tableColumns count="16">
    <tableColumn id="1" xr3:uid="{13B46E4F-B01C-4FC2-8703-49A8E066B863}" uniqueName="1" name="instant" queryTableFieldId="1" dataDxfId="69"/>
    <tableColumn id="2" xr3:uid="{672F5FD2-E69E-4B73-9C80-9FA8BF0F1228}" uniqueName="2" name="Date" queryTableFieldId="2" dataDxfId="68"/>
    <tableColumn id="3" xr3:uid="{80485069-6EAE-4FEC-80DA-AB3109F433EA}" uniqueName="3" name="season" queryTableFieldId="3" dataDxfId="67"/>
    <tableColumn id="4" xr3:uid="{2C36B412-B80B-474D-B0A7-8099B6A04A58}" uniqueName="4" name="Year" queryTableFieldId="4" dataDxfId="66"/>
    <tableColumn id="5" xr3:uid="{A48D84E5-029E-417A-B438-225B0A90549E}" uniqueName="5" name="Month" queryTableFieldId="5" dataDxfId="65"/>
    <tableColumn id="6" xr3:uid="{BA151C17-DCDA-4C74-B69A-434FDD4B6DB5}" uniqueName="6" name="Hours" queryTableFieldId="6" dataDxfId="64"/>
    <tableColumn id="7" xr3:uid="{959B0378-DF31-4F78-A5E8-8784F6D3BE8D}" uniqueName="7" name="Holiday" queryTableFieldId="7" dataDxfId="63"/>
    <tableColumn id="8" xr3:uid="{63E00C23-C646-4ACB-90DE-D2F0FA030594}" uniqueName="8" name="Weekday" queryTableFieldId="8" dataDxfId="62"/>
    <tableColumn id="9" xr3:uid="{0C5AFA50-F15E-4C32-9137-879ED264081A}" uniqueName="9" name="Wethers" queryTableFieldId="9" dataDxfId="61"/>
    <tableColumn id="10" xr3:uid="{576FD63F-AC7D-4069-9928-5D410AB98E4E}" uniqueName="10" name="Temp" queryTableFieldId="10" dataDxfId="60"/>
    <tableColumn id="11" xr3:uid="{373544D6-6210-48D8-96EB-121D3116FA5F}" uniqueName="11" name="atemp" queryTableFieldId="11" dataDxfId="59"/>
    <tableColumn id="12" xr3:uid="{3D0A12DD-F2BC-4C7F-835A-5F29F227C1E7}" uniqueName="12" name="hum" queryTableFieldId="12" dataDxfId="58"/>
    <tableColumn id="13" xr3:uid="{CC56FFE6-50A1-4D38-A81C-EBB00295D622}" uniqueName="13" name="windspeed" queryTableFieldId="13" dataDxfId="57"/>
    <tableColumn id="14" xr3:uid="{8BC3EEE8-9400-47B6-A2B1-127849CABE35}" uniqueName="14" name="casual" queryTableFieldId="14" dataDxfId="56"/>
    <tableColumn id="15" xr3:uid="{595CD646-5EF9-4DA3-AD1D-93A93472AA8B}" uniqueName="15" name="registered" queryTableFieldId="15" dataDxfId="55"/>
    <tableColumn id="16" xr3:uid="{C8033A7C-51F4-47A5-80B2-1E81DC491BE2}" uniqueName="16" name="cnt" queryTableFieldId="16" dataDxfId="5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6D4A1A-2B58-4930-BCE9-F0692270AEA7}" name="Sheet4" displayName="Sheet4" ref="A1:P1001" tableType="queryTable" totalsRowShown="0">
  <autoFilter ref="A1:P1001" xr:uid="{30EA1FE3-E7FC-48E1-84CF-D2DEF32E2661}"/>
  <tableColumns count="16">
    <tableColumn id="1" xr3:uid="{93FAA173-59E0-4C48-B885-D721C7167B54}" uniqueName="1" name="instant" queryTableFieldId="1"/>
    <tableColumn id="2" xr3:uid="{0A030415-BD8E-4258-8D25-F6851CFCB670}" uniqueName="2" name="Date" queryTableFieldId="2" dataDxfId="47"/>
    <tableColumn id="3" xr3:uid="{7BD24737-8A37-45BD-9E67-A175DB9832FC}" uniqueName="3" name="season" queryTableFieldId="3"/>
    <tableColumn id="4" xr3:uid="{78B9F712-33BD-47BE-A1A2-E406EDE66FFB}" uniqueName="4" name="Year" queryTableFieldId="4"/>
    <tableColumn id="5" xr3:uid="{D7B0CEA1-226C-4966-9035-290083F0C3B1}" uniqueName="5" name="Month" queryTableFieldId="5"/>
    <tableColumn id="6" xr3:uid="{571C191A-699E-48FB-BC80-D3466412393C}" uniqueName="6" name="Hours" queryTableFieldId="6"/>
    <tableColumn id="7" xr3:uid="{C66C4BF8-795B-40CB-BF1C-708875AAE2E8}" uniqueName="7" name="Holiday" queryTableFieldId="7"/>
    <tableColumn id="8" xr3:uid="{8D4117CC-AB7B-48E6-BF43-E41E6F1C726F}" uniqueName="8" name="Weekday" queryTableFieldId="8"/>
    <tableColumn id="9" xr3:uid="{AFA09669-C8DB-463B-B39B-AE30F77FB675}" uniqueName="9" name="Wethers" queryTableFieldId="9"/>
    <tableColumn id="10" xr3:uid="{DA889CDC-CA81-4766-84BC-8AA793411D3B}" uniqueName="10" name="Temp" queryTableFieldId="10"/>
    <tableColumn id="11" xr3:uid="{BD5C0B06-AF5F-4423-9F2E-628FDEFA0E18}" uniqueName="11" name="atemp" queryTableFieldId="11"/>
    <tableColumn id="12" xr3:uid="{F8483544-8324-49CD-9E7E-50D2E173EE62}" uniqueName="12" name="hum" queryTableFieldId="12"/>
    <tableColumn id="13" xr3:uid="{BCC5A207-70DE-4DCE-9E8D-C9B5795E931F}" uniqueName="13" name="windspeed" queryTableFieldId="13"/>
    <tableColumn id="14" xr3:uid="{D2661B67-9B7F-43DA-8F42-B6E52CED06DA}" uniqueName="14" name="casual" queryTableFieldId="14"/>
    <tableColumn id="15" xr3:uid="{BF7A4686-ED84-4E40-9BE7-84967D2776BD}" uniqueName="15" name="registered" queryTableFieldId="15"/>
    <tableColumn id="16" xr3:uid="{C2B0B0D7-D60C-49C3-AEDF-45A2BA2500E2}" uniqueName="16" name="cnt"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D0650C-EDEF-4F07-8965-AA5AD6C379E2}" name="Sheet45" displayName="Sheet45" ref="A1:P1001" tableType="queryTable" totalsRowShown="0" headerRowDxfId="46" dataDxfId="44" headerRowBorderDxfId="45" tableBorderDxfId="43" totalsRowBorderDxfId="42">
  <tableColumns count="16">
    <tableColumn id="1" xr3:uid="{DE689FFF-4191-4F69-A500-29B29DADB1C4}" uniqueName="1" name="instant" queryTableFieldId="1" dataDxfId="41"/>
    <tableColumn id="2" xr3:uid="{D5F00C12-DD70-4F3F-BF6D-0B3D6325B14B}" uniqueName="2" name="Date" queryTableFieldId="2" dataDxfId="40"/>
    <tableColumn id="3" xr3:uid="{C638EFEF-1707-4984-B7E6-9399BC1E624D}" uniqueName="3" name="season" queryTableFieldId="3" dataDxfId="39"/>
    <tableColumn id="4" xr3:uid="{21DFD731-EEEE-4371-8005-7E4E79D47B34}" uniqueName="4" name="Year" queryTableFieldId="4" dataDxfId="38"/>
    <tableColumn id="5" xr3:uid="{F800D2E9-38A0-4499-8EB5-64365EE0ECCB}" uniqueName="5" name="Month" queryTableFieldId="5" dataDxfId="37"/>
    <tableColumn id="6" xr3:uid="{315C10E8-9325-4205-9B66-BB688F575CCD}" uniqueName="6" name="Hours" queryTableFieldId="6" dataDxfId="36"/>
    <tableColumn id="7" xr3:uid="{6E0AF262-8921-4C89-B6C1-0DA87DF7F26F}" uniqueName="7" name="Holiday" queryTableFieldId="7" dataDxfId="35"/>
    <tableColumn id="8" xr3:uid="{6196E454-8DEC-49BF-97B1-51A145E37F44}" uniqueName="8" name="Weekday" queryTableFieldId="8" dataDxfId="34"/>
    <tableColumn id="9" xr3:uid="{6265AE41-9F11-4BDC-8A60-24D5F4AD4728}" uniqueName="9" name="Weathers" queryTableFieldId="9" dataDxfId="33"/>
    <tableColumn id="10" xr3:uid="{83604F91-9D99-4CF3-BD46-B30748BA00E6}" uniqueName="10" name="Temp" queryTableFieldId="10" dataDxfId="32"/>
    <tableColumn id="11" xr3:uid="{587822CD-A541-422A-91C0-CA6BBA58454A}" uniqueName="11" name="atemp" queryTableFieldId="11" dataDxfId="31"/>
    <tableColumn id="12" xr3:uid="{FAE4E7EE-4651-41AC-92C5-2CCFA30A243A}" uniqueName="12" name="hum" queryTableFieldId="12" dataDxfId="30"/>
    <tableColumn id="13" xr3:uid="{6FCC90DE-781C-4EE2-B8A5-51A09D54E122}" uniqueName="13" name="windspeed" queryTableFieldId="13" dataDxfId="29"/>
    <tableColumn id="14" xr3:uid="{21B84EDA-5E6C-41E1-B9EC-9D9838DB2D53}" uniqueName="14" name="casual" queryTableFieldId="14" dataDxfId="28"/>
    <tableColumn id="15" xr3:uid="{773FCCBE-669B-4822-A38F-69743ACB9884}" uniqueName="15" name="registered" queryTableFieldId="15" dataDxfId="27"/>
    <tableColumn id="16" xr3:uid="{6C7FAE30-CC80-4AA4-BA95-C7B940A5ECD3}" uniqueName="16" name="cnt" queryTableFieldId="16" dataDxfId="2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6A813E-07C2-4B9D-B738-5A134A45C087}" name="Table5" displayName="Table5" ref="A2:E39" totalsRowShown="0" headerRowDxfId="20" dataDxfId="19">
  <autoFilter ref="A2:E39" xr:uid="{234E1E78-9BE1-4D3A-9302-C3004923533E}"/>
  <tableColumns count="5">
    <tableColumn id="1" xr3:uid="{78568ED7-3BD6-4B1D-AA37-C66C49509F99}" name="Rental Hours" dataDxfId="25"/>
    <tableColumn id="2" xr3:uid="{F5B851CC-8F50-431A-8BD2-B196E4995BD8}" name="Sum of cnt" dataDxfId="24"/>
    <tableColumn id="3" xr3:uid="{B4520793-74F7-432D-AD35-C06D957054DE}" name="Forecast(Sum of cnt)" dataDxfId="23">
      <calculatedColumnFormula>_xlfn.FORECAST.ETS(A3,$B$3:$B$26,$A$3:$A$26,1,1)</calculatedColumnFormula>
    </tableColumn>
    <tableColumn id="4" xr3:uid="{2EC7C330-EA9B-4F01-878E-5AC640569B22}" name="Lower Confidence Bound(Sum of cnt)" dataDxfId="22">
      <calculatedColumnFormula>C3-_xlfn.FORECAST.ETS.CONFINT(A3,$B$3:$B$26,$A$3:$A$26,0.95,1,1)</calculatedColumnFormula>
    </tableColumn>
    <tableColumn id="5" xr3:uid="{E370C234-1859-4743-A4D6-43BDCF0F6CB8}" name="Upper Confidence Bound(Sum of cnt)" dataDxfId="21">
      <calculatedColumnFormula>C3+_xlfn.FORECAST.ETS.CONFINT(A3,$B$3:$B$26,$A$3:$A$26,0.95,1,1)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C92B-C6AE-4586-8EDD-F8E9A09E503F}">
  <dimension ref="A1:R611"/>
  <sheetViews>
    <sheetView workbookViewId="0">
      <selection activeCell="E216" sqref="E216"/>
    </sheetView>
  </sheetViews>
  <sheetFormatPr defaultRowHeight="14.5" x14ac:dyDescent="0.35"/>
  <cols>
    <col min="2" max="2" width="9.1796875" bestFit="1" customWidth="1"/>
    <col min="12" max="12" width="10.08984375" bestFit="1" customWidth="1"/>
    <col min="13" max="13" width="8.7265625" customWidth="1"/>
    <col min="17" max="17" width="12.26953125" bestFit="1" customWidth="1"/>
    <col min="18" max="18" width="5.81640625" bestFit="1" customWidth="1"/>
  </cols>
  <sheetData>
    <row r="1" spans="1:18" x14ac:dyDescent="0.35">
      <c r="A1" s="6" t="s">
        <v>0</v>
      </c>
      <c r="B1" s="6" t="s">
        <v>1</v>
      </c>
      <c r="C1" s="6" t="s">
        <v>2</v>
      </c>
      <c r="D1" s="6" t="s">
        <v>3</v>
      </c>
      <c r="E1" s="6" t="s">
        <v>4</v>
      </c>
      <c r="F1" s="6" t="s">
        <v>5</v>
      </c>
      <c r="G1" s="6" t="s">
        <v>6</v>
      </c>
      <c r="H1" s="6" t="s">
        <v>7</v>
      </c>
      <c r="I1" s="6" t="s">
        <v>8</v>
      </c>
      <c r="J1" s="6" t="s">
        <v>9</v>
      </c>
      <c r="L1" s="4" t="s">
        <v>1</v>
      </c>
      <c r="M1" s="4" t="s">
        <v>3</v>
      </c>
      <c r="N1" s="4" t="s">
        <v>24</v>
      </c>
      <c r="O1" s="4" t="s">
        <v>25</v>
      </c>
      <c r="Q1" s="5" t="s">
        <v>26</v>
      </c>
      <c r="R1" s="5" t="s">
        <v>27</v>
      </c>
    </row>
    <row r="2" spans="1:18" x14ac:dyDescent="0.35">
      <c r="A2" s="1">
        <v>1</v>
      </c>
      <c r="B2" s="2">
        <v>40544</v>
      </c>
      <c r="C2" s="1">
        <v>1</v>
      </c>
      <c r="D2" s="1">
        <v>0</v>
      </c>
      <c r="E2" s="1">
        <v>1</v>
      </c>
      <c r="F2" s="1">
        <v>0</v>
      </c>
      <c r="G2" s="1" t="b">
        <v>0</v>
      </c>
      <c r="H2" s="1">
        <v>6</v>
      </c>
      <c r="I2" s="1">
        <v>1</v>
      </c>
      <c r="J2" s="1">
        <v>0.24</v>
      </c>
      <c r="L2" s="3" t="str">
        <f>TEXT(B2,"yyyy-mm-dd")</f>
        <v>2011-01-01</v>
      </c>
      <c r="M2" s="3" t="str">
        <f>LEFT(L2,4)</f>
        <v>2011</v>
      </c>
      <c r="N2" s="3" t="str">
        <f>RIGHT(L2,2)</f>
        <v>01</v>
      </c>
      <c r="O2" s="3">
        <f>LEN(L2)</f>
        <v>10</v>
      </c>
      <c r="Q2" s="5" t="s">
        <v>28</v>
      </c>
      <c r="R2" s="5">
        <f>SUM(J2:J611)</f>
        <v>120.10000000000005</v>
      </c>
    </row>
    <row r="3" spans="1:18" x14ac:dyDescent="0.35">
      <c r="A3" s="1">
        <v>2</v>
      </c>
      <c r="B3" s="2">
        <v>40544</v>
      </c>
      <c r="C3" s="1">
        <v>1</v>
      </c>
      <c r="D3" s="1">
        <v>0</v>
      </c>
      <c r="E3" s="1">
        <v>1</v>
      </c>
      <c r="F3" s="1">
        <v>1</v>
      </c>
      <c r="G3" s="1" t="b">
        <v>0</v>
      </c>
      <c r="H3" s="1">
        <v>6</v>
      </c>
      <c r="I3" s="1">
        <v>1</v>
      </c>
      <c r="J3" s="1">
        <v>0.22</v>
      </c>
      <c r="L3" s="3" t="str">
        <f t="shared" ref="L3:L66" si="0">TEXT(B3,"yyyy-mm-dd")</f>
        <v>2011-01-01</v>
      </c>
      <c r="M3" s="3" t="str">
        <f t="shared" ref="M3:M66" si="1">LEFT(L3,4)</f>
        <v>2011</v>
      </c>
      <c r="N3" s="3" t="str">
        <f t="shared" ref="N3:N66" si="2">RIGHT(L3,2)</f>
        <v>01</v>
      </c>
      <c r="O3" s="3">
        <f t="shared" ref="O3:O66" si="3">LEN(L3)</f>
        <v>10</v>
      </c>
      <c r="Q3" s="5" t="s">
        <v>29</v>
      </c>
      <c r="R3" s="5">
        <f>AVERAGE(J2:J611)</f>
        <v>0.19688524590163942</v>
      </c>
    </row>
    <row r="4" spans="1:18" x14ac:dyDescent="0.35">
      <c r="A4" s="1">
        <v>3</v>
      </c>
      <c r="B4" s="2">
        <v>40544</v>
      </c>
      <c r="C4" s="1">
        <v>1</v>
      </c>
      <c r="D4" s="1">
        <v>0</v>
      </c>
      <c r="E4" s="1">
        <v>1</v>
      </c>
      <c r="F4" s="1">
        <v>2</v>
      </c>
      <c r="G4" s="1" t="b">
        <v>0</v>
      </c>
      <c r="H4" s="1">
        <v>6</v>
      </c>
      <c r="I4" s="1">
        <v>1</v>
      </c>
      <c r="J4" s="1">
        <v>0.22</v>
      </c>
      <c r="L4" s="3" t="str">
        <f t="shared" si="0"/>
        <v>2011-01-01</v>
      </c>
      <c r="M4" s="3" t="str">
        <f t="shared" si="1"/>
        <v>2011</v>
      </c>
      <c r="N4" s="3" t="str">
        <f t="shared" si="2"/>
        <v>01</v>
      </c>
      <c r="O4" s="3">
        <f t="shared" si="3"/>
        <v>10</v>
      </c>
      <c r="Q4" s="5" t="s">
        <v>30</v>
      </c>
      <c r="R4" s="5">
        <f>COUNT(A2:A611)</f>
        <v>610</v>
      </c>
    </row>
    <row r="5" spans="1:18" x14ac:dyDescent="0.35">
      <c r="A5" s="1">
        <v>4</v>
      </c>
      <c r="B5" s="2">
        <v>40544</v>
      </c>
      <c r="C5" s="1">
        <v>1</v>
      </c>
      <c r="D5" s="1">
        <v>0</v>
      </c>
      <c r="E5" s="1">
        <v>1</v>
      </c>
      <c r="F5" s="1">
        <v>3</v>
      </c>
      <c r="G5" s="1" t="b">
        <v>0</v>
      </c>
      <c r="H5" s="1">
        <v>6</v>
      </c>
      <c r="I5" s="1">
        <v>1</v>
      </c>
      <c r="J5" s="1">
        <v>0.24</v>
      </c>
      <c r="L5" s="3" t="str">
        <f t="shared" si="0"/>
        <v>2011-01-01</v>
      </c>
      <c r="M5" s="3" t="str">
        <f t="shared" si="1"/>
        <v>2011</v>
      </c>
      <c r="N5" s="3" t="str">
        <f t="shared" si="2"/>
        <v>01</v>
      </c>
      <c r="O5" s="3">
        <f t="shared" si="3"/>
        <v>10</v>
      </c>
      <c r="Q5" s="5" t="s">
        <v>31</v>
      </c>
      <c r="R5" s="5">
        <f>COUNTIF(G2:G611,TRUE)</f>
        <v>24</v>
      </c>
    </row>
    <row r="6" spans="1:18" x14ac:dyDescent="0.35">
      <c r="A6" s="1">
        <v>5</v>
      </c>
      <c r="B6" s="2">
        <v>40544</v>
      </c>
      <c r="C6" s="1">
        <v>1</v>
      </c>
      <c r="D6" s="1">
        <v>0</v>
      </c>
      <c r="E6" s="1">
        <v>1</v>
      </c>
      <c r="F6" s="1">
        <v>4</v>
      </c>
      <c r="G6" s="1" t="b">
        <v>0</v>
      </c>
      <c r="H6" s="1">
        <v>6</v>
      </c>
      <c r="I6" s="1">
        <v>1</v>
      </c>
      <c r="J6" s="1">
        <v>0.24</v>
      </c>
      <c r="L6" s="3" t="str">
        <f t="shared" si="0"/>
        <v>2011-01-01</v>
      </c>
      <c r="M6" s="3" t="str">
        <f t="shared" si="1"/>
        <v>2011</v>
      </c>
      <c r="N6" s="3" t="str">
        <f t="shared" si="2"/>
        <v>01</v>
      </c>
      <c r="O6" s="3">
        <f t="shared" si="3"/>
        <v>10</v>
      </c>
    </row>
    <row r="7" spans="1:18" x14ac:dyDescent="0.35">
      <c r="A7" s="1">
        <v>6</v>
      </c>
      <c r="B7" s="2">
        <v>40544</v>
      </c>
      <c r="C7" s="1">
        <v>1</v>
      </c>
      <c r="D7" s="1">
        <v>0</v>
      </c>
      <c r="E7" s="1">
        <v>1</v>
      </c>
      <c r="F7" s="1">
        <v>5</v>
      </c>
      <c r="G7" s="1" t="b">
        <v>0</v>
      </c>
      <c r="H7" s="1">
        <v>6</v>
      </c>
      <c r="I7" s="1">
        <v>2</v>
      </c>
      <c r="J7" s="1">
        <v>0.24</v>
      </c>
      <c r="L7" s="3" t="str">
        <f t="shared" si="0"/>
        <v>2011-01-01</v>
      </c>
      <c r="M7" s="3" t="str">
        <f t="shared" si="1"/>
        <v>2011</v>
      </c>
      <c r="N7" s="3" t="str">
        <f t="shared" si="2"/>
        <v>01</v>
      </c>
      <c r="O7" s="3">
        <f t="shared" si="3"/>
        <v>10</v>
      </c>
    </row>
    <row r="8" spans="1:18" x14ac:dyDescent="0.35">
      <c r="A8" s="1">
        <v>7</v>
      </c>
      <c r="B8" s="2">
        <v>40544</v>
      </c>
      <c r="C8" s="1">
        <v>1</v>
      </c>
      <c r="D8" s="1">
        <v>0</v>
      </c>
      <c r="E8" s="1">
        <v>1</v>
      </c>
      <c r="F8" s="1">
        <v>6</v>
      </c>
      <c r="G8" s="1" t="b">
        <v>0</v>
      </c>
      <c r="H8" s="1">
        <v>6</v>
      </c>
      <c r="I8" s="1">
        <v>1</v>
      </c>
      <c r="J8" s="1">
        <v>0.22</v>
      </c>
      <c r="L8" s="3" t="str">
        <f t="shared" si="0"/>
        <v>2011-01-01</v>
      </c>
      <c r="M8" s="3" t="str">
        <f t="shared" si="1"/>
        <v>2011</v>
      </c>
      <c r="N8" s="3" t="str">
        <f t="shared" si="2"/>
        <v>01</v>
      </c>
      <c r="O8" s="3">
        <f t="shared" si="3"/>
        <v>10</v>
      </c>
    </row>
    <row r="9" spans="1:18" x14ac:dyDescent="0.35">
      <c r="A9" s="1">
        <v>8</v>
      </c>
      <c r="B9" s="2">
        <v>40544</v>
      </c>
      <c r="C9" s="1">
        <v>1</v>
      </c>
      <c r="D9" s="1">
        <v>0</v>
      </c>
      <c r="E9" s="1">
        <v>1</v>
      </c>
      <c r="F9" s="1">
        <v>7</v>
      </c>
      <c r="G9" s="1" t="b">
        <v>0</v>
      </c>
      <c r="H9" s="1">
        <v>6</v>
      </c>
      <c r="I9" s="1">
        <v>1</v>
      </c>
      <c r="J9" s="1">
        <v>0.2</v>
      </c>
      <c r="L9" s="3" t="str">
        <f t="shared" si="0"/>
        <v>2011-01-01</v>
      </c>
      <c r="M9" s="3" t="str">
        <f t="shared" si="1"/>
        <v>2011</v>
      </c>
      <c r="N9" s="3" t="str">
        <f t="shared" si="2"/>
        <v>01</v>
      </c>
      <c r="O9" s="3">
        <f t="shared" si="3"/>
        <v>10</v>
      </c>
    </row>
    <row r="10" spans="1:18" x14ac:dyDescent="0.35">
      <c r="A10" s="1">
        <v>9</v>
      </c>
      <c r="B10" s="2">
        <v>40544</v>
      </c>
      <c r="C10" s="1">
        <v>1</v>
      </c>
      <c r="D10" s="1">
        <v>0</v>
      </c>
      <c r="E10" s="1">
        <v>1</v>
      </c>
      <c r="F10" s="1">
        <v>8</v>
      </c>
      <c r="G10" s="1" t="b">
        <v>0</v>
      </c>
      <c r="H10" s="1">
        <v>6</v>
      </c>
      <c r="I10" s="1">
        <v>1</v>
      </c>
      <c r="J10" s="1">
        <v>0.24</v>
      </c>
      <c r="L10" s="3" t="str">
        <f t="shared" si="0"/>
        <v>2011-01-01</v>
      </c>
      <c r="M10" s="3" t="str">
        <f t="shared" si="1"/>
        <v>2011</v>
      </c>
      <c r="N10" s="3" t="str">
        <f t="shared" si="2"/>
        <v>01</v>
      </c>
      <c r="O10" s="3">
        <f t="shared" si="3"/>
        <v>10</v>
      </c>
    </row>
    <row r="11" spans="1:18" x14ac:dyDescent="0.35">
      <c r="A11" s="1">
        <v>10</v>
      </c>
      <c r="B11" s="2">
        <v>40544</v>
      </c>
      <c r="C11" s="1">
        <v>1</v>
      </c>
      <c r="D11" s="1">
        <v>0</v>
      </c>
      <c r="E11" s="1">
        <v>1</v>
      </c>
      <c r="F11" s="1">
        <v>9</v>
      </c>
      <c r="G11" s="1" t="b">
        <v>0</v>
      </c>
      <c r="H11" s="1">
        <v>6</v>
      </c>
      <c r="I11" s="1">
        <v>1</v>
      </c>
      <c r="J11" s="1">
        <v>0.32</v>
      </c>
      <c r="L11" s="3" t="str">
        <f t="shared" si="0"/>
        <v>2011-01-01</v>
      </c>
      <c r="M11" s="3" t="str">
        <f t="shared" si="1"/>
        <v>2011</v>
      </c>
      <c r="N11" s="3" t="str">
        <f t="shared" si="2"/>
        <v>01</v>
      </c>
      <c r="O11" s="3">
        <f t="shared" si="3"/>
        <v>10</v>
      </c>
    </row>
    <row r="12" spans="1:18" x14ac:dyDescent="0.35">
      <c r="A12" s="1">
        <v>11</v>
      </c>
      <c r="B12" s="2">
        <v>40544</v>
      </c>
      <c r="C12" s="1">
        <v>1</v>
      </c>
      <c r="D12" s="1">
        <v>0</v>
      </c>
      <c r="E12" s="1">
        <v>1</v>
      </c>
      <c r="F12" s="1">
        <v>10</v>
      </c>
      <c r="G12" s="1" t="b">
        <v>0</v>
      </c>
      <c r="H12" s="1">
        <v>6</v>
      </c>
      <c r="I12" s="1">
        <v>1</v>
      </c>
      <c r="J12" s="1">
        <v>0.38</v>
      </c>
      <c r="L12" s="3" t="str">
        <f t="shared" si="0"/>
        <v>2011-01-01</v>
      </c>
      <c r="M12" s="3" t="str">
        <f t="shared" si="1"/>
        <v>2011</v>
      </c>
      <c r="N12" s="3" t="str">
        <f t="shared" si="2"/>
        <v>01</v>
      </c>
      <c r="O12" s="3">
        <f t="shared" si="3"/>
        <v>10</v>
      </c>
    </row>
    <row r="13" spans="1:18" x14ac:dyDescent="0.35">
      <c r="A13" s="1">
        <v>12</v>
      </c>
      <c r="B13" s="2">
        <v>40544</v>
      </c>
      <c r="C13" s="1">
        <v>1</v>
      </c>
      <c r="D13" s="1">
        <v>0</v>
      </c>
      <c r="E13" s="1">
        <v>1</v>
      </c>
      <c r="F13" s="1">
        <v>11</v>
      </c>
      <c r="G13" s="1" t="b">
        <v>0</v>
      </c>
      <c r="H13" s="1">
        <v>6</v>
      </c>
      <c r="I13" s="1">
        <v>1</v>
      </c>
      <c r="J13" s="1">
        <v>0.36</v>
      </c>
      <c r="L13" s="3" t="str">
        <f t="shared" si="0"/>
        <v>2011-01-01</v>
      </c>
      <c r="M13" s="3" t="str">
        <f t="shared" si="1"/>
        <v>2011</v>
      </c>
      <c r="N13" s="3" t="str">
        <f t="shared" si="2"/>
        <v>01</v>
      </c>
      <c r="O13" s="3">
        <f t="shared" si="3"/>
        <v>10</v>
      </c>
    </row>
    <row r="14" spans="1:18" x14ac:dyDescent="0.35">
      <c r="A14" s="1">
        <v>13</v>
      </c>
      <c r="B14" s="2">
        <v>40544</v>
      </c>
      <c r="C14" s="1">
        <v>1</v>
      </c>
      <c r="D14" s="1">
        <v>0</v>
      </c>
      <c r="E14" s="1">
        <v>1</v>
      </c>
      <c r="F14" s="1">
        <v>12</v>
      </c>
      <c r="G14" s="1" t="b">
        <v>0</v>
      </c>
      <c r="H14" s="1">
        <v>6</v>
      </c>
      <c r="I14" s="1">
        <v>1</v>
      </c>
      <c r="J14" s="1">
        <v>0.42</v>
      </c>
      <c r="L14" s="3" t="str">
        <f t="shared" si="0"/>
        <v>2011-01-01</v>
      </c>
      <c r="M14" s="3" t="str">
        <f t="shared" si="1"/>
        <v>2011</v>
      </c>
      <c r="N14" s="3" t="str">
        <f t="shared" si="2"/>
        <v>01</v>
      </c>
      <c r="O14" s="3">
        <f t="shared" si="3"/>
        <v>10</v>
      </c>
    </row>
    <row r="15" spans="1:18" x14ac:dyDescent="0.35">
      <c r="A15" s="1">
        <v>14</v>
      </c>
      <c r="B15" s="2">
        <v>40544</v>
      </c>
      <c r="C15" s="1">
        <v>1</v>
      </c>
      <c r="D15" s="1">
        <v>0</v>
      </c>
      <c r="E15" s="1">
        <v>1</v>
      </c>
      <c r="F15" s="1">
        <v>13</v>
      </c>
      <c r="G15" s="1" t="b">
        <v>0</v>
      </c>
      <c r="H15" s="1">
        <v>6</v>
      </c>
      <c r="I15" s="1">
        <v>2</v>
      </c>
      <c r="J15" s="1">
        <v>0.46</v>
      </c>
      <c r="L15" s="3" t="str">
        <f t="shared" si="0"/>
        <v>2011-01-01</v>
      </c>
      <c r="M15" s="3" t="str">
        <f t="shared" si="1"/>
        <v>2011</v>
      </c>
      <c r="N15" s="3" t="str">
        <f t="shared" si="2"/>
        <v>01</v>
      </c>
      <c r="O15" s="3">
        <f t="shared" si="3"/>
        <v>10</v>
      </c>
    </row>
    <row r="16" spans="1:18" x14ac:dyDescent="0.35">
      <c r="A16" s="1">
        <v>15</v>
      </c>
      <c r="B16" s="2">
        <v>40544</v>
      </c>
      <c r="C16" s="1">
        <v>1</v>
      </c>
      <c r="D16" s="1">
        <v>0</v>
      </c>
      <c r="E16" s="1">
        <v>1</v>
      </c>
      <c r="F16" s="1">
        <v>14</v>
      </c>
      <c r="G16" s="1" t="b">
        <v>0</v>
      </c>
      <c r="H16" s="1">
        <v>6</v>
      </c>
      <c r="I16" s="1">
        <v>2</v>
      </c>
      <c r="J16" s="1">
        <v>0.46</v>
      </c>
      <c r="L16" s="3" t="str">
        <f t="shared" si="0"/>
        <v>2011-01-01</v>
      </c>
      <c r="M16" s="3" t="str">
        <f t="shared" si="1"/>
        <v>2011</v>
      </c>
      <c r="N16" s="3" t="str">
        <f t="shared" si="2"/>
        <v>01</v>
      </c>
      <c r="O16" s="3">
        <f t="shared" si="3"/>
        <v>10</v>
      </c>
    </row>
    <row r="17" spans="1:15" x14ac:dyDescent="0.35">
      <c r="A17" s="1">
        <v>16</v>
      </c>
      <c r="B17" s="2">
        <v>40544</v>
      </c>
      <c r="C17" s="1">
        <v>1</v>
      </c>
      <c r="D17" s="1">
        <v>0</v>
      </c>
      <c r="E17" s="1">
        <v>1</v>
      </c>
      <c r="F17" s="1">
        <v>15</v>
      </c>
      <c r="G17" s="1" t="b">
        <v>0</v>
      </c>
      <c r="H17" s="1">
        <v>6</v>
      </c>
      <c r="I17" s="1">
        <v>2</v>
      </c>
      <c r="J17" s="1">
        <v>0.44</v>
      </c>
      <c r="L17" s="3" t="str">
        <f t="shared" si="0"/>
        <v>2011-01-01</v>
      </c>
      <c r="M17" s="3" t="str">
        <f t="shared" si="1"/>
        <v>2011</v>
      </c>
      <c r="N17" s="3" t="str">
        <f t="shared" si="2"/>
        <v>01</v>
      </c>
      <c r="O17" s="3">
        <f t="shared" si="3"/>
        <v>10</v>
      </c>
    </row>
    <row r="18" spans="1:15" x14ac:dyDescent="0.35">
      <c r="A18" s="1">
        <v>17</v>
      </c>
      <c r="B18" s="2">
        <v>40544</v>
      </c>
      <c r="C18" s="1">
        <v>1</v>
      </c>
      <c r="D18" s="1">
        <v>0</v>
      </c>
      <c r="E18" s="1">
        <v>1</v>
      </c>
      <c r="F18" s="1">
        <v>16</v>
      </c>
      <c r="G18" s="1" t="b">
        <v>0</v>
      </c>
      <c r="H18" s="1">
        <v>6</v>
      </c>
      <c r="I18" s="1">
        <v>2</v>
      </c>
      <c r="J18" s="1">
        <v>0.42</v>
      </c>
      <c r="L18" s="3" t="str">
        <f t="shared" si="0"/>
        <v>2011-01-01</v>
      </c>
      <c r="M18" s="3" t="str">
        <f t="shared" si="1"/>
        <v>2011</v>
      </c>
      <c r="N18" s="3" t="str">
        <f t="shared" si="2"/>
        <v>01</v>
      </c>
      <c r="O18" s="3">
        <f t="shared" si="3"/>
        <v>10</v>
      </c>
    </row>
    <row r="19" spans="1:15" x14ac:dyDescent="0.35">
      <c r="A19" s="1">
        <v>18</v>
      </c>
      <c r="B19" s="2">
        <v>40544</v>
      </c>
      <c r="C19" s="1">
        <v>1</v>
      </c>
      <c r="D19" s="1">
        <v>0</v>
      </c>
      <c r="E19" s="1">
        <v>1</v>
      </c>
      <c r="F19" s="1">
        <v>17</v>
      </c>
      <c r="G19" s="1" t="b">
        <v>0</v>
      </c>
      <c r="H19" s="1">
        <v>6</v>
      </c>
      <c r="I19" s="1">
        <v>2</v>
      </c>
      <c r="J19" s="1">
        <v>0.44</v>
      </c>
      <c r="L19" s="3" t="str">
        <f t="shared" si="0"/>
        <v>2011-01-01</v>
      </c>
      <c r="M19" s="3" t="str">
        <f t="shared" si="1"/>
        <v>2011</v>
      </c>
      <c r="N19" s="3" t="str">
        <f t="shared" si="2"/>
        <v>01</v>
      </c>
      <c r="O19" s="3">
        <f t="shared" si="3"/>
        <v>10</v>
      </c>
    </row>
    <row r="20" spans="1:15" x14ac:dyDescent="0.35">
      <c r="A20" s="1">
        <v>19</v>
      </c>
      <c r="B20" s="2">
        <v>40544</v>
      </c>
      <c r="C20" s="1">
        <v>1</v>
      </c>
      <c r="D20" s="1">
        <v>0</v>
      </c>
      <c r="E20" s="1">
        <v>1</v>
      </c>
      <c r="F20" s="1">
        <v>18</v>
      </c>
      <c r="G20" s="1" t="b">
        <v>0</v>
      </c>
      <c r="H20" s="1">
        <v>6</v>
      </c>
      <c r="I20" s="1">
        <v>3</v>
      </c>
      <c r="J20" s="1">
        <v>0.42</v>
      </c>
      <c r="L20" s="3" t="str">
        <f t="shared" si="0"/>
        <v>2011-01-01</v>
      </c>
      <c r="M20" s="3" t="str">
        <f t="shared" si="1"/>
        <v>2011</v>
      </c>
      <c r="N20" s="3" t="str">
        <f t="shared" si="2"/>
        <v>01</v>
      </c>
      <c r="O20" s="3">
        <f t="shared" si="3"/>
        <v>10</v>
      </c>
    </row>
    <row r="21" spans="1:15" x14ac:dyDescent="0.35">
      <c r="A21" s="1">
        <v>20</v>
      </c>
      <c r="B21" s="2">
        <v>40544</v>
      </c>
      <c r="C21" s="1">
        <v>1</v>
      </c>
      <c r="D21" s="1">
        <v>0</v>
      </c>
      <c r="E21" s="1">
        <v>1</v>
      </c>
      <c r="F21" s="1">
        <v>19</v>
      </c>
      <c r="G21" s="1" t="b">
        <v>0</v>
      </c>
      <c r="H21" s="1">
        <v>6</v>
      </c>
      <c r="I21" s="1">
        <v>3</v>
      </c>
      <c r="J21" s="1">
        <v>0.42</v>
      </c>
      <c r="L21" s="3" t="str">
        <f t="shared" si="0"/>
        <v>2011-01-01</v>
      </c>
      <c r="M21" s="3" t="str">
        <f t="shared" si="1"/>
        <v>2011</v>
      </c>
      <c r="N21" s="3" t="str">
        <f t="shared" si="2"/>
        <v>01</v>
      </c>
      <c r="O21" s="3">
        <f t="shared" si="3"/>
        <v>10</v>
      </c>
    </row>
    <row r="22" spans="1:15" x14ac:dyDescent="0.35">
      <c r="A22" s="1">
        <v>21</v>
      </c>
      <c r="B22" s="2">
        <v>40544</v>
      </c>
      <c r="C22" s="1">
        <v>1</v>
      </c>
      <c r="D22" s="1">
        <v>0</v>
      </c>
      <c r="E22" s="1">
        <v>1</v>
      </c>
      <c r="F22" s="1">
        <v>20</v>
      </c>
      <c r="G22" s="1" t="b">
        <v>0</v>
      </c>
      <c r="H22" s="1">
        <v>6</v>
      </c>
      <c r="I22" s="1">
        <v>2</v>
      </c>
      <c r="J22" s="1">
        <v>0.4</v>
      </c>
      <c r="L22" s="3" t="str">
        <f t="shared" si="0"/>
        <v>2011-01-01</v>
      </c>
      <c r="M22" s="3" t="str">
        <f t="shared" si="1"/>
        <v>2011</v>
      </c>
      <c r="N22" s="3" t="str">
        <f t="shared" si="2"/>
        <v>01</v>
      </c>
      <c r="O22" s="3">
        <f t="shared" si="3"/>
        <v>10</v>
      </c>
    </row>
    <row r="23" spans="1:15" x14ac:dyDescent="0.35">
      <c r="A23" s="1">
        <v>22</v>
      </c>
      <c r="B23" s="2">
        <v>40544</v>
      </c>
      <c r="C23" s="1">
        <v>1</v>
      </c>
      <c r="D23" s="1">
        <v>0</v>
      </c>
      <c r="E23" s="1">
        <v>1</v>
      </c>
      <c r="F23" s="1">
        <v>21</v>
      </c>
      <c r="G23" s="1" t="b">
        <v>0</v>
      </c>
      <c r="H23" s="1">
        <v>6</v>
      </c>
      <c r="I23" s="1">
        <v>2</v>
      </c>
      <c r="J23" s="1">
        <v>0.4</v>
      </c>
      <c r="L23" s="3" t="str">
        <f t="shared" si="0"/>
        <v>2011-01-01</v>
      </c>
      <c r="M23" s="3" t="str">
        <f t="shared" si="1"/>
        <v>2011</v>
      </c>
      <c r="N23" s="3" t="str">
        <f t="shared" si="2"/>
        <v>01</v>
      </c>
      <c r="O23" s="3">
        <f t="shared" si="3"/>
        <v>10</v>
      </c>
    </row>
    <row r="24" spans="1:15" x14ac:dyDescent="0.35">
      <c r="A24" s="1">
        <v>23</v>
      </c>
      <c r="B24" s="2">
        <v>40544</v>
      </c>
      <c r="C24" s="1">
        <v>1</v>
      </c>
      <c r="D24" s="1">
        <v>0</v>
      </c>
      <c r="E24" s="1">
        <v>1</v>
      </c>
      <c r="F24" s="1">
        <v>22</v>
      </c>
      <c r="G24" s="1" t="b">
        <v>0</v>
      </c>
      <c r="H24" s="1">
        <v>6</v>
      </c>
      <c r="I24" s="1">
        <v>2</v>
      </c>
      <c r="J24" s="1">
        <v>0.4</v>
      </c>
      <c r="L24" s="3" t="str">
        <f t="shared" si="0"/>
        <v>2011-01-01</v>
      </c>
      <c r="M24" s="3" t="str">
        <f t="shared" si="1"/>
        <v>2011</v>
      </c>
      <c r="N24" s="3" t="str">
        <f t="shared" si="2"/>
        <v>01</v>
      </c>
      <c r="O24" s="3">
        <f t="shared" si="3"/>
        <v>10</v>
      </c>
    </row>
    <row r="25" spans="1:15" x14ac:dyDescent="0.35">
      <c r="A25" s="1">
        <v>24</v>
      </c>
      <c r="B25" s="2">
        <v>40544</v>
      </c>
      <c r="C25" s="1">
        <v>1</v>
      </c>
      <c r="D25" s="1">
        <v>0</v>
      </c>
      <c r="E25" s="1">
        <v>1</v>
      </c>
      <c r="F25" s="1">
        <v>23</v>
      </c>
      <c r="G25" s="1" t="b">
        <v>0</v>
      </c>
      <c r="H25" s="1">
        <v>6</v>
      </c>
      <c r="I25" s="1">
        <v>2</v>
      </c>
      <c r="J25" s="1">
        <v>0.46</v>
      </c>
      <c r="L25" s="3" t="str">
        <f t="shared" si="0"/>
        <v>2011-01-01</v>
      </c>
      <c r="M25" s="3" t="str">
        <f t="shared" si="1"/>
        <v>2011</v>
      </c>
      <c r="N25" s="3" t="str">
        <f t="shared" si="2"/>
        <v>01</v>
      </c>
      <c r="O25" s="3">
        <f t="shared" si="3"/>
        <v>10</v>
      </c>
    </row>
    <row r="26" spans="1:15" x14ac:dyDescent="0.35">
      <c r="A26" s="1">
        <v>25</v>
      </c>
      <c r="B26" s="2">
        <v>40545</v>
      </c>
      <c r="C26" s="1">
        <v>1</v>
      </c>
      <c r="D26" s="1">
        <v>0</v>
      </c>
      <c r="E26" s="1">
        <v>1</v>
      </c>
      <c r="F26" s="1">
        <v>0</v>
      </c>
      <c r="G26" s="1" t="b">
        <v>0</v>
      </c>
      <c r="H26" s="1">
        <v>0</v>
      </c>
      <c r="I26" s="1">
        <v>2</v>
      </c>
      <c r="J26" s="1">
        <v>0.46</v>
      </c>
      <c r="L26" s="3" t="str">
        <f t="shared" si="0"/>
        <v>2011-01-02</v>
      </c>
      <c r="M26" s="3" t="str">
        <f t="shared" si="1"/>
        <v>2011</v>
      </c>
      <c r="N26" s="3" t="str">
        <f t="shared" si="2"/>
        <v>02</v>
      </c>
      <c r="O26" s="3">
        <f t="shared" si="3"/>
        <v>10</v>
      </c>
    </row>
    <row r="27" spans="1:15" x14ac:dyDescent="0.35">
      <c r="A27" s="1">
        <v>26</v>
      </c>
      <c r="B27" s="2">
        <v>40545</v>
      </c>
      <c r="C27" s="1">
        <v>1</v>
      </c>
      <c r="D27" s="1">
        <v>0</v>
      </c>
      <c r="E27" s="1">
        <v>1</v>
      </c>
      <c r="F27" s="1">
        <v>1</v>
      </c>
      <c r="G27" s="1" t="b">
        <v>0</v>
      </c>
      <c r="H27" s="1">
        <v>0</v>
      </c>
      <c r="I27" s="1">
        <v>2</v>
      </c>
      <c r="J27" s="1">
        <v>0.44</v>
      </c>
      <c r="L27" s="3" t="str">
        <f t="shared" si="0"/>
        <v>2011-01-02</v>
      </c>
      <c r="M27" s="3" t="str">
        <f t="shared" si="1"/>
        <v>2011</v>
      </c>
      <c r="N27" s="3" t="str">
        <f t="shared" si="2"/>
        <v>02</v>
      </c>
      <c r="O27" s="3">
        <f t="shared" si="3"/>
        <v>10</v>
      </c>
    </row>
    <row r="28" spans="1:15" x14ac:dyDescent="0.35">
      <c r="A28" s="1">
        <v>27</v>
      </c>
      <c r="B28" s="2">
        <v>40545</v>
      </c>
      <c r="C28" s="1">
        <v>1</v>
      </c>
      <c r="D28" s="1">
        <v>0</v>
      </c>
      <c r="E28" s="1">
        <v>1</v>
      </c>
      <c r="F28" s="1">
        <v>2</v>
      </c>
      <c r="G28" s="1" t="b">
        <v>0</v>
      </c>
      <c r="H28" s="1">
        <v>0</v>
      </c>
      <c r="I28" s="1">
        <v>2</v>
      </c>
      <c r="J28" s="1">
        <v>0.42</v>
      </c>
      <c r="L28" s="3" t="str">
        <f t="shared" si="0"/>
        <v>2011-01-02</v>
      </c>
      <c r="M28" s="3" t="str">
        <f t="shared" si="1"/>
        <v>2011</v>
      </c>
      <c r="N28" s="3" t="str">
        <f t="shared" si="2"/>
        <v>02</v>
      </c>
      <c r="O28" s="3">
        <f t="shared" si="3"/>
        <v>10</v>
      </c>
    </row>
    <row r="29" spans="1:15" x14ac:dyDescent="0.35">
      <c r="A29" s="1">
        <v>28</v>
      </c>
      <c r="B29" s="2">
        <v>40545</v>
      </c>
      <c r="C29" s="1">
        <v>1</v>
      </c>
      <c r="D29" s="1">
        <v>0</v>
      </c>
      <c r="E29" s="1">
        <v>1</v>
      </c>
      <c r="F29" s="1">
        <v>3</v>
      </c>
      <c r="G29" s="1" t="b">
        <v>0</v>
      </c>
      <c r="H29" s="1">
        <v>0</v>
      </c>
      <c r="I29" s="1">
        <v>2</v>
      </c>
      <c r="J29" s="1">
        <v>0.46</v>
      </c>
      <c r="L29" s="3" t="str">
        <f t="shared" si="0"/>
        <v>2011-01-02</v>
      </c>
      <c r="M29" s="3" t="str">
        <f t="shared" si="1"/>
        <v>2011</v>
      </c>
      <c r="N29" s="3" t="str">
        <f t="shared" si="2"/>
        <v>02</v>
      </c>
      <c r="O29" s="3">
        <f t="shared" si="3"/>
        <v>10</v>
      </c>
    </row>
    <row r="30" spans="1:15" x14ac:dyDescent="0.35">
      <c r="A30" s="1">
        <v>29</v>
      </c>
      <c r="B30" s="2">
        <v>40545</v>
      </c>
      <c r="C30" s="1">
        <v>1</v>
      </c>
      <c r="D30" s="1">
        <v>0</v>
      </c>
      <c r="E30" s="1">
        <v>1</v>
      </c>
      <c r="F30" s="1">
        <v>4</v>
      </c>
      <c r="G30" s="1" t="b">
        <v>0</v>
      </c>
      <c r="H30" s="1">
        <v>0</v>
      </c>
      <c r="I30" s="1">
        <v>2</v>
      </c>
      <c r="J30" s="1">
        <v>0.46</v>
      </c>
      <c r="L30" s="3" t="str">
        <f t="shared" si="0"/>
        <v>2011-01-02</v>
      </c>
      <c r="M30" s="3" t="str">
        <f t="shared" si="1"/>
        <v>2011</v>
      </c>
      <c r="N30" s="3" t="str">
        <f t="shared" si="2"/>
        <v>02</v>
      </c>
      <c r="O30" s="3">
        <f t="shared" si="3"/>
        <v>10</v>
      </c>
    </row>
    <row r="31" spans="1:15" x14ac:dyDescent="0.35">
      <c r="A31" s="1">
        <v>30</v>
      </c>
      <c r="B31" s="2">
        <v>40545</v>
      </c>
      <c r="C31" s="1">
        <v>1</v>
      </c>
      <c r="D31" s="1">
        <v>0</v>
      </c>
      <c r="E31" s="1">
        <v>1</v>
      </c>
      <c r="F31" s="1">
        <v>6</v>
      </c>
      <c r="G31" s="1" t="b">
        <v>0</v>
      </c>
      <c r="H31" s="1">
        <v>0</v>
      </c>
      <c r="I31" s="1">
        <v>3</v>
      </c>
      <c r="J31" s="1">
        <v>0.42</v>
      </c>
      <c r="L31" s="3" t="str">
        <f t="shared" si="0"/>
        <v>2011-01-02</v>
      </c>
      <c r="M31" s="3" t="str">
        <f t="shared" si="1"/>
        <v>2011</v>
      </c>
      <c r="N31" s="3" t="str">
        <f t="shared" si="2"/>
        <v>02</v>
      </c>
      <c r="O31" s="3">
        <f t="shared" si="3"/>
        <v>10</v>
      </c>
    </row>
    <row r="32" spans="1:15" x14ac:dyDescent="0.35">
      <c r="A32" s="1">
        <v>31</v>
      </c>
      <c r="B32" s="2">
        <v>40545</v>
      </c>
      <c r="C32" s="1">
        <v>1</v>
      </c>
      <c r="D32" s="1">
        <v>0</v>
      </c>
      <c r="E32" s="1">
        <v>1</v>
      </c>
      <c r="F32" s="1">
        <v>7</v>
      </c>
      <c r="G32" s="1" t="b">
        <v>0</v>
      </c>
      <c r="H32" s="1">
        <v>0</v>
      </c>
      <c r="I32" s="1">
        <v>2</v>
      </c>
      <c r="J32" s="1">
        <v>0.4</v>
      </c>
      <c r="L32" s="3" t="str">
        <f t="shared" si="0"/>
        <v>2011-01-02</v>
      </c>
      <c r="M32" s="3" t="str">
        <f t="shared" si="1"/>
        <v>2011</v>
      </c>
      <c r="N32" s="3" t="str">
        <f t="shared" si="2"/>
        <v>02</v>
      </c>
      <c r="O32" s="3">
        <f t="shared" si="3"/>
        <v>10</v>
      </c>
    </row>
    <row r="33" spans="1:15" x14ac:dyDescent="0.35">
      <c r="A33" s="1">
        <v>32</v>
      </c>
      <c r="B33" s="2">
        <v>40545</v>
      </c>
      <c r="C33" s="1">
        <v>1</v>
      </c>
      <c r="D33" s="1">
        <v>0</v>
      </c>
      <c r="E33" s="1">
        <v>1</v>
      </c>
      <c r="F33" s="1">
        <v>8</v>
      </c>
      <c r="G33" s="1" t="b">
        <v>0</v>
      </c>
      <c r="H33" s="1">
        <v>0</v>
      </c>
      <c r="I33" s="1">
        <v>3</v>
      </c>
      <c r="J33" s="1">
        <v>0.4</v>
      </c>
      <c r="L33" s="3" t="str">
        <f t="shared" si="0"/>
        <v>2011-01-02</v>
      </c>
      <c r="M33" s="3" t="str">
        <f t="shared" si="1"/>
        <v>2011</v>
      </c>
      <c r="N33" s="3" t="str">
        <f t="shared" si="2"/>
        <v>02</v>
      </c>
      <c r="O33" s="3">
        <f t="shared" si="3"/>
        <v>10</v>
      </c>
    </row>
    <row r="34" spans="1:15" x14ac:dyDescent="0.35">
      <c r="A34" s="1">
        <v>33</v>
      </c>
      <c r="B34" s="2">
        <v>40545</v>
      </c>
      <c r="C34" s="1">
        <v>1</v>
      </c>
      <c r="D34" s="1">
        <v>0</v>
      </c>
      <c r="E34" s="1">
        <v>1</v>
      </c>
      <c r="F34" s="1">
        <v>9</v>
      </c>
      <c r="G34" s="1" t="b">
        <v>0</v>
      </c>
      <c r="H34" s="1">
        <v>0</v>
      </c>
      <c r="I34" s="1">
        <v>2</v>
      </c>
      <c r="J34" s="1">
        <v>0.38</v>
      </c>
      <c r="L34" s="3" t="str">
        <f t="shared" si="0"/>
        <v>2011-01-02</v>
      </c>
      <c r="M34" s="3" t="str">
        <f t="shared" si="1"/>
        <v>2011</v>
      </c>
      <c r="N34" s="3" t="str">
        <f t="shared" si="2"/>
        <v>02</v>
      </c>
      <c r="O34" s="3">
        <f t="shared" si="3"/>
        <v>10</v>
      </c>
    </row>
    <row r="35" spans="1:15" x14ac:dyDescent="0.35">
      <c r="A35" s="1">
        <v>34</v>
      </c>
      <c r="B35" s="2">
        <v>40545</v>
      </c>
      <c r="C35" s="1">
        <v>1</v>
      </c>
      <c r="D35" s="1">
        <v>0</v>
      </c>
      <c r="E35" s="1">
        <v>1</v>
      </c>
      <c r="F35" s="1">
        <v>10</v>
      </c>
      <c r="G35" s="1" t="b">
        <v>0</v>
      </c>
      <c r="H35" s="1">
        <v>0</v>
      </c>
      <c r="I35" s="1">
        <v>2</v>
      </c>
      <c r="J35" s="1">
        <v>0.36</v>
      </c>
      <c r="L35" s="3" t="str">
        <f t="shared" si="0"/>
        <v>2011-01-02</v>
      </c>
      <c r="M35" s="3" t="str">
        <f t="shared" si="1"/>
        <v>2011</v>
      </c>
      <c r="N35" s="3" t="str">
        <f t="shared" si="2"/>
        <v>02</v>
      </c>
      <c r="O35" s="3">
        <f t="shared" si="3"/>
        <v>10</v>
      </c>
    </row>
    <row r="36" spans="1:15" x14ac:dyDescent="0.35">
      <c r="A36" s="1">
        <v>35</v>
      </c>
      <c r="B36" s="2">
        <v>40545</v>
      </c>
      <c r="C36" s="1">
        <v>1</v>
      </c>
      <c r="D36" s="1">
        <v>0</v>
      </c>
      <c r="E36" s="1">
        <v>1</v>
      </c>
      <c r="F36" s="1">
        <v>11</v>
      </c>
      <c r="G36" s="1" t="b">
        <v>0</v>
      </c>
      <c r="H36" s="1">
        <v>0</v>
      </c>
      <c r="I36" s="1">
        <v>2</v>
      </c>
      <c r="J36" s="1">
        <v>0.36</v>
      </c>
      <c r="L36" s="3" t="str">
        <f t="shared" si="0"/>
        <v>2011-01-02</v>
      </c>
      <c r="M36" s="3" t="str">
        <f t="shared" si="1"/>
        <v>2011</v>
      </c>
      <c r="N36" s="3" t="str">
        <f t="shared" si="2"/>
        <v>02</v>
      </c>
      <c r="O36" s="3">
        <f t="shared" si="3"/>
        <v>10</v>
      </c>
    </row>
    <row r="37" spans="1:15" x14ac:dyDescent="0.35">
      <c r="A37" s="1">
        <v>36</v>
      </c>
      <c r="B37" s="2">
        <v>40545</v>
      </c>
      <c r="C37" s="1">
        <v>1</v>
      </c>
      <c r="D37" s="1">
        <v>0</v>
      </c>
      <c r="E37" s="1">
        <v>1</v>
      </c>
      <c r="F37" s="1">
        <v>12</v>
      </c>
      <c r="G37" s="1" t="b">
        <v>0</v>
      </c>
      <c r="H37" s="1">
        <v>0</v>
      </c>
      <c r="I37" s="1">
        <v>2</v>
      </c>
      <c r="J37" s="1">
        <v>0.36</v>
      </c>
      <c r="L37" s="3" t="str">
        <f t="shared" si="0"/>
        <v>2011-01-02</v>
      </c>
      <c r="M37" s="3" t="str">
        <f t="shared" si="1"/>
        <v>2011</v>
      </c>
      <c r="N37" s="3" t="str">
        <f t="shared" si="2"/>
        <v>02</v>
      </c>
      <c r="O37" s="3">
        <f t="shared" si="3"/>
        <v>10</v>
      </c>
    </row>
    <row r="38" spans="1:15" x14ac:dyDescent="0.35">
      <c r="A38" s="1">
        <v>37</v>
      </c>
      <c r="B38" s="2">
        <v>40545</v>
      </c>
      <c r="C38" s="1">
        <v>1</v>
      </c>
      <c r="D38" s="1">
        <v>0</v>
      </c>
      <c r="E38" s="1">
        <v>1</v>
      </c>
      <c r="F38" s="1">
        <v>13</v>
      </c>
      <c r="G38" s="1" t="b">
        <v>0</v>
      </c>
      <c r="H38" s="1">
        <v>0</v>
      </c>
      <c r="I38" s="1">
        <v>2</v>
      </c>
      <c r="J38" s="1">
        <v>0.36</v>
      </c>
      <c r="L38" s="3" t="str">
        <f t="shared" si="0"/>
        <v>2011-01-02</v>
      </c>
      <c r="M38" s="3" t="str">
        <f t="shared" si="1"/>
        <v>2011</v>
      </c>
      <c r="N38" s="3" t="str">
        <f t="shared" si="2"/>
        <v>02</v>
      </c>
      <c r="O38" s="3">
        <f t="shared" si="3"/>
        <v>10</v>
      </c>
    </row>
    <row r="39" spans="1:15" x14ac:dyDescent="0.35">
      <c r="A39" s="1">
        <v>38</v>
      </c>
      <c r="B39" s="2">
        <v>40545</v>
      </c>
      <c r="C39" s="1">
        <v>1</v>
      </c>
      <c r="D39" s="1">
        <v>0</v>
      </c>
      <c r="E39" s="1">
        <v>1</v>
      </c>
      <c r="F39" s="1">
        <v>14</v>
      </c>
      <c r="G39" s="1" t="b">
        <v>0</v>
      </c>
      <c r="H39" s="1">
        <v>0</v>
      </c>
      <c r="I39" s="1">
        <v>3</v>
      </c>
      <c r="J39" s="1">
        <v>0.36</v>
      </c>
      <c r="L39" s="3" t="str">
        <f t="shared" si="0"/>
        <v>2011-01-02</v>
      </c>
      <c r="M39" s="3" t="str">
        <f t="shared" si="1"/>
        <v>2011</v>
      </c>
      <c r="N39" s="3" t="str">
        <f t="shared" si="2"/>
        <v>02</v>
      </c>
      <c r="O39" s="3">
        <f t="shared" si="3"/>
        <v>10</v>
      </c>
    </row>
    <row r="40" spans="1:15" x14ac:dyDescent="0.35">
      <c r="A40" s="1">
        <v>39</v>
      </c>
      <c r="B40" s="2">
        <v>40545</v>
      </c>
      <c r="C40" s="1">
        <v>1</v>
      </c>
      <c r="D40" s="1">
        <v>0</v>
      </c>
      <c r="E40" s="1">
        <v>1</v>
      </c>
      <c r="F40" s="1">
        <v>15</v>
      </c>
      <c r="G40" s="1" t="b">
        <v>0</v>
      </c>
      <c r="H40" s="1">
        <v>0</v>
      </c>
      <c r="I40" s="1">
        <v>3</v>
      </c>
      <c r="J40" s="1">
        <v>0.34</v>
      </c>
      <c r="L40" s="3" t="str">
        <f t="shared" si="0"/>
        <v>2011-01-02</v>
      </c>
      <c r="M40" s="3" t="str">
        <f t="shared" si="1"/>
        <v>2011</v>
      </c>
      <c r="N40" s="3" t="str">
        <f t="shared" si="2"/>
        <v>02</v>
      </c>
      <c r="O40" s="3">
        <f t="shared" si="3"/>
        <v>10</v>
      </c>
    </row>
    <row r="41" spans="1:15" x14ac:dyDescent="0.35">
      <c r="A41" s="1">
        <v>40</v>
      </c>
      <c r="B41" s="2">
        <v>40545</v>
      </c>
      <c r="C41" s="1">
        <v>1</v>
      </c>
      <c r="D41" s="1">
        <v>0</v>
      </c>
      <c r="E41" s="1">
        <v>1</v>
      </c>
      <c r="F41" s="1">
        <v>16</v>
      </c>
      <c r="G41" s="1" t="b">
        <v>0</v>
      </c>
      <c r="H41" s="1">
        <v>0</v>
      </c>
      <c r="I41" s="1">
        <v>3</v>
      </c>
      <c r="J41" s="1">
        <v>0.34</v>
      </c>
      <c r="L41" s="3" t="str">
        <f t="shared" si="0"/>
        <v>2011-01-02</v>
      </c>
      <c r="M41" s="3" t="str">
        <f t="shared" si="1"/>
        <v>2011</v>
      </c>
      <c r="N41" s="3" t="str">
        <f t="shared" si="2"/>
        <v>02</v>
      </c>
      <c r="O41" s="3">
        <f t="shared" si="3"/>
        <v>10</v>
      </c>
    </row>
    <row r="42" spans="1:15" x14ac:dyDescent="0.35">
      <c r="A42" s="1">
        <v>41</v>
      </c>
      <c r="B42" s="2">
        <v>40545</v>
      </c>
      <c r="C42" s="1">
        <v>1</v>
      </c>
      <c r="D42" s="1">
        <v>0</v>
      </c>
      <c r="E42" s="1">
        <v>1</v>
      </c>
      <c r="F42" s="1">
        <v>17</v>
      </c>
      <c r="G42" s="1" t="b">
        <v>0</v>
      </c>
      <c r="H42" s="1">
        <v>0</v>
      </c>
      <c r="I42" s="1">
        <v>1</v>
      </c>
      <c r="J42" s="1">
        <v>0.34</v>
      </c>
      <c r="L42" s="3" t="str">
        <f t="shared" si="0"/>
        <v>2011-01-02</v>
      </c>
      <c r="M42" s="3" t="str">
        <f t="shared" si="1"/>
        <v>2011</v>
      </c>
      <c r="N42" s="3" t="str">
        <f t="shared" si="2"/>
        <v>02</v>
      </c>
      <c r="O42" s="3">
        <f t="shared" si="3"/>
        <v>10</v>
      </c>
    </row>
    <row r="43" spans="1:15" x14ac:dyDescent="0.35">
      <c r="A43" s="1">
        <v>42</v>
      </c>
      <c r="B43" s="2">
        <v>40545</v>
      </c>
      <c r="C43" s="1">
        <v>1</v>
      </c>
      <c r="D43" s="1">
        <v>0</v>
      </c>
      <c r="E43" s="1">
        <v>1</v>
      </c>
      <c r="F43" s="1">
        <v>18</v>
      </c>
      <c r="G43" s="1" t="b">
        <v>0</v>
      </c>
      <c r="H43" s="1">
        <v>0</v>
      </c>
      <c r="I43" s="1">
        <v>2</v>
      </c>
      <c r="J43" s="1">
        <v>0.36</v>
      </c>
      <c r="L43" s="3" t="str">
        <f t="shared" si="0"/>
        <v>2011-01-02</v>
      </c>
      <c r="M43" s="3" t="str">
        <f t="shared" si="1"/>
        <v>2011</v>
      </c>
      <c r="N43" s="3" t="str">
        <f t="shared" si="2"/>
        <v>02</v>
      </c>
      <c r="O43" s="3">
        <f t="shared" si="3"/>
        <v>10</v>
      </c>
    </row>
    <row r="44" spans="1:15" x14ac:dyDescent="0.35">
      <c r="A44" s="1">
        <v>43</v>
      </c>
      <c r="B44" s="2">
        <v>40545</v>
      </c>
      <c r="C44" s="1">
        <v>1</v>
      </c>
      <c r="D44" s="1">
        <v>0</v>
      </c>
      <c r="E44" s="1">
        <v>1</v>
      </c>
      <c r="F44" s="1">
        <v>19</v>
      </c>
      <c r="G44" s="1" t="b">
        <v>0</v>
      </c>
      <c r="H44" s="1">
        <v>0</v>
      </c>
      <c r="I44" s="1">
        <v>1</v>
      </c>
      <c r="J44" s="1">
        <v>0.32</v>
      </c>
      <c r="L44" s="3" t="str">
        <f t="shared" si="0"/>
        <v>2011-01-02</v>
      </c>
      <c r="M44" s="3" t="str">
        <f t="shared" si="1"/>
        <v>2011</v>
      </c>
      <c r="N44" s="3" t="str">
        <f t="shared" si="2"/>
        <v>02</v>
      </c>
      <c r="O44" s="3">
        <f t="shared" si="3"/>
        <v>10</v>
      </c>
    </row>
    <row r="45" spans="1:15" x14ac:dyDescent="0.35">
      <c r="A45" s="1">
        <v>44</v>
      </c>
      <c r="B45" s="2">
        <v>40545</v>
      </c>
      <c r="C45" s="1">
        <v>1</v>
      </c>
      <c r="D45" s="1">
        <v>0</v>
      </c>
      <c r="E45" s="1">
        <v>1</v>
      </c>
      <c r="F45" s="1">
        <v>20</v>
      </c>
      <c r="G45" s="1" t="b">
        <v>0</v>
      </c>
      <c r="H45" s="1">
        <v>0</v>
      </c>
      <c r="I45" s="1">
        <v>1</v>
      </c>
      <c r="J45" s="1">
        <v>0.3</v>
      </c>
      <c r="L45" s="3" t="str">
        <f t="shared" si="0"/>
        <v>2011-01-02</v>
      </c>
      <c r="M45" s="3" t="str">
        <f t="shared" si="1"/>
        <v>2011</v>
      </c>
      <c r="N45" s="3" t="str">
        <f t="shared" si="2"/>
        <v>02</v>
      </c>
      <c r="O45" s="3">
        <f t="shared" si="3"/>
        <v>10</v>
      </c>
    </row>
    <row r="46" spans="1:15" x14ac:dyDescent="0.35">
      <c r="A46" s="1">
        <v>45</v>
      </c>
      <c r="B46" s="2">
        <v>40545</v>
      </c>
      <c r="C46" s="1">
        <v>1</v>
      </c>
      <c r="D46" s="1">
        <v>0</v>
      </c>
      <c r="E46" s="1">
        <v>1</v>
      </c>
      <c r="F46" s="1">
        <v>21</v>
      </c>
      <c r="G46" s="1" t="b">
        <v>0</v>
      </c>
      <c r="H46" s="1">
        <v>0</v>
      </c>
      <c r="I46" s="1">
        <v>1</v>
      </c>
      <c r="J46" s="1">
        <v>0.26</v>
      </c>
      <c r="L46" s="3" t="str">
        <f t="shared" si="0"/>
        <v>2011-01-02</v>
      </c>
      <c r="M46" s="3" t="str">
        <f t="shared" si="1"/>
        <v>2011</v>
      </c>
      <c r="N46" s="3" t="str">
        <f t="shared" si="2"/>
        <v>02</v>
      </c>
      <c r="O46" s="3">
        <f t="shared" si="3"/>
        <v>10</v>
      </c>
    </row>
    <row r="47" spans="1:15" x14ac:dyDescent="0.35">
      <c r="A47" s="1">
        <v>46</v>
      </c>
      <c r="B47" s="2">
        <v>40545</v>
      </c>
      <c r="C47" s="1">
        <v>1</v>
      </c>
      <c r="D47" s="1">
        <v>0</v>
      </c>
      <c r="E47" s="1">
        <v>1</v>
      </c>
      <c r="F47" s="1">
        <v>22</v>
      </c>
      <c r="G47" s="1" t="b">
        <v>0</v>
      </c>
      <c r="H47" s="1">
        <v>0</v>
      </c>
      <c r="I47" s="1">
        <v>1</v>
      </c>
      <c r="J47" s="1">
        <v>0.24</v>
      </c>
      <c r="L47" s="3" t="str">
        <f t="shared" si="0"/>
        <v>2011-01-02</v>
      </c>
      <c r="M47" s="3" t="str">
        <f t="shared" si="1"/>
        <v>2011</v>
      </c>
      <c r="N47" s="3" t="str">
        <f t="shared" si="2"/>
        <v>02</v>
      </c>
      <c r="O47" s="3">
        <f t="shared" si="3"/>
        <v>10</v>
      </c>
    </row>
    <row r="48" spans="1:15" x14ac:dyDescent="0.35">
      <c r="A48" s="1">
        <v>47</v>
      </c>
      <c r="B48" s="2">
        <v>40545</v>
      </c>
      <c r="C48" s="1">
        <v>1</v>
      </c>
      <c r="D48" s="1">
        <v>0</v>
      </c>
      <c r="E48" s="1">
        <v>1</v>
      </c>
      <c r="F48" s="1">
        <v>23</v>
      </c>
      <c r="G48" s="1" t="b">
        <v>0</v>
      </c>
      <c r="H48" s="1">
        <v>0</v>
      </c>
      <c r="I48" s="1">
        <v>1</v>
      </c>
      <c r="J48" s="1">
        <v>0.22</v>
      </c>
      <c r="L48" s="3" t="str">
        <f t="shared" si="0"/>
        <v>2011-01-02</v>
      </c>
      <c r="M48" s="3" t="str">
        <f t="shared" si="1"/>
        <v>2011</v>
      </c>
      <c r="N48" s="3" t="str">
        <f t="shared" si="2"/>
        <v>02</v>
      </c>
      <c r="O48" s="3">
        <f t="shared" si="3"/>
        <v>10</v>
      </c>
    </row>
    <row r="49" spans="1:15" x14ac:dyDescent="0.35">
      <c r="A49" s="1">
        <v>48</v>
      </c>
      <c r="B49" s="2">
        <v>40546</v>
      </c>
      <c r="C49" s="1">
        <v>1</v>
      </c>
      <c r="D49" s="1">
        <v>0</v>
      </c>
      <c r="E49" s="1">
        <v>1</v>
      </c>
      <c r="F49" s="1">
        <v>0</v>
      </c>
      <c r="G49" s="1" t="b">
        <v>0</v>
      </c>
      <c r="H49" s="1">
        <v>1</v>
      </c>
      <c r="I49" s="1">
        <v>1</v>
      </c>
      <c r="J49" s="1">
        <v>0.22</v>
      </c>
      <c r="L49" s="3" t="str">
        <f t="shared" si="0"/>
        <v>2011-01-03</v>
      </c>
      <c r="M49" s="3" t="str">
        <f t="shared" si="1"/>
        <v>2011</v>
      </c>
      <c r="N49" s="3" t="str">
        <f t="shared" si="2"/>
        <v>03</v>
      </c>
      <c r="O49" s="3">
        <f t="shared" si="3"/>
        <v>10</v>
      </c>
    </row>
    <row r="50" spans="1:15" x14ac:dyDescent="0.35">
      <c r="A50" s="1">
        <v>49</v>
      </c>
      <c r="B50" s="2">
        <v>40546</v>
      </c>
      <c r="C50" s="1">
        <v>1</v>
      </c>
      <c r="D50" s="1">
        <v>0</v>
      </c>
      <c r="E50" s="1">
        <v>1</v>
      </c>
      <c r="F50" s="1">
        <v>1</v>
      </c>
      <c r="G50" s="1" t="b">
        <v>0</v>
      </c>
      <c r="H50" s="1">
        <v>1</v>
      </c>
      <c r="I50" s="1">
        <v>1</v>
      </c>
      <c r="J50" s="1">
        <v>0.2</v>
      </c>
      <c r="L50" s="3" t="str">
        <f t="shared" si="0"/>
        <v>2011-01-03</v>
      </c>
      <c r="M50" s="3" t="str">
        <f t="shared" si="1"/>
        <v>2011</v>
      </c>
      <c r="N50" s="3" t="str">
        <f t="shared" si="2"/>
        <v>03</v>
      </c>
      <c r="O50" s="3">
        <f t="shared" si="3"/>
        <v>10</v>
      </c>
    </row>
    <row r="51" spans="1:15" x14ac:dyDescent="0.35">
      <c r="A51" s="1">
        <v>50</v>
      </c>
      <c r="B51" s="2">
        <v>40546</v>
      </c>
      <c r="C51" s="1">
        <v>1</v>
      </c>
      <c r="D51" s="1">
        <v>0</v>
      </c>
      <c r="E51" s="1">
        <v>1</v>
      </c>
      <c r="F51" s="1">
        <v>4</v>
      </c>
      <c r="G51" s="1" t="b">
        <v>0</v>
      </c>
      <c r="H51" s="1">
        <v>1</v>
      </c>
      <c r="I51" s="1">
        <v>1</v>
      </c>
      <c r="J51" s="1">
        <v>0.16</v>
      </c>
      <c r="L51" s="3" t="str">
        <f t="shared" si="0"/>
        <v>2011-01-03</v>
      </c>
      <c r="M51" s="3" t="str">
        <f t="shared" si="1"/>
        <v>2011</v>
      </c>
      <c r="N51" s="3" t="str">
        <f t="shared" si="2"/>
        <v>03</v>
      </c>
      <c r="O51" s="3">
        <f t="shared" si="3"/>
        <v>10</v>
      </c>
    </row>
    <row r="52" spans="1:15" x14ac:dyDescent="0.35">
      <c r="A52" s="1">
        <v>51</v>
      </c>
      <c r="B52" s="2">
        <v>40546</v>
      </c>
      <c r="C52" s="1">
        <v>1</v>
      </c>
      <c r="D52" s="1">
        <v>0</v>
      </c>
      <c r="E52" s="1">
        <v>1</v>
      </c>
      <c r="F52" s="1">
        <v>5</v>
      </c>
      <c r="G52" s="1" t="b">
        <v>0</v>
      </c>
      <c r="H52" s="1">
        <v>1</v>
      </c>
      <c r="I52" s="1">
        <v>1</v>
      </c>
      <c r="J52" s="1">
        <v>0.16</v>
      </c>
      <c r="L52" s="3" t="str">
        <f t="shared" si="0"/>
        <v>2011-01-03</v>
      </c>
      <c r="M52" s="3" t="str">
        <f t="shared" si="1"/>
        <v>2011</v>
      </c>
      <c r="N52" s="3" t="str">
        <f t="shared" si="2"/>
        <v>03</v>
      </c>
      <c r="O52" s="3">
        <f t="shared" si="3"/>
        <v>10</v>
      </c>
    </row>
    <row r="53" spans="1:15" x14ac:dyDescent="0.35">
      <c r="A53" s="1">
        <v>52</v>
      </c>
      <c r="B53" s="2">
        <v>40546</v>
      </c>
      <c r="C53" s="1">
        <v>1</v>
      </c>
      <c r="D53" s="1">
        <v>0</v>
      </c>
      <c r="E53" s="1">
        <v>1</v>
      </c>
      <c r="F53" s="1">
        <v>6</v>
      </c>
      <c r="G53" s="1" t="b">
        <v>0</v>
      </c>
      <c r="H53" s="1">
        <v>1</v>
      </c>
      <c r="I53" s="1">
        <v>1</v>
      </c>
      <c r="J53" s="1">
        <v>0.14000000000000001</v>
      </c>
      <c r="L53" s="3" t="str">
        <f t="shared" si="0"/>
        <v>2011-01-03</v>
      </c>
      <c r="M53" s="3" t="str">
        <f t="shared" si="1"/>
        <v>2011</v>
      </c>
      <c r="N53" s="3" t="str">
        <f t="shared" si="2"/>
        <v>03</v>
      </c>
      <c r="O53" s="3">
        <f t="shared" si="3"/>
        <v>10</v>
      </c>
    </row>
    <row r="54" spans="1:15" x14ac:dyDescent="0.35">
      <c r="A54" s="1">
        <v>53</v>
      </c>
      <c r="B54" s="2">
        <v>40546</v>
      </c>
      <c r="C54" s="1">
        <v>1</v>
      </c>
      <c r="D54" s="1">
        <v>0</v>
      </c>
      <c r="E54" s="1">
        <v>1</v>
      </c>
      <c r="F54" s="1">
        <v>7</v>
      </c>
      <c r="G54" s="1" t="b">
        <v>0</v>
      </c>
      <c r="H54" s="1">
        <v>1</v>
      </c>
      <c r="I54" s="1">
        <v>1</v>
      </c>
      <c r="J54" s="1">
        <v>0.14000000000000001</v>
      </c>
      <c r="L54" s="3" t="str">
        <f t="shared" si="0"/>
        <v>2011-01-03</v>
      </c>
      <c r="M54" s="3" t="str">
        <f t="shared" si="1"/>
        <v>2011</v>
      </c>
      <c r="N54" s="3" t="str">
        <f t="shared" si="2"/>
        <v>03</v>
      </c>
      <c r="O54" s="3">
        <f t="shared" si="3"/>
        <v>10</v>
      </c>
    </row>
    <row r="55" spans="1:15" x14ac:dyDescent="0.35">
      <c r="A55" s="1">
        <v>54</v>
      </c>
      <c r="B55" s="2">
        <v>40546</v>
      </c>
      <c r="C55" s="1">
        <v>1</v>
      </c>
      <c r="D55" s="1">
        <v>0</v>
      </c>
      <c r="E55" s="1">
        <v>1</v>
      </c>
      <c r="F55" s="1">
        <v>8</v>
      </c>
      <c r="G55" s="1" t="b">
        <v>0</v>
      </c>
      <c r="H55" s="1">
        <v>1</v>
      </c>
      <c r="I55" s="1">
        <v>1</v>
      </c>
      <c r="J55" s="1">
        <v>0.14000000000000001</v>
      </c>
      <c r="L55" s="3" t="str">
        <f t="shared" si="0"/>
        <v>2011-01-03</v>
      </c>
      <c r="M55" s="3" t="str">
        <f t="shared" si="1"/>
        <v>2011</v>
      </c>
      <c r="N55" s="3" t="str">
        <f t="shared" si="2"/>
        <v>03</v>
      </c>
      <c r="O55" s="3">
        <f t="shared" si="3"/>
        <v>10</v>
      </c>
    </row>
    <row r="56" spans="1:15" x14ac:dyDescent="0.35">
      <c r="A56" s="1">
        <v>55</v>
      </c>
      <c r="B56" s="2">
        <v>40546</v>
      </c>
      <c r="C56" s="1">
        <v>1</v>
      </c>
      <c r="D56" s="1">
        <v>0</v>
      </c>
      <c r="E56" s="1">
        <v>1</v>
      </c>
      <c r="F56" s="1">
        <v>9</v>
      </c>
      <c r="G56" s="1" t="b">
        <v>0</v>
      </c>
      <c r="H56" s="1">
        <v>1</v>
      </c>
      <c r="I56" s="1">
        <v>1</v>
      </c>
      <c r="J56" s="1">
        <v>0.16</v>
      </c>
      <c r="L56" s="3" t="str">
        <f t="shared" si="0"/>
        <v>2011-01-03</v>
      </c>
      <c r="M56" s="3" t="str">
        <f t="shared" si="1"/>
        <v>2011</v>
      </c>
      <c r="N56" s="3" t="str">
        <f t="shared" si="2"/>
        <v>03</v>
      </c>
      <c r="O56" s="3">
        <f t="shared" si="3"/>
        <v>10</v>
      </c>
    </row>
    <row r="57" spans="1:15" x14ac:dyDescent="0.35">
      <c r="A57" s="1">
        <v>56</v>
      </c>
      <c r="B57" s="2">
        <v>40546</v>
      </c>
      <c r="C57" s="1">
        <v>1</v>
      </c>
      <c r="D57" s="1">
        <v>0</v>
      </c>
      <c r="E57" s="1">
        <v>1</v>
      </c>
      <c r="F57" s="1">
        <v>10</v>
      </c>
      <c r="G57" s="1" t="b">
        <v>0</v>
      </c>
      <c r="H57" s="1">
        <v>1</v>
      </c>
      <c r="I57" s="1">
        <v>1</v>
      </c>
      <c r="J57" s="1">
        <v>0.18</v>
      </c>
      <c r="L57" s="3" t="str">
        <f t="shared" si="0"/>
        <v>2011-01-03</v>
      </c>
      <c r="M57" s="3" t="str">
        <f t="shared" si="1"/>
        <v>2011</v>
      </c>
      <c r="N57" s="3" t="str">
        <f t="shared" si="2"/>
        <v>03</v>
      </c>
      <c r="O57" s="3">
        <f t="shared" si="3"/>
        <v>10</v>
      </c>
    </row>
    <row r="58" spans="1:15" x14ac:dyDescent="0.35">
      <c r="A58" s="1">
        <v>57</v>
      </c>
      <c r="B58" s="2">
        <v>40546</v>
      </c>
      <c r="C58" s="1">
        <v>1</v>
      </c>
      <c r="D58" s="1">
        <v>0</v>
      </c>
      <c r="E58" s="1">
        <v>1</v>
      </c>
      <c r="F58" s="1">
        <v>11</v>
      </c>
      <c r="G58" s="1" t="b">
        <v>0</v>
      </c>
      <c r="H58" s="1">
        <v>1</v>
      </c>
      <c r="I58" s="1">
        <v>1</v>
      </c>
      <c r="J58" s="1">
        <v>0.2</v>
      </c>
      <c r="L58" s="3" t="str">
        <f t="shared" si="0"/>
        <v>2011-01-03</v>
      </c>
      <c r="M58" s="3" t="str">
        <f t="shared" si="1"/>
        <v>2011</v>
      </c>
      <c r="N58" s="3" t="str">
        <f t="shared" si="2"/>
        <v>03</v>
      </c>
      <c r="O58" s="3">
        <f t="shared" si="3"/>
        <v>10</v>
      </c>
    </row>
    <row r="59" spans="1:15" x14ac:dyDescent="0.35">
      <c r="A59" s="1">
        <v>58</v>
      </c>
      <c r="B59" s="2">
        <v>40546</v>
      </c>
      <c r="C59" s="1">
        <v>1</v>
      </c>
      <c r="D59" s="1">
        <v>0</v>
      </c>
      <c r="E59" s="1">
        <v>1</v>
      </c>
      <c r="F59" s="1">
        <v>12</v>
      </c>
      <c r="G59" s="1" t="b">
        <v>0</v>
      </c>
      <c r="H59" s="1">
        <v>1</v>
      </c>
      <c r="I59" s="1">
        <v>1</v>
      </c>
      <c r="J59" s="1">
        <v>0.22</v>
      </c>
      <c r="L59" s="3" t="str">
        <f t="shared" si="0"/>
        <v>2011-01-03</v>
      </c>
      <c r="M59" s="3" t="str">
        <f t="shared" si="1"/>
        <v>2011</v>
      </c>
      <c r="N59" s="3" t="str">
        <f t="shared" si="2"/>
        <v>03</v>
      </c>
      <c r="O59" s="3">
        <f t="shared" si="3"/>
        <v>10</v>
      </c>
    </row>
    <row r="60" spans="1:15" x14ac:dyDescent="0.35">
      <c r="A60" s="1">
        <v>59</v>
      </c>
      <c r="B60" s="2">
        <v>40546</v>
      </c>
      <c r="C60" s="1">
        <v>1</v>
      </c>
      <c r="D60" s="1">
        <v>0</v>
      </c>
      <c r="E60" s="1">
        <v>1</v>
      </c>
      <c r="F60" s="1">
        <v>13</v>
      </c>
      <c r="G60" s="1" t="b">
        <v>0</v>
      </c>
      <c r="H60" s="1">
        <v>1</v>
      </c>
      <c r="I60" s="1">
        <v>1</v>
      </c>
      <c r="J60" s="1">
        <v>0.24</v>
      </c>
      <c r="L60" s="3" t="str">
        <f t="shared" si="0"/>
        <v>2011-01-03</v>
      </c>
      <c r="M60" s="3" t="str">
        <f t="shared" si="1"/>
        <v>2011</v>
      </c>
      <c r="N60" s="3" t="str">
        <f t="shared" si="2"/>
        <v>03</v>
      </c>
      <c r="O60" s="3">
        <f t="shared" si="3"/>
        <v>10</v>
      </c>
    </row>
    <row r="61" spans="1:15" x14ac:dyDescent="0.35">
      <c r="A61" s="1">
        <v>60</v>
      </c>
      <c r="B61" s="2">
        <v>40546</v>
      </c>
      <c r="C61" s="1">
        <v>1</v>
      </c>
      <c r="D61" s="1">
        <v>0</v>
      </c>
      <c r="E61" s="1">
        <v>1</v>
      </c>
      <c r="F61" s="1">
        <v>14</v>
      </c>
      <c r="G61" s="1" t="b">
        <v>0</v>
      </c>
      <c r="H61" s="1">
        <v>1</v>
      </c>
      <c r="I61" s="1">
        <v>1</v>
      </c>
      <c r="J61" s="1">
        <v>0.26</v>
      </c>
      <c r="L61" s="3" t="str">
        <f t="shared" si="0"/>
        <v>2011-01-03</v>
      </c>
      <c r="M61" s="3" t="str">
        <f t="shared" si="1"/>
        <v>2011</v>
      </c>
      <c r="N61" s="3" t="str">
        <f t="shared" si="2"/>
        <v>03</v>
      </c>
      <c r="O61" s="3">
        <f t="shared" si="3"/>
        <v>10</v>
      </c>
    </row>
    <row r="62" spans="1:15" x14ac:dyDescent="0.35">
      <c r="A62" s="1">
        <v>61</v>
      </c>
      <c r="B62" s="2">
        <v>40546</v>
      </c>
      <c r="C62" s="1">
        <v>1</v>
      </c>
      <c r="D62" s="1">
        <v>0</v>
      </c>
      <c r="E62" s="1">
        <v>1</v>
      </c>
      <c r="F62" s="1">
        <v>15</v>
      </c>
      <c r="G62" s="1" t="b">
        <v>0</v>
      </c>
      <c r="H62" s="1">
        <v>1</v>
      </c>
      <c r="I62" s="1">
        <v>1</v>
      </c>
      <c r="J62" s="1">
        <v>0.26</v>
      </c>
      <c r="L62" s="3" t="str">
        <f t="shared" si="0"/>
        <v>2011-01-03</v>
      </c>
      <c r="M62" s="3" t="str">
        <f t="shared" si="1"/>
        <v>2011</v>
      </c>
      <c r="N62" s="3" t="str">
        <f t="shared" si="2"/>
        <v>03</v>
      </c>
      <c r="O62" s="3">
        <f t="shared" si="3"/>
        <v>10</v>
      </c>
    </row>
    <row r="63" spans="1:15" x14ac:dyDescent="0.35">
      <c r="A63" s="1">
        <v>62</v>
      </c>
      <c r="B63" s="2">
        <v>40546</v>
      </c>
      <c r="C63" s="1">
        <v>1</v>
      </c>
      <c r="D63" s="1">
        <v>0</v>
      </c>
      <c r="E63" s="1">
        <v>1</v>
      </c>
      <c r="F63" s="1">
        <v>16</v>
      </c>
      <c r="G63" s="1" t="b">
        <v>0</v>
      </c>
      <c r="H63" s="1">
        <v>1</v>
      </c>
      <c r="I63" s="1">
        <v>1</v>
      </c>
      <c r="J63" s="1">
        <v>0.26</v>
      </c>
      <c r="L63" s="3" t="str">
        <f t="shared" si="0"/>
        <v>2011-01-03</v>
      </c>
      <c r="M63" s="3" t="str">
        <f t="shared" si="1"/>
        <v>2011</v>
      </c>
      <c r="N63" s="3" t="str">
        <f t="shared" si="2"/>
        <v>03</v>
      </c>
      <c r="O63" s="3">
        <f t="shared" si="3"/>
        <v>10</v>
      </c>
    </row>
    <row r="64" spans="1:15" x14ac:dyDescent="0.35">
      <c r="A64" s="1">
        <v>63</v>
      </c>
      <c r="B64" s="2">
        <v>40546</v>
      </c>
      <c r="C64" s="1">
        <v>1</v>
      </c>
      <c r="D64" s="1">
        <v>0</v>
      </c>
      <c r="E64" s="1">
        <v>1</v>
      </c>
      <c r="F64" s="1">
        <v>17</v>
      </c>
      <c r="G64" s="1" t="b">
        <v>0</v>
      </c>
      <c r="H64" s="1">
        <v>1</v>
      </c>
      <c r="I64" s="1">
        <v>1</v>
      </c>
      <c r="J64" s="1">
        <v>0.24</v>
      </c>
      <c r="L64" s="3" t="str">
        <f t="shared" si="0"/>
        <v>2011-01-03</v>
      </c>
      <c r="M64" s="3" t="str">
        <f t="shared" si="1"/>
        <v>2011</v>
      </c>
      <c r="N64" s="3" t="str">
        <f t="shared" si="2"/>
        <v>03</v>
      </c>
      <c r="O64" s="3">
        <f t="shared" si="3"/>
        <v>10</v>
      </c>
    </row>
    <row r="65" spans="1:15" x14ac:dyDescent="0.35">
      <c r="A65" s="1">
        <v>64</v>
      </c>
      <c r="B65" s="2">
        <v>40546</v>
      </c>
      <c r="C65" s="1">
        <v>1</v>
      </c>
      <c r="D65" s="1">
        <v>0</v>
      </c>
      <c r="E65" s="1">
        <v>1</v>
      </c>
      <c r="F65" s="1">
        <v>18</v>
      </c>
      <c r="G65" s="1" t="b">
        <v>0</v>
      </c>
      <c r="H65" s="1">
        <v>1</v>
      </c>
      <c r="I65" s="1">
        <v>1</v>
      </c>
      <c r="J65" s="1">
        <v>0.24</v>
      </c>
      <c r="L65" s="3" t="str">
        <f t="shared" si="0"/>
        <v>2011-01-03</v>
      </c>
      <c r="M65" s="3" t="str">
        <f t="shared" si="1"/>
        <v>2011</v>
      </c>
      <c r="N65" s="3" t="str">
        <f t="shared" si="2"/>
        <v>03</v>
      </c>
      <c r="O65" s="3">
        <f t="shared" si="3"/>
        <v>10</v>
      </c>
    </row>
    <row r="66" spans="1:15" x14ac:dyDescent="0.35">
      <c r="A66" s="1">
        <v>65</v>
      </c>
      <c r="B66" s="2">
        <v>40546</v>
      </c>
      <c r="C66" s="1">
        <v>1</v>
      </c>
      <c r="D66" s="1">
        <v>0</v>
      </c>
      <c r="E66" s="1">
        <v>1</v>
      </c>
      <c r="F66" s="1">
        <v>19</v>
      </c>
      <c r="G66" s="1" t="b">
        <v>0</v>
      </c>
      <c r="H66" s="1">
        <v>1</v>
      </c>
      <c r="I66" s="1">
        <v>1</v>
      </c>
      <c r="J66" s="1">
        <v>0.2</v>
      </c>
      <c r="L66" s="3" t="str">
        <f t="shared" si="0"/>
        <v>2011-01-03</v>
      </c>
      <c r="M66" s="3" t="str">
        <f t="shared" si="1"/>
        <v>2011</v>
      </c>
      <c r="N66" s="3" t="str">
        <f t="shared" si="2"/>
        <v>03</v>
      </c>
      <c r="O66" s="3">
        <f t="shared" si="3"/>
        <v>10</v>
      </c>
    </row>
    <row r="67" spans="1:15" x14ac:dyDescent="0.35">
      <c r="A67" s="1">
        <v>66</v>
      </c>
      <c r="B67" s="2">
        <v>40546</v>
      </c>
      <c r="C67" s="1">
        <v>1</v>
      </c>
      <c r="D67" s="1">
        <v>0</v>
      </c>
      <c r="E67" s="1">
        <v>1</v>
      </c>
      <c r="F67" s="1">
        <v>20</v>
      </c>
      <c r="G67" s="1" t="b">
        <v>0</v>
      </c>
      <c r="H67" s="1">
        <v>1</v>
      </c>
      <c r="I67" s="1">
        <v>1</v>
      </c>
      <c r="J67" s="1">
        <v>0.2</v>
      </c>
      <c r="L67" s="3" t="str">
        <f t="shared" ref="L67:L130" si="4">TEXT(B67,"yyyy-mm-dd")</f>
        <v>2011-01-03</v>
      </c>
      <c r="M67" s="3" t="str">
        <f t="shared" ref="M67:M130" si="5">LEFT(L67,4)</f>
        <v>2011</v>
      </c>
      <c r="N67" s="3" t="str">
        <f t="shared" ref="N67:N130" si="6">RIGHT(L67,2)</f>
        <v>03</v>
      </c>
      <c r="O67" s="3">
        <f t="shared" ref="O67:O130" si="7">LEN(L67)</f>
        <v>10</v>
      </c>
    </row>
    <row r="68" spans="1:15" x14ac:dyDescent="0.35">
      <c r="A68" s="1">
        <v>67</v>
      </c>
      <c r="B68" s="2">
        <v>40546</v>
      </c>
      <c r="C68" s="1">
        <v>1</v>
      </c>
      <c r="D68" s="1">
        <v>0</v>
      </c>
      <c r="E68" s="1">
        <v>1</v>
      </c>
      <c r="F68" s="1">
        <v>21</v>
      </c>
      <c r="G68" s="1" t="b">
        <v>0</v>
      </c>
      <c r="H68" s="1">
        <v>1</v>
      </c>
      <c r="I68" s="1">
        <v>1</v>
      </c>
      <c r="J68" s="1">
        <v>0.18</v>
      </c>
      <c r="L68" s="3" t="str">
        <f t="shared" si="4"/>
        <v>2011-01-03</v>
      </c>
      <c r="M68" s="3" t="str">
        <f t="shared" si="5"/>
        <v>2011</v>
      </c>
      <c r="N68" s="3" t="str">
        <f t="shared" si="6"/>
        <v>03</v>
      </c>
      <c r="O68" s="3">
        <f t="shared" si="7"/>
        <v>10</v>
      </c>
    </row>
    <row r="69" spans="1:15" x14ac:dyDescent="0.35">
      <c r="A69" s="1">
        <v>68</v>
      </c>
      <c r="B69" s="2">
        <v>40546</v>
      </c>
      <c r="C69" s="1">
        <v>1</v>
      </c>
      <c r="D69" s="1">
        <v>0</v>
      </c>
      <c r="E69" s="1">
        <v>1</v>
      </c>
      <c r="F69" s="1">
        <v>22</v>
      </c>
      <c r="G69" s="1" t="b">
        <v>0</v>
      </c>
      <c r="H69" s="1">
        <v>1</v>
      </c>
      <c r="I69" s="1">
        <v>1</v>
      </c>
      <c r="J69" s="1">
        <v>0.14000000000000001</v>
      </c>
      <c r="L69" s="3" t="str">
        <f t="shared" si="4"/>
        <v>2011-01-03</v>
      </c>
      <c r="M69" s="3" t="str">
        <f t="shared" si="5"/>
        <v>2011</v>
      </c>
      <c r="N69" s="3" t="str">
        <f t="shared" si="6"/>
        <v>03</v>
      </c>
      <c r="O69" s="3">
        <f t="shared" si="7"/>
        <v>10</v>
      </c>
    </row>
    <row r="70" spans="1:15" x14ac:dyDescent="0.35">
      <c r="A70" s="1">
        <v>69</v>
      </c>
      <c r="B70" s="2">
        <v>40546</v>
      </c>
      <c r="C70" s="1">
        <v>1</v>
      </c>
      <c r="D70" s="1">
        <v>0</v>
      </c>
      <c r="E70" s="1">
        <v>1</v>
      </c>
      <c r="F70" s="1">
        <v>23</v>
      </c>
      <c r="G70" s="1" t="b">
        <v>0</v>
      </c>
      <c r="H70" s="1">
        <v>1</v>
      </c>
      <c r="I70" s="1">
        <v>1</v>
      </c>
      <c r="J70" s="1">
        <v>0.18</v>
      </c>
      <c r="L70" s="3" t="str">
        <f t="shared" si="4"/>
        <v>2011-01-03</v>
      </c>
      <c r="M70" s="3" t="str">
        <f t="shared" si="5"/>
        <v>2011</v>
      </c>
      <c r="N70" s="3" t="str">
        <f t="shared" si="6"/>
        <v>03</v>
      </c>
      <c r="O70" s="3">
        <f t="shared" si="7"/>
        <v>10</v>
      </c>
    </row>
    <row r="71" spans="1:15" x14ac:dyDescent="0.35">
      <c r="A71" s="1">
        <v>70</v>
      </c>
      <c r="B71" s="2">
        <v>40547</v>
      </c>
      <c r="C71" s="1">
        <v>1</v>
      </c>
      <c r="D71" s="1">
        <v>0</v>
      </c>
      <c r="E71" s="1">
        <v>1</v>
      </c>
      <c r="F71" s="1">
        <v>0</v>
      </c>
      <c r="G71" s="1" t="b">
        <v>0</v>
      </c>
      <c r="H71" s="1">
        <v>2</v>
      </c>
      <c r="I71" s="1">
        <v>1</v>
      </c>
      <c r="J71" s="1">
        <v>0.16</v>
      </c>
      <c r="L71" s="3" t="str">
        <f t="shared" si="4"/>
        <v>2011-01-04</v>
      </c>
      <c r="M71" s="3" t="str">
        <f t="shared" si="5"/>
        <v>2011</v>
      </c>
      <c r="N71" s="3" t="str">
        <f t="shared" si="6"/>
        <v>04</v>
      </c>
      <c r="O71" s="3">
        <f t="shared" si="7"/>
        <v>10</v>
      </c>
    </row>
    <row r="72" spans="1:15" x14ac:dyDescent="0.35">
      <c r="A72" s="1">
        <v>71</v>
      </c>
      <c r="B72" s="2">
        <v>40547</v>
      </c>
      <c r="C72" s="1">
        <v>1</v>
      </c>
      <c r="D72" s="1">
        <v>0</v>
      </c>
      <c r="E72" s="1">
        <v>1</v>
      </c>
      <c r="F72" s="1">
        <v>1</v>
      </c>
      <c r="G72" s="1" t="b">
        <v>0</v>
      </c>
      <c r="H72" s="1">
        <v>2</v>
      </c>
      <c r="I72" s="1">
        <v>1</v>
      </c>
      <c r="J72" s="1">
        <v>0.16</v>
      </c>
      <c r="L72" s="3" t="str">
        <f t="shared" si="4"/>
        <v>2011-01-04</v>
      </c>
      <c r="M72" s="3" t="str">
        <f t="shared" si="5"/>
        <v>2011</v>
      </c>
      <c r="N72" s="3" t="str">
        <f t="shared" si="6"/>
        <v>04</v>
      </c>
      <c r="O72" s="3">
        <f t="shared" si="7"/>
        <v>10</v>
      </c>
    </row>
    <row r="73" spans="1:15" x14ac:dyDescent="0.35">
      <c r="A73" s="1">
        <v>72</v>
      </c>
      <c r="B73" s="2">
        <v>40547</v>
      </c>
      <c r="C73" s="1">
        <v>1</v>
      </c>
      <c r="D73" s="1">
        <v>0</v>
      </c>
      <c r="E73" s="1">
        <v>1</v>
      </c>
      <c r="F73" s="1">
        <v>2</v>
      </c>
      <c r="G73" s="1" t="b">
        <v>0</v>
      </c>
      <c r="H73" s="1">
        <v>2</v>
      </c>
      <c r="I73" s="1">
        <v>1</v>
      </c>
      <c r="J73" s="1">
        <v>0.14000000000000001</v>
      </c>
      <c r="L73" s="3" t="str">
        <f t="shared" si="4"/>
        <v>2011-01-04</v>
      </c>
      <c r="M73" s="3" t="str">
        <f t="shared" si="5"/>
        <v>2011</v>
      </c>
      <c r="N73" s="3" t="str">
        <f t="shared" si="6"/>
        <v>04</v>
      </c>
      <c r="O73" s="3">
        <f t="shared" si="7"/>
        <v>10</v>
      </c>
    </row>
    <row r="74" spans="1:15" x14ac:dyDescent="0.35">
      <c r="A74" s="1">
        <v>73</v>
      </c>
      <c r="B74" s="2">
        <v>40547</v>
      </c>
      <c r="C74" s="1">
        <v>1</v>
      </c>
      <c r="D74" s="1">
        <v>0</v>
      </c>
      <c r="E74" s="1">
        <v>1</v>
      </c>
      <c r="F74" s="1">
        <v>4</v>
      </c>
      <c r="G74" s="1" t="b">
        <v>0</v>
      </c>
      <c r="H74" s="1">
        <v>2</v>
      </c>
      <c r="I74" s="1">
        <v>1</v>
      </c>
      <c r="J74" s="1">
        <v>0.14000000000000001</v>
      </c>
      <c r="L74" s="3" t="str">
        <f t="shared" si="4"/>
        <v>2011-01-04</v>
      </c>
      <c r="M74" s="3" t="str">
        <f t="shared" si="5"/>
        <v>2011</v>
      </c>
      <c r="N74" s="3" t="str">
        <f t="shared" si="6"/>
        <v>04</v>
      </c>
      <c r="O74" s="3">
        <f t="shared" si="7"/>
        <v>10</v>
      </c>
    </row>
    <row r="75" spans="1:15" x14ac:dyDescent="0.35">
      <c r="A75" s="1">
        <v>74</v>
      </c>
      <c r="B75" s="2">
        <v>40547</v>
      </c>
      <c r="C75" s="1">
        <v>1</v>
      </c>
      <c r="D75" s="1">
        <v>0</v>
      </c>
      <c r="E75" s="1">
        <v>1</v>
      </c>
      <c r="F75" s="1">
        <v>5</v>
      </c>
      <c r="G75" s="1" t="b">
        <v>0</v>
      </c>
      <c r="H75" s="1">
        <v>2</v>
      </c>
      <c r="I75" s="1">
        <v>1</v>
      </c>
      <c r="J75" s="1">
        <v>0.12</v>
      </c>
      <c r="L75" s="3" t="str">
        <f t="shared" si="4"/>
        <v>2011-01-04</v>
      </c>
      <c r="M75" s="3" t="str">
        <f t="shared" si="5"/>
        <v>2011</v>
      </c>
      <c r="N75" s="3" t="str">
        <f t="shared" si="6"/>
        <v>04</v>
      </c>
      <c r="O75" s="3">
        <f t="shared" si="7"/>
        <v>10</v>
      </c>
    </row>
    <row r="76" spans="1:15" x14ac:dyDescent="0.35">
      <c r="A76" s="1">
        <v>75</v>
      </c>
      <c r="B76" s="2">
        <v>40547</v>
      </c>
      <c r="C76" s="1">
        <v>1</v>
      </c>
      <c r="D76" s="1">
        <v>0</v>
      </c>
      <c r="E76" s="1">
        <v>1</v>
      </c>
      <c r="F76" s="1">
        <v>6</v>
      </c>
      <c r="G76" s="1" t="b">
        <v>0</v>
      </c>
      <c r="H76" s="1">
        <v>2</v>
      </c>
      <c r="I76" s="1">
        <v>1</v>
      </c>
      <c r="J76" s="1">
        <v>0.12</v>
      </c>
      <c r="L76" s="3" t="str">
        <f t="shared" si="4"/>
        <v>2011-01-04</v>
      </c>
      <c r="M76" s="3" t="str">
        <f t="shared" si="5"/>
        <v>2011</v>
      </c>
      <c r="N76" s="3" t="str">
        <f t="shared" si="6"/>
        <v>04</v>
      </c>
      <c r="O76" s="3">
        <f t="shared" si="7"/>
        <v>10</v>
      </c>
    </row>
    <row r="77" spans="1:15" x14ac:dyDescent="0.35">
      <c r="A77" s="1">
        <v>76</v>
      </c>
      <c r="B77" s="2">
        <v>40547</v>
      </c>
      <c r="C77" s="1">
        <v>1</v>
      </c>
      <c r="D77" s="1">
        <v>0</v>
      </c>
      <c r="E77" s="1">
        <v>1</v>
      </c>
      <c r="F77" s="1">
        <v>7</v>
      </c>
      <c r="G77" s="1" t="b">
        <v>0</v>
      </c>
      <c r="H77" s="1">
        <v>2</v>
      </c>
      <c r="I77" s="1">
        <v>1</v>
      </c>
      <c r="J77" s="1">
        <v>0.12</v>
      </c>
      <c r="L77" s="3" t="str">
        <f t="shared" si="4"/>
        <v>2011-01-04</v>
      </c>
      <c r="M77" s="3" t="str">
        <f t="shared" si="5"/>
        <v>2011</v>
      </c>
      <c r="N77" s="3" t="str">
        <f t="shared" si="6"/>
        <v>04</v>
      </c>
      <c r="O77" s="3">
        <f t="shared" si="7"/>
        <v>10</v>
      </c>
    </row>
    <row r="78" spans="1:15" x14ac:dyDescent="0.35">
      <c r="A78" s="1">
        <v>77</v>
      </c>
      <c r="B78" s="2">
        <v>40547</v>
      </c>
      <c r="C78" s="1">
        <v>1</v>
      </c>
      <c r="D78" s="1">
        <v>0</v>
      </c>
      <c r="E78" s="1">
        <v>1</v>
      </c>
      <c r="F78" s="1">
        <v>8</v>
      </c>
      <c r="G78" s="1" t="b">
        <v>0</v>
      </c>
      <c r="H78" s="1">
        <v>2</v>
      </c>
      <c r="I78" s="1">
        <v>1</v>
      </c>
      <c r="J78" s="1">
        <v>0.14000000000000001</v>
      </c>
      <c r="L78" s="3" t="str">
        <f t="shared" si="4"/>
        <v>2011-01-04</v>
      </c>
      <c r="M78" s="3" t="str">
        <f t="shared" si="5"/>
        <v>2011</v>
      </c>
      <c r="N78" s="3" t="str">
        <f t="shared" si="6"/>
        <v>04</v>
      </c>
      <c r="O78" s="3">
        <f t="shared" si="7"/>
        <v>10</v>
      </c>
    </row>
    <row r="79" spans="1:15" x14ac:dyDescent="0.35">
      <c r="A79" s="1">
        <v>78</v>
      </c>
      <c r="B79" s="2">
        <v>40547</v>
      </c>
      <c r="C79" s="1">
        <v>1</v>
      </c>
      <c r="D79" s="1">
        <v>0</v>
      </c>
      <c r="E79" s="1">
        <v>1</v>
      </c>
      <c r="F79" s="1">
        <v>9</v>
      </c>
      <c r="G79" s="1" t="b">
        <v>0</v>
      </c>
      <c r="H79" s="1">
        <v>2</v>
      </c>
      <c r="I79" s="1">
        <v>1</v>
      </c>
      <c r="J79" s="1">
        <v>0.16</v>
      </c>
      <c r="L79" s="3" t="str">
        <f t="shared" si="4"/>
        <v>2011-01-04</v>
      </c>
      <c r="M79" s="3" t="str">
        <f t="shared" si="5"/>
        <v>2011</v>
      </c>
      <c r="N79" s="3" t="str">
        <f t="shared" si="6"/>
        <v>04</v>
      </c>
      <c r="O79" s="3">
        <f t="shared" si="7"/>
        <v>10</v>
      </c>
    </row>
    <row r="80" spans="1:15" x14ac:dyDescent="0.35">
      <c r="A80" s="1">
        <v>79</v>
      </c>
      <c r="B80" s="2">
        <v>40547</v>
      </c>
      <c r="C80" s="1">
        <v>1</v>
      </c>
      <c r="D80" s="1">
        <v>0</v>
      </c>
      <c r="E80" s="1">
        <v>1</v>
      </c>
      <c r="F80" s="1">
        <v>10</v>
      </c>
      <c r="G80" s="1" t="b">
        <v>0</v>
      </c>
      <c r="H80" s="1">
        <v>2</v>
      </c>
      <c r="I80" s="1">
        <v>2</v>
      </c>
      <c r="J80" s="1">
        <v>0.16</v>
      </c>
      <c r="L80" s="3" t="str">
        <f t="shared" si="4"/>
        <v>2011-01-04</v>
      </c>
      <c r="M80" s="3" t="str">
        <f t="shared" si="5"/>
        <v>2011</v>
      </c>
      <c r="N80" s="3" t="str">
        <f t="shared" si="6"/>
        <v>04</v>
      </c>
      <c r="O80" s="3">
        <f t="shared" si="7"/>
        <v>10</v>
      </c>
    </row>
    <row r="81" spans="1:15" x14ac:dyDescent="0.35">
      <c r="A81" s="1">
        <v>80</v>
      </c>
      <c r="B81" s="2">
        <v>40547</v>
      </c>
      <c r="C81" s="1">
        <v>1</v>
      </c>
      <c r="D81" s="1">
        <v>0</v>
      </c>
      <c r="E81" s="1">
        <v>1</v>
      </c>
      <c r="F81" s="1">
        <v>11</v>
      </c>
      <c r="G81" s="1" t="b">
        <v>0</v>
      </c>
      <c r="H81" s="1">
        <v>2</v>
      </c>
      <c r="I81" s="1">
        <v>1</v>
      </c>
      <c r="J81" s="1">
        <v>0.22</v>
      </c>
      <c r="L81" s="3" t="str">
        <f t="shared" si="4"/>
        <v>2011-01-04</v>
      </c>
      <c r="M81" s="3" t="str">
        <f t="shared" si="5"/>
        <v>2011</v>
      </c>
      <c r="N81" s="3" t="str">
        <f t="shared" si="6"/>
        <v>04</v>
      </c>
      <c r="O81" s="3">
        <f t="shared" si="7"/>
        <v>10</v>
      </c>
    </row>
    <row r="82" spans="1:15" x14ac:dyDescent="0.35">
      <c r="A82" s="1">
        <v>81</v>
      </c>
      <c r="B82" s="2">
        <v>40547</v>
      </c>
      <c r="C82" s="1">
        <v>1</v>
      </c>
      <c r="D82" s="1">
        <v>0</v>
      </c>
      <c r="E82" s="1">
        <v>1</v>
      </c>
      <c r="F82" s="1">
        <v>12</v>
      </c>
      <c r="G82" s="1" t="b">
        <v>0</v>
      </c>
      <c r="H82" s="1">
        <v>2</v>
      </c>
      <c r="I82" s="1">
        <v>1</v>
      </c>
      <c r="J82" s="1">
        <v>0.22</v>
      </c>
      <c r="L82" s="3" t="str">
        <f t="shared" si="4"/>
        <v>2011-01-04</v>
      </c>
      <c r="M82" s="3" t="str">
        <f t="shared" si="5"/>
        <v>2011</v>
      </c>
      <c r="N82" s="3" t="str">
        <f t="shared" si="6"/>
        <v>04</v>
      </c>
      <c r="O82" s="3">
        <f t="shared" si="7"/>
        <v>10</v>
      </c>
    </row>
    <row r="83" spans="1:15" x14ac:dyDescent="0.35">
      <c r="A83" s="1">
        <v>82</v>
      </c>
      <c r="B83" s="2">
        <v>40547</v>
      </c>
      <c r="C83" s="1">
        <v>1</v>
      </c>
      <c r="D83" s="1">
        <v>0</v>
      </c>
      <c r="E83" s="1">
        <v>1</v>
      </c>
      <c r="F83" s="1">
        <v>13</v>
      </c>
      <c r="G83" s="1" t="b">
        <v>0</v>
      </c>
      <c r="H83" s="1">
        <v>2</v>
      </c>
      <c r="I83" s="1">
        <v>1</v>
      </c>
      <c r="J83" s="1">
        <v>0.24</v>
      </c>
      <c r="L83" s="3" t="str">
        <f t="shared" si="4"/>
        <v>2011-01-04</v>
      </c>
      <c r="M83" s="3" t="str">
        <f t="shared" si="5"/>
        <v>2011</v>
      </c>
      <c r="N83" s="3" t="str">
        <f t="shared" si="6"/>
        <v>04</v>
      </c>
      <c r="O83" s="3">
        <f t="shared" si="7"/>
        <v>10</v>
      </c>
    </row>
    <row r="84" spans="1:15" x14ac:dyDescent="0.35">
      <c r="A84" s="1">
        <v>83</v>
      </c>
      <c r="B84" s="2">
        <v>40547</v>
      </c>
      <c r="C84" s="1">
        <v>1</v>
      </c>
      <c r="D84" s="1">
        <v>0</v>
      </c>
      <c r="E84" s="1">
        <v>1</v>
      </c>
      <c r="F84" s="1">
        <v>14</v>
      </c>
      <c r="G84" s="1" t="b">
        <v>0</v>
      </c>
      <c r="H84" s="1">
        <v>2</v>
      </c>
      <c r="I84" s="1">
        <v>1</v>
      </c>
      <c r="J84" s="1">
        <v>0.26</v>
      </c>
      <c r="L84" s="3" t="str">
        <f t="shared" si="4"/>
        <v>2011-01-04</v>
      </c>
      <c r="M84" s="3" t="str">
        <f t="shared" si="5"/>
        <v>2011</v>
      </c>
      <c r="N84" s="3" t="str">
        <f t="shared" si="6"/>
        <v>04</v>
      </c>
      <c r="O84" s="3">
        <f t="shared" si="7"/>
        <v>10</v>
      </c>
    </row>
    <row r="85" spans="1:15" x14ac:dyDescent="0.35">
      <c r="A85" s="1">
        <v>84</v>
      </c>
      <c r="B85" s="2">
        <v>40547</v>
      </c>
      <c r="C85" s="1">
        <v>1</v>
      </c>
      <c r="D85" s="1">
        <v>0</v>
      </c>
      <c r="E85" s="1">
        <v>1</v>
      </c>
      <c r="F85" s="1">
        <v>15</v>
      </c>
      <c r="G85" s="1" t="b">
        <v>0</v>
      </c>
      <c r="H85" s="1">
        <v>2</v>
      </c>
      <c r="I85" s="1">
        <v>1</v>
      </c>
      <c r="J85" s="1">
        <v>0.28000000000000003</v>
      </c>
      <c r="L85" s="3" t="str">
        <f t="shared" si="4"/>
        <v>2011-01-04</v>
      </c>
      <c r="M85" s="3" t="str">
        <f t="shared" si="5"/>
        <v>2011</v>
      </c>
      <c r="N85" s="3" t="str">
        <f t="shared" si="6"/>
        <v>04</v>
      </c>
      <c r="O85" s="3">
        <f t="shared" si="7"/>
        <v>10</v>
      </c>
    </row>
    <row r="86" spans="1:15" x14ac:dyDescent="0.35">
      <c r="A86" s="1">
        <v>85</v>
      </c>
      <c r="B86" s="2">
        <v>40547</v>
      </c>
      <c r="C86" s="1">
        <v>1</v>
      </c>
      <c r="D86" s="1">
        <v>0</v>
      </c>
      <c r="E86" s="1">
        <v>1</v>
      </c>
      <c r="F86" s="1">
        <v>16</v>
      </c>
      <c r="G86" s="1" t="b">
        <v>0</v>
      </c>
      <c r="H86" s="1">
        <v>2</v>
      </c>
      <c r="I86" s="1">
        <v>1</v>
      </c>
      <c r="J86" s="1">
        <v>0.3</v>
      </c>
      <c r="L86" s="3" t="str">
        <f t="shared" si="4"/>
        <v>2011-01-04</v>
      </c>
      <c r="M86" s="3" t="str">
        <f t="shared" si="5"/>
        <v>2011</v>
      </c>
      <c r="N86" s="3" t="str">
        <f t="shared" si="6"/>
        <v>04</v>
      </c>
      <c r="O86" s="3">
        <f t="shared" si="7"/>
        <v>10</v>
      </c>
    </row>
    <row r="87" spans="1:15" x14ac:dyDescent="0.35">
      <c r="A87" s="1">
        <v>86</v>
      </c>
      <c r="B87" s="2">
        <v>40547</v>
      </c>
      <c r="C87" s="1">
        <v>1</v>
      </c>
      <c r="D87" s="1">
        <v>0</v>
      </c>
      <c r="E87" s="1">
        <v>1</v>
      </c>
      <c r="F87" s="1">
        <v>17</v>
      </c>
      <c r="G87" s="1" t="b">
        <v>0</v>
      </c>
      <c r="H87" s="1">
        <v>2</v>
      </c>
      <c r="I87" s="1">
        <v>1</v>
      </c>
      <c r="J87" s="1">
        <v>0.28000000000000003</v>
      </c>
      <c r="L87" s="3" t="str">
        <f t="shared" si="4"/>
        <v>2011-01-04</v>
      </c>
      <c r="M87" s="3" t="str">
        <f t="shared" si="5"/>
        <v>2011</v>
      </c>
      <c r="N87" s="3" t="str">
        <f t="shared" si="6"/>
        <v>04</v>
      </c>
      <c r="O87" s="3">
        <f t="shared" si="7"/>
        <v>10</v>
      </c>
    </row>
    <row r="88" spans="1:15" x14ac:dyDescent="0.35">
      <c r="A88" s="1">
        <v>87</v>
      </c>
      <c r="B88" s="2">
        <v>40547</v>
      </c>
      <c r="C88" s="1">
        <v>1</v>
      </c>
      <c r="D88" s="1">
        <v>0</v>
      </c>
      <c r="E88" s="1">
        <v>1</v>
      </c>
      <c r="F88" s="1">
        <v>18</v>
      </c>
      <c r="G88" s="1" t="b">
        <v>0</v>
      </c>
      <c r="H88" s="1">
        <v>2</v>
      </c>
      <c r="I88" s="1">
        <v>1</v>
      </c>
      <c r="J88" s="1">
        <v>0.26</v>
      </c>
      <c r="L88" s="3" t="str">
        <f t="shared" si="4"/>
        <v>2011-01-04</v>
      </c>
      <c r="M88" s="3" t="str">
        <f t="shared" si="5"/>
        <v>2011</v>
      </c>
      <c r="N88" s="3" t="str">
        <f t="shared" si="6"/>
        <v>04</v>
      </c>
      <c r="O88" s="3">
        <f t="shared" si="7"/>
        <v>10</v>
      </c>
    </row>
    <row r="89" spans="1:15" x14ac:dyDescent="0.35">
      <c r="A89" s="1">
        <v>88</v>
      </c>
      <c r="B89" s="2">
        <v>40547</v>
      </c>
      <c r="C89" s="1">
        <v>1</v>
      </c>
      <c r="D89" s="1">
        <v>0</v>
      </c>
      <c r="E89" s="1">
        <v>1</v>
      </c>
      <c r="F89" s="1">
        <v>19</v>
      </c>
      <c r="G89" s="1" t="b">
        <v>0</v>
      </c>
      <c r="H89" s="1">
        <v>2</v>
      </c>
      <c r="I89" s="1">
        <v>1</v>
      </c>
      <c r="J89" s="1">
        <v>0.24</v>
      </c>
      <c r="L89" s="3" t="str">
        <f t="shared" si="4"/>
        <v>2011-01-04</v>
      </c>
      <c r="M89" s="3" t="str">
        <f t="shared" si="5"/>
        <v>2011</v>
      </c>
      <c r="N89" s="3" t="str">
        <f t="shared" si="6"/>
        <v>04</v>
      </c>
      <c r="O89" s="3">
        <f t="shared" si="7"/>
        <v>10</v>
      </c>
    </row>
    <row r="90" spans="1:15" x14ac:dyDescent="0.35">
      <c r="A90" s="1">
        <v>89</v>
      </c>
      <c r="B90" s="2">
        <v>40547</v>
      </c>
      <c r="C90" s="1">
        <v>1</v>
      </c>
      <c r="D90" s="1">
        <v>0</v>
      </c>
      <c r="E90" s="1">
        <v>1</v>
      </c>
      <c r="F90" s="1">
        <v>20</v>
      </c>
      <c r="G90" s="1" t="b">
        <v>0</v>
      </c>
      <c r="H90" s="1">
        <v>2</v>
      </c>
      <c r="I90" s="1">
        <v>1</v>
      </c>
      <c r="J90" s="1">
        <v>0.24</v>
      </c>
      <c r="L90" s="3" t="str">
        <f t="shared" si="4"/>
        <v>2011-01-04</v>
      </c>
      <c r="M90" s="3" t="str">
        <f t="shared" si="5"/>
        <v>2011</v>
      </c>
      <c r="N90" s="3" t="str">
        <f t="shared" si="6"/>
        <v>04</v>
      </c>
      <c r="O90" s="3">
        <f t="shared" si="7"/>
        <v>10</v>
      </c>
    </row>
    <row r="91" spans="1:15" x14ac:dyDescent="0.35">
      <c r="A91" s="1">
        <v>90</v>
      </c>
      <c r="B91" s="2">
        <v>40547</v>
      </c>
      <c r="C91" s="1">
        <v>1</v>
      </c>
      <c r="D91" s="1">
        <v>0</v>
      </c>
      <c r="E91" s="1">
        <v>1</v>
      </c>
      <c r="F91" s="1">
        <v>21</v>
      </c>
      <c r="G91" s="1" t="b">
        <v>0</v>
      </c>
      <c r="H91" s="1">
        <v>2</v>
      </c>
      <c r="I91" s="1">
        <v>1</v>
      </c>
      <c r="J91" s="1">
        <v>0.22</v>
      </c>
      <c r="L91" s="3" t="str">
        <f t="shared" si="4"/>
        <v>2011-01-04</v>
      </c>
      <c r="M91" s="3" t="str">
        <f t="shared" si="5"/>
        <v>2011</v>
      </c>
      <c r="N91" s="3" t="str">
        <f t="shared" si="6"/>
        <v>04</v>
      </c>
      <c r="O91" s="3">
        <f t="shared" si="7"/>
        <v>10</v>
      </c>
    </row>
    <row r="92" spans="1:15" x14ac:dyDescent="0.35">
      <c r="A92" s="1">
        <v>91</v>
      </c>
      <c r="B92" s="2">
        <v>40547</v>
      </c>
      <c r="C92" s="1">
        <v>1</v>
      </c>
      <c r="D92" s="1">
        <v>0</v>
      </c>
      <c r="E92" s="1">
        <v>1</v>
      </c>
      <c r="F92" s="1">
        <v>22</v>
      </c>
      <c r="G92" s="1" t="b">
        <v>0</v>
      </c>
      <c r="H92" s="1">
        <v>2</v>
      </c>
      <c r="I92" s="1">
        <v>1</v>
      </c>
      <c r="J92" s="1">
        <v>0.22</v>
      </c>
      <c r="L92" s="3" t="str">
        <f t="shared" si="4"/>
        <v>2011-01-04</v>
      </c>
      <c r="M92" s="3" t="str">
        <f t="shared" si="5"/>
        <v>2011</v>
      </c>
      <c r="N92" s="3" t="str">
        <f t="shared" si="6"/>
        <v>04</v>
      </c>
      <c r="O92" s="3">
        <f t="shared" si="7"/>
        <v>10</v>
      </c>
    </row>
    <row r="93" spans="1:15" x14ac:dyDescent="0.35">
      <c r="A93" s="1">
        <v>92</v>
      </c>
      <c r="B93" s="2">
        <v>40547</v>
      </c>
      <c r="C93" s="1">
        <v>1</v>
      </c>
      <c r="D93" s="1">
        <v>0</v>
      </c>
      <c r="E93" s="1">
        <v>1</v>
      </c>
      <c r="F93" s="1">
        <v>23</v>
      </c>
      <c r="G93" s="1" t="b">
        <v>0</v>
      </c>
      <c r="H93" s="1">
        <v>2</v>
      </c>
      <c r="I93" s="1">
        <v>1</v>
      </c>
      <c r="J93" s="1">
        <v>0.2</v>
      </c>
      <c r="L93" s="3" t="str">
        <f t="shared" si="4"/>
        <v>2011-01-04</v>
      </c>
      <c r="M93" s="3" t="str">
        <f t="shared" si="5"/>
        <v>2011</v>
      </c>
      <c r="N93" s="3" t="str">
        <f t="shared" si="6"/>
        <v>04</v>
      </c>
      <c r="O93" s="3">
        <f t="shared" si="7"/>
        <v>10</v>
      </c>
    </row>
    <row r="94" spans="1:15" x14ac:dyDescent="0.35">
      <c r="A94" s="1">
        <v>93</v>
      </c>
      <c r="B94" s="2">
        <v>40548</v>
      </c>
      <c r="C94" s="1">
        <v>1</v>
      </c>
      <c r="D94" s="1">
        <v>0</v>
      </c>
      <c r="E94" s="1">
        <v>1</v>
      </c>
      <c r="F94" s="1">
        <v>0</v>
      </c>
      <c r="G94" s="1" t="b">
        <v>0</v>
      </c>
      <c r="H94" s="1">
        <v>3</v>
      </c>
      <c r="I94" s="1">
        <v>1</v>
      </c>
      <c r="J94" s="1">
        <v>0.2</v>
      </c>
      <c r="L94" s="3" t="str">
        <f t="shared" si="4"/>
        <v>2011-01-05</v>
      </c>
      <c r="M94" s="3" t="str">
        <f t="shared" si="5"/>
        <v>2011</v>
      </c>
      <c r="N94" s="3" t="str">
        <f t="shared" si="6"/>
        <v>05</v>
      </c>
      <c r="O94" s="3">
        <f t="shared" si="7"/>
        <v>10</v>
      </c>
    </row>
    <row r="95" spans="1:15" x14ac:dyDescent="0.35">
      <c r="A95" s="1">
        <v>94</v>
      </c>
      <c r="B95" s="2">
        <v>40548</v>
      </c>
      <c r="C95" s="1">
        <v>1</v>
      </c>
      <c r="D95" s="1">
        <v>0</v>
      </c>
      <c r="E95" s="1">
        <v>1</v>
      </c>
      <c r="F95" s="1">
        <v>1</v>
      </c>
      <c r="G95" s="1" t="b">
        <v>0</v>
      </c>
      <c r="H95" s="1">
        <v>3</v>
      </c>
      <c r="I95" s="1">
        <v>1</v>
      </c>
      <c r="J95" s="1">
        <v>0.16</v>
      </c>
      <c r="L95" s="3" t="str">
        <f t="shared" si="4"/>
        <v>2011-01-05</v>
      </c>
      <c r="M95" s="3" t="str">
        <f t="shared" si="5"/>
        <v>2011</v>
      </c>
      <c r="N95" s="3" t="str">
        <f t="shared" si="6"/>
        <v>05</v>
      </c>
      <c r="O95" s="3">
        <f t="shared" si="7"/>
        <v>10</v>
      </c>
    </row>
    <row r="96" spans="1:15" x14ac:dyDescent="0.35">
      <c r="A96" s="1">
        <v>95</v>
      </c>
      <c r="B96" s="2">
        <v>40548</v>
      </c>
      <c r="C96" s="1">
        <v>1</v>
      </c>
      <c r="D96" s="1">
        <v>0</v>
      </c>
      <c r="E96" s="1">
        <v>1</v>
      </c>
      <c r="F96" s="1">
        <v>2</v>
      </c>
      <c r="G96" s="1" t="b">
        <v>0</v>
      </c>
      <c r="H96" s="1">
        <v>3</v>
      </c>
      <c r="I96" s="1">
        <v>1</v>
      </c>
      <c r="J96" s="1">
        <v>0.16</v>
      </c>
      <c r="L96" s="3" t="str">
        <f t="shared" si="4"/>
        <v>2011-01-05</v>
      </c>
      <c r="M96" s="3" t="str">
        <f t="shared" si="5"/>
        <v>2011</v>
      </c>
      <c r="N96" s="3" t="str">
        <f t="shared" si="6"/>
        <v>05</v>
      </c>
      <c r="O96" s="3">
        <f t="shared" si="7"/>
        <v>10</v>
      </c>
    </row>
    <row r="97" spans="1:15" x14ac:dyDescent="0.35">
      <c r="A97" s="1">
        <v>96</v>
      </c>
      <c r="B97" s="2">
        <v>40548</v>
      </c>
      <c r="C97" s="1">
        <v>1</v>
      </c>
      <c r="D97" s="1">
        <v>0</v>
      </c>
      <c r="E97" s="1">
        <v>1</v>
      </c>
      <c r="F97" s="1">
        <v>4</v>
      </c>
      <c r="G97" s="1" t="b">
        <v>0</v>
      </c>
      <c r="H97" s="1">
        <v>3</v>
      </c>
      <c r="I97" s="1">
        <v>1</v>
      </c>
      <c r="J97" s="1">
        <v>0.24</v>
      </c>
      <c r="L97" s="3" t="str">
        <f t="shared" si="4"/>
        <v>2011-01-05</v>
      </c>
      <c r="M97" s="3" t="str">
        <f t="shared" si="5"/>
        <v>2011</v>
      </c>
      <c r="N97" s="3" t="str">
        <f t="shared" si="6"/>
        <v>05</v>
      </c>
      <c r="O97" s="3">
        <f t="shared" si="7"/>
        <v>10</v>
      </c>
    </row>
    <row r="98" spans="1:15" x14ac:dyDescent="0.35">
      <c r="A98" s="1">
        <v>97</v>
      </c>
      <c r="B98" s="2">
        <v>40548</v>
      </c>
      <c r="C98" s="1">
        <v>1</v>
      </c>
      <c r="D98" s="1">
        <v>0</v>
      </c>
      <c r="E98" s="1">
        <v>1</v>
      </c>
      <c r="F98" s="1">
        <v>5</v>
      </c>
      <c r="G98" s="1" t="b">
        <v>0</v>
      </c>
      <c r="H98" s="1">
        <v>3</v>
      </c>
      <c r="I98" s="1">
        <v>1</v>
      </c>
      <c r="J98" s="1">
        <v>0.22</v>
      </c>
      <c r="L98" s="3" t="str">
        <f t="shared" si="4"/>
        <v>2011-01-05</v>
      </c>
      <c r="M98" s="3" t="str">
        <f t="shared" si="5"/>
        <v>2011</v>
      </c>
      <c r="N98" s="3" t="str">
        <f t="shared" si="6"/>
        <v>05</v>
      </c>
      <c r="O98" s="3">
        <f t="shared" si="7"/>
        <v>10</v>
      </c>
    </row>
    <row r="99" spans="1:15" x14ac:dyDescent="0.35">
      <c r="A99" s="1">
        <v>98</v>
      </c>
      <c r="B99" s="2">
        <v>40548</v>
      </c>
      <c r="C99" s="1">
        <v>1</v>
      </c>
      <c r="D99" s="1">
        <v>0</v>
      </c>
      <c r="E99" s="1">
        <v>1</v>
      </c>
      <c r="F99" s="1">
        <v>6</v>
      </c>
      <c r="G99" s="1" t="b">
        <v>0</v>
      </c>
      <c r="H99" s="1">
        <v>3</v>
      </c>
      <c r="I99" s="1">
        <v>1</v>
      </c>
      <c r="J99" s="1">
        <v>0.2</v>
      </c>
      <c r="L99" s="3" t="str">
        <f t="shared" si="4"/>
        <v>2011-01-05</v>
      </c>
      <c r="M99" s="3" t="str">
        <f t="shared" si="5"/>
        <v>2011</v>
      </c>
      <c r="N99" s="3" t="str">
        <f t="shared" si="6"/>
        <v>05</v>
      </c>
      <c r="O99" s="3">
        <f t="shared" si="7"/>
        <v>10</v>
      </c>
    </row>
    <row r="100" spans="1:15" x14ac:dyDescent="0.35">
      <c r="A100" s="1">
        <v>99</v>
      </c>
      <c r="B100" s="2">
        <v>40548</v>
      </c>
      <c r="C100" s="1">
        <v>1</v>
      </c>
      <c r="D100" s="1">
        <v>0</v>
      </c>
      <c r="E100" s="1">
        <v>1</v>
      </c>
      <c r="F100" s="1">
        <v>7</v>
      </c>
      <c r="G100" s="1" t="b">
        <v>0</v>
      </c>
      <c r="H100" s="1">
        <v>3</v>
      </c>
      <c r="I100" s="1">
        <v>1</v>
      </c>
      <c r="J100" s="1">
        <v>0.18</v>
      </c>
      <c r="L100" s="3" t="str">
        <f t="shared" si="4"/>
        <v>2011-01-05</v>
      </c>
      <c r="M100" s="3" t="str">
        <f t="shared" si="5"/>
        <v>2011</v>
      </c>
      <c r="N100" s="3" t="str">
        <f t="shared" si="6"/>
        <v>05</v>
      </c>
      <c r="O100" s="3">
        <f t="shared" si="7"/>
        <v>10</v>
      </c>
    </row>
    <row r="101" spans="1:15" x14ac:dyDescent="0.35">
      <c r="A101" s="1">
        <v>100</v>
      </c>
      <c r="B101" s="2">
        <v>40548</v>
      </c>
      <c r="C101" s="1">
        <v>1</v>
      </c>
      <c r="D101" s="1">
        <v>0</v>
      </c>
      <c r="E101" s="1">
        <v>1</v>
      </c>
      <c r="F101" s="1">
        <v>8</v>
      </c>
      <c r="G101" s="1" t="b">
        <v>0</v>
      </c>
      <c r="H101" s="1">
        <v>3</v>
      </c>
      <c r="I101" s="1">
        <v>1</v>
      </c>
      <c r="J101" s="1">
        <v>0.2</v>
      </c>
      <c r="L101" s="3" t="str">
        <f t="shared" si="4"/>
        <v>2011-01-05</v>
      </c>
      <c r="M101" s="3" t="str">
        <f t="shared" si="5"/>
        <v>2011</v>
      </c>
      <c r="N101" s="3" t="str">
        <f t="shared" si="6"/>
        <v>05</v>
      </c>
      <c r="O101" s="3">
        <f t="shared" si="7"/>
        <v>10</v>
      </c>
    </row>
    <row r="102" spans="1:15" x14ac:dyDescent="0.35">
      <c r="A102" s="1">
        <v>101</v>
      </c>
      <c r="B102" s="2">
        <v>40548</v>
      </c>
      <c r="C102" s="1">
        <v>1</v>
      </c>
      <c r="D102" s="1">
        <v>0</v>
      </c>
      <c r="E102" s="1">
        <v>1</v>
      </c>
      <c r="F102" s="1">
        <v>9</v>
      </c>
      <c r="G102" s="1" t="b">
        <v>0</v>
      </c>
      <c r="H102" s="1">
        <v>3</v>
      </c>
      <c r="I102" s="1">
        <v>1</v>
      </c>
      <c r="J102" s="1">
        <v>0.22</v>
      </c>
      <c r="L102" s="3" t="str">
        <f t="shared" si="4"/>
        <v>2011-01-05</v>
      </c>
      <c r="M102" s="3" t="str">
        <f t="shared" si="5"/>
        <v>2011</v>
      </c>
      <c r="N102" s="3" t="str">
        <f t="shared" si="6"/>
        <v>05</v>
      </c>
      <c r="O102" s="3">
        <f t="shared" si="7"/>
        <v>10</v>
      </c>
    </row>
    <row r="103" spans="1:15" x14ac:dyDescent="0.35">
      <c r="A103" s="1">
        <v>102</v>
      </c>
      <c r="B103" s="2">
        <v>40548</v>
      </c>
      <c r="C103" s="1">
        <v>1</v>
      </c>
      <c r="D103" s="1">
        <v>0</v>
      </c>
      <c r="E103" s="1">
        <v>1</v>
      </c>
      <c r="F103" s="1">
        <v>10</v>
      </c>
      <c r="G103" s="1" t="b">
        <v>0</v>
      </c>
      <c r="H103" s="1">
        <v>3</v>
      </c>
      <c r="I103" s="1">
        <v>1</v>
      </c>
      <c r="J103" s="1">
        <v>0.22</v>
      </c>
      <c r="L103" s="3" t="str">
        <f t="shared" si="4"/>
        <v>2011-01-05</v>
      </c>
      <c r="M103" s="3" t="str">
        <f t="shared" si="5"/>
        <v>2011</v>
      </c>
      <c r="N103" s="3" t="str">
        <f t="shared" si="6"/>
        <v>05</v>
      </c>
      <c r="O103" s="3">
        <f t="shared" si="7"/>
        <v>10</v>
      </c>
    </row>
    <row r="104" spans="1:15" x14ac:dyDescent="0.35">
      <c r="A104" s="1">
        <v>103</v>
      </c>
      <c r="B104" s="2">
        <v>40548</v>
      </c>
      <c r="C104" s="1">
        <v>1</v>
      </c>
      <c r="D104" s="1">
        <v>0</v>
      </c>
      <c r="E104" s="1">
        <v>1</v>
      </c>
      <c r="F104" s="1">
        <v>11</v>
      </c>
      <c r="G104" s="1" t="b">
        <v>0</v>
      </c>
      <c r="H104" s="1">
        <v>3</v>
      </c>
      <c r="I104" s="1">
        <v>1</v>
      </c>
      <c r="J104" s="1">
        <v>0.26</v>
      </c>
      <c r="L104" s="3" t="str">
        <f t="shared" si="4"/>
        <v>2011-01-05</v>
      </c>
      <c r="M104" s="3" t="str">
        <f t="shared" si="5"/>
        <v>2011</v>
      </c>
      <c r="N104" s="3" t="str">
        <f t="shared" si="6"/>
        <v>05</v>
      </c>
      <c r="O104" s="3">
        <f t="shared" si="7"/>
        <v>10</v>
      </c>
    </row>
    <row r="105" spans="1:15" x14ac:dyDescent="0.35">
      <c r="A105" s="1">
        <v>104</v>
      </c>
      <c r="B105" s="2">
        <v>40548</v>
      </c>
      <c r="C105" s="1">
        <v>1</v>
      </c>
      <c r="D105" s="1">
        <v>0</v>
      </c>
      <c r="E105" s="1">
        <v>1</v>
      </c>
      <c r="F105" s="1">
        <v>12</v>
      </c>
      <c r="G105" s="1" t="b">
        <v>0</v>
      </c>
      <c r="H105" s="1">
        <v>3</v>
      </c>
      <c r="I105" s="1">
        <v>1</v>
      </c>
      <c r="J105" s="1">
        <v>0.26</v>
      </c>
      <c r="L105" s="3" t="str">
        <f t="shared" si="4"/>
        <v>2011-01-05</v>
      </c>
      <c r="M105" s="3" t="str">
        <f t="shared" si="5"/>
        <v>2011</v>
      </c>
      <c r="N105" s="3" t="str">
        <f t="shared" si="6"/>
        <v>05</v>
      </c>
      <c r="O105" s="3">
        <f t="shared" si="7"/>
        <v>10</v>
      </c>
    </row>
    <row r="106" spans="1:15" x14ac:dyDescent="0.35">
      <c r="A106" s="1">
        <v>105</v>
      </c>
      <c r="B106" s="2">
        <v>40548</v>
      </c>
      <c r="C106" s="1">
        <v>1</v>
      </c>
      <c r="D106" s="1">
        <v>0</v>
      </c>
      <c r="E106" s="1">
        <v>1</v>
      </c>
      <c r="F106" s="1">
        <v>13</v>
      </c>
      <c r="G106" s="1" t="b">
        <v>0</v>
      </c>
      <c r="H106" s="1">
        <v>3</v>
      </c>
      <c r="I106" s="1">
        <v>1</v>
      </c>
      <c r="J106" s="1">
        <v>0.28000000000000003</v>
      </c>
      <c r="L106" s="3" t="str">
        <f t="shared" si="4"/>
        <v>2011-01-05</v>
      </c>
      <c r="M106" s="3" t="str">
        <f t="shared" si="5"/>
        <v>2011</v>
      </c>
      <c r="N106" s="3" t="str">
        <f t="shared" si="6"/>
        <v>05</v>
      </c>
      <c r="O106" s="3">
        <f t="shared" si="7"/>
        <v>10</v>
      </c>
    </row>
    <row r="107" spans="1:15" x14ac:dyDescent="0.35">
      <c r="A107" s="1">
        <v>106</v>
      </c>
      <c r="B107" s="2">
        <v>40548</v>
      </c>
      <c r="C107" s="1">
        <v>1</v>
      </c>
      <c r="D107" s="1">
        <v>0</v>
      </c>
      <c r="E107" s="1">
        <v>1</v>
      </c>
      <c r="F107" s="1">
        <v>14</v>
      </c>
      <c r="G107" s="1" t="b">
        <v>0</v>
      </c>
      <c r="H107" s="1">
        <v>3</v>
      </c>
      <c r="I107" s="1">
        <v>1</v>
      </c>
      <c r="J107" s="1">
        <v>0.3</v>
      </c>
      <c r="L107" s="3" t="str">
        <f t="shared" si="4"/>
        <v>2011-01-05</v>
      </c>
      <c r="M107" s="3" t="str">
        <f t="shared" si="5"/>
        <v>2011</v>
      </c>
      <c r="N107" s="3" t="str">
        <f t="shared" si="6"/>
        <v>05</v>
      </c>
      <c r="O107" s="3">
        <f t="shared" si="7"/>
        <v>10</v>
      </c>
    </row>
    <row r="108" spans="1:15" x14ac:dyDescent="0.35">
      <c r="A108" s="1">
        <v>107</v>
      </c>
      <c r="B108" s="2">
        <v>40548</v>
      </c>
      <c r="C108" s="1">
        <v>1</v>
      </c>
      <c r="D108" s="1">
        <v>0</v>
      </c>
      <c r="E108" s="1">
        <v>1</v>
      </c>
      <c r="F108" s="1">
        <v>15</v>
      </c>
      <c r="G108" s="1" t="b">
        <v>0</v>
      </c>
      <c r="H108" s="1">
        <v>3</v>
      </c>
      <c r="I108" s="1">
        <v>1</v>
      </c>
      <c r="J108" s="1">
        <v>0.3</v>
      </c>
      <c r="L108" s="3" t="str">
        <f t="shared" si="4"/>
        <v>2011-01-05</v>
      </c>
      <c r="M108" s="3" t="str">
        <f t="shared" si="5"/>
        <v>2011</v>
      </c>
      <c r="N108" s="3" t="str">
        <f t="shared" si="6"/>
        <v>05</v>
      </c>
      <c r="O108" s="3">
        <f t="shared" si="7"/>
        <v>10</v>
      </c>
    </row>
    <row r="109" spans="1:15" x14ac:dyDescent="0.35">
      <c r="A109" s="1">
        <v>108</v>
      </c>
      <c r="B109" s="2">
        <v>40548</v>
      </c>
      <c r="C109" s="1">
        <v>1</v>
      </c>
      <c r="D109" s="1">
        <v>0</v>
      </c>
      <c r="E109" s="1">
        <v>1</v>
      </c>
      <c r="F109" s="1">
        <v>16</v>
      </c>
      <c r="G109" s="1" t="b">
        <v>0</v>
      </c>
      <c r="H109" s="1">
        <v>3</v>
      </c>
      <c r="I109" s="1">
        <v>1</v>
      </c>
      <c r="J109" s="1">
        <v>0.3</v>
      </c>
      <c r="L109" s="3" t="str">
        <f t="shared" si="4"/>
        <v>2011-01-05</v>
      </c>
      <c r="M109" s="3" t="str">
        <f t="shared" si="5"/>
        <v>2011</v>
      </c>
      <c r="N109" s="3" t="str">
        <f t="shared" si="6"/>
        <v>05</v>
      </c>
      <c r="O109" s="3">
        <f t="shared" si="7"/>
        <v>10</v>
      </c>
    </row>
    <row r="110" spans="1:15" x14ac:dyDescent="0.35">
      <c r="A110" s="1">
        <v>109</v>
      </c>
      <c r="B110" s="2">
        <v>40548</v>
      </c>
      <c r="C110" s="1">
        <v>1</v>
      </c>
      <c r="D110" s="1">
        <v>0</v>
      </c>
      <c r="E110" s="1">
        <v>1</v>
      </c>
      <c r="F110" s="1">
        <v>17</v>
      </c>
      <c r="G110" s="1" t="b">
        <v>0</v>
      </c>
      <c r="H110" s="1">
        <v>3</v>
      </c>
      <c r="I110" s="1">
        <v>1</v>
      </c>
      <c r="J110" s="1">
        <v>0.24</v>
      </c>
      <c r="L110" s="3" t="str">
        <f t="shared" si="4"/>
        <v>2011-01-05</v>
      </c>
      <c r="M110" s="3" t="str">
        <f t="shared" si="5"/>
        <v>2011</v>
      </c>
      <c r="N110" s="3" t="str">
        <f t="shared" si="6"/>
        <v>05</v>
      </c>
      <c r="O110" s="3">
        <f t="shared" si="7"/>
        <v>10</v>
      </c>
    </row>
    <row r="111" spans="1:15" x14ac:dyDescent="0.35">
      <c r="A111" s="1">
        <v>110</v>
      </c>
      <c r="B111" s="2">
        <v>40548</v>
      </c>
      <c r="C111" s="1">
        <v>1</v>
      </c>
      <c r="D111" s="1">
        <v>0</v>
      </c>
      <c r="E111" s="1">
        <v>1</v>
      </c>
      <c r="F111" s="1">
        <v>18</v>
      </c>
      <c r="G111" s="1" t="b">
        <v>0</v>
      </c>
      <c r="H111" s="1">
        <v>3</v>
      </c>
      <c r="I111" s="1">
        <v>1</v>
      </c>
      <c r="J111" s="1">
        <v>0.24</v>
      </c>
      <c r="L111" s="3" t="str">
        <f t="shared" si="4"/>
        <v>2011-01-05</v>
      </c>
      <c r="M111" s="3" t="str">
        <f t="shared" si="5"/>
        <v>2011</v>
      </c>
      <c r="N111" s="3" t="str">
        <f t="shared" si="6"/>
        <v>05</v>
      </c>
      <c r="O111" s="3">
        <f t="shared" si="7"/>
        <v>10</v>
      </c>
    </row>
    <row r="112" spans="1:15" x14ac:dyDescent="0.35">
      <c r="A112" s="1">
        <v>111</v>
      </c>
      <c r="B112" s="2">
        <v>40548</v>
      </c>
      <c r="C112" s="1">
        <v>1</v>
      </c>
      <c r="D112" s="1">
        <v>0</v>
      </c>
      <c r="E112" s="1">
        <v>1</v>
      </c>
      <c r="F112" s="1">
        <v>19</v>
      </c>
      <c r="G112" s="1" t="b">
        <v>0</v>
      </c>
      <c r="H112" s="1">
        <v>3</v>
      </c>
      <c r="I112" s="1">
        <v>1</v>
      </c>
      <c r="J112" s="1">
        <v>0.24</v>
      </c>
      <c r="L112" s="3" t="str">
        <f t="shared" si="4"/>
        <v>2011-01-05</v>
      </c>
      <c r="M112" s="3" t="str">
        <f t="shared" si="5"/>
        <v>2011</v>
      </c>
      <c r="N112" s="3" t="str">
        <f t="shared" si="6"/>
        <v>05</v>
      </c>
      <c r="O112" s="3">
        <f t="shared" si="7"/>
        <v>10</v>
      </c>
    </row>
    <row r="113" spans="1:15" x14ac:dyDescent="0.35">
      <c r="A113" s="1">
        <v>112</v>
      </c>
      <c r="B113" s="2">
        <v>40548</v>
      </c>
      <c r="C113" s="1">
        <v>1</v>
      </c>
      <c r="D113" s="1">
        <v>0</v>
      </c>
      <c r="E113" s="1">
        <v>1</v>
      </c>
      <c r="F113" s="1">
        <v>20</v>
      </c>
      <c r="G113" s="1" t="b">
        <v>0</v>
      </c>
      <c r="H113" s="1">
        <v>3</v>
      </c>
      <c r="I113" s="1">
        <v>1</v>
      </c>
      <c r="J113" s="1">
        <v>0.22</v>
      </c>
      <c r="L113" s="3" t="str">
        <f t="shared" si="4"/>
        <v>2011-01-05</v>
      </c>
      <c r="M113" s="3" t="str">
        <f t="shared" si="5"/>
        <v>2011</v>
      </c>
      <c r="N113" s="3" t="str">
        <f t="shared" si="6"/>
        <v>05</v>
      </c>
      <c r="O113" s="3">
        <f t="shared" si="7"/>
        <v>10</v>
      </c>
    </row>
    <row r="114" spans="1:15" x14ac:dyDescent="0.35">
      <c r="A114" s="1">
        <v>113</v>
      </c>
      <c r="B114" s="2">
        <v>40548</v>
      </c>
      <c r="C114" s="1">
        <v>1</v>
      </c>
      <c r="D114" s="1">
        <v>0</v>
      </c>
      <c r="E114" s="1">
        <v>1</v>
      </c>
      <c r="F114" s="1">
        <v>21</v>
      </c>
      <c r="G114" s="1" t="b">
        <v>0</v>
      </c>
      <c r="H114" s="1">
        <v>3</v>
      </c>
      <c r="I114" s="1">
        <v>1</v>
      </c>
      <c r="J114" s="1">
        <v>0.2</v>
      </c>
      <c r="L114" s="3" t="str">
        <f t="shared" si="4"/>
        <v>2011-01-05</v>
      </c>
      <c r="M114" s="3" t="str">
        <f t="shared" si="5"/>
        <v>2011</v>
      </c>
      <c r="N114" s="3" t="str">
        <f t="shared" si="6"/>
        <v>05</v>
      </c>
      <c r="O114" s="3">
        <f t="shared" si="7"/>
        <v>10</v>
      </c>
    </row>
    <row r="115" spans="1:15" x14ac:dyDescent="0.35">
      <c r="A115" s="1">
        <v>114</v>
      </c>
      <c r="B115" s="2">
        <v>40548</v>
      </c>
      <c r="C115" s="1">
        <v>1</v>
      </c>
      <c r="D115" s="1">
        <v>0</v>
      </c>
      <c r="E115" s="1">
        <v>1</v>
      </c>
      <c r="F115" s="1">
        <v>22</v>
      </c>
      <c r="G115" s="1" t="b">
        <v>0</v>
      </c>
      <c r="H115" s="1">
        <v>3</v>
      </c>
      <c r="I115" s="1">
        <v>1</v>
      </c>
      <c r="J115" s="1">
        <v>0.18</v>
      </c>
      <c r="L115" s="3" t="str">
        <f t="shared" si="4"/>
        <v>2011-01-05</v>
      </c>
      <c r="M115" s="3" t="str">
        <f t="shared" si="5"/>
        <v>2011</v>
      </c>
      <c r="N115" s="3" t="str">
        <f t="shared" si="6"/>
        <v>05</v>
      </c>
      <c r="O115" s="3">
        <f t="shared" si="7"/>
        <v>10</v>
      </c>
    </row>
    <row r="116" spans="1:15" x14ac:dyDescent="0.35">
      <c r="A116" s="1">
        <v>115</v>
      </c>
      <c r="B116" s="2">
        <v>40548</v>
      </c>
      <c r="C116" s="1">
        <v>1</v>
      </c>
      <c r="D116" s="1">
        <v>0</v>
      </c>
      <c r="E116" s="1">
        <v>1</v>
      </c>
      <c r="F116" s="1">
        <v>23</v>
      </c>
      <c r="G116" s="1" t="b">
        <v>0</v>
      </c>
      <c r="H116" s="1">
        <v>3</v>
      </c>
      <c r="I116" s="1">
        <v>1</v>
      </c>
      <c r="J116" s="1">
        <v>0.2</v>
      </c>
      <c r="L116" s="3" t="str">
        <f t="shared" si="4"/>
        <v>2011-01-05</v>
      </c>
      <c r="M116" s="3" t="str">
        <f t="shared" si="5"/>
        <v>2011</v>
      </c>
      <c r="N116" s="3" t="str">
        <f t="shared" si="6"/>
        <v>05</v>
      </c>
      <c r="O116" s="3">
        <f t="shared" si="7"/>
        <v>10</v>
      </c>
    </row>
    <row r="117" spans="1:15" x14ac:dyDescent="0.35">
      <c r="A117" s="1">
        <v>116</v>
      </c>
      <c r="B117" s="2">
        <v>40549</v>
      </c>
      <c r="C117" s="1">
        <v>1</v>
      </c>
      <c r="D117" s="1">
        <v>0</v>
      </c>
      <c r="E117" s="1">
        <v>1</v>
      </c>
      <c r="F117" s="1">
        <v>0</v>
      </c>
      <c r="G117" s="1" t="b">
        <v>0</v>
      </c>
      <c r="H117" s="1">
        <v>4</v>
      </c>
      <c r="I117" s="1">
        <v>1</v>
      </c>
      <c r="J117" s="1">
        <v>0.18</v>
      </c>
      <c r="L117" s="3" t="str">
        <f t="shared" si="4"/>
        <v>2011-01-06</v>
      </c>
      <c r="M117" s="3" t="str">
        <f t="shared" si="5"/>
        <v>2011</v>
      </c>
      <c r="N117" s="3" t="str">
        <f t="shared" si="6"/>
        <v>06</v>
      </c>
      <c r="O117" s="3">
        <f t="shared" si="7"/>
        <v>10</v>
      </c>
    </row>
    <row r="118" spans="1:15" x14ac:dyDescent="0.35">
      <c r="A118" s="1">
        <v>117</v>
      </c>
      <c r="B118" s="2">
        <v>40549</v>
      </c>
      <c r="C118" s="1">
        <v>1</v>
      </c>
      <c r="D118" s="1">
        <v>0</v>
      </c>
      <c r="E118" s="1">
        <v>1</v>
      </c>
      <c r="F118" s="1">
        <v>1</v>
      </c>
      <c r="G118" s="1" t="b">
        <v>0</v>
      </c>
      <c r="H118" s="1">
        <v>4</v>
      </c>
      <c r="I118" s="1">
        <v>1</v>
      </c>
      <c r="J118" s="1">
        <v>0.16</v>
      </c>
      <c r="L118" s="3" t="str">
        <f t="shared" si="4"/>
        <v>2011-01-06</v>
      </c>
      <c r="M118" s="3" t="str">
        <f t="shared" si="5"/>
        <v>2011</v>
      </c>
      <c r="N118" s="3" t="str">
        <f t="shared" si="6"/>
        <v>06</v>
      </c>
      <c r="O118" s="3">
        <f t="shared" si="7"/>
        <v>10</v>
      </c>
    </row>
    <row r="119" spans="1:15" x14ac:dyDescent="0.35">
      <c r="A119" s="1">
        <v>118</v>
      </c>
      <c r="B119" s="2">
        <v>40549</v>
      </c>
      <c r="C119" s="1">
        <v>1</v>
      </c>
      <c r="D119" s="1">
        <v>0</v>
      </c>
      <c r="E119" s="1">
        <v>1</v>
      </c>
      <c r="F119" s="1">
        <v>2</v>
      </c>
      <c r="G119" s="1" t="b">
        <v>0</v>
      </c>
      <c r="H119" s="1">
        <v>4</v>
      </c>
      <c r="I119" s="1">
        <v>1</v>
      </c>
      <c r="J119" s="1">
        <v>0.16</v>
      </c>
      <c r="L119" s="3" t="str">
        <f t="shared" si="4"/>
        <v>2011-01-06</v>
      </c>
      <c r="M119" s="3" t="str">
        <f t="shared" si="5"/>
        <v>2011</v>
      </c>
      <c r="N119" s="3" t="str">
        <f t="shared" si="6"/>
        <v>06</v>
      </c>
      <c r="O119" s="3">
        <f t="shared" si="7"/>
        <v>10</v>
      </c>
    </row>
    <row r="120" spans="1:15" x14ac:dyDescent="0.35">
      <c r="A120" s="1">
        <v>119</v>
      </c>
      <c r="B120" s="2">
        <v>40549</v>
      </c>
      <c r="C120" s="1">
        <v>1</v>
      </c>
      <c r="D120" s="1">
        <v>0</v>
      </c>
      <c r="E120" s="1">
        <v>1</v>
      </c>
      <c r="F120" s="1">
        <v>4</v>
      </c>
      <c r="G120" s="1" t="b">
        <v>0</v>
      </c>
      <c r="H120" s="1">
        <v>4</v>
      </c>
      <c r="I120" s="1">
        <v>2</v>
      </c>
      <c r="J120" s="1">
        <v>0.16</v>
      </c>
      <c r="L120" s="3" t="str">
        <f t="shared" si="4"/>
        <v>2011-01-06</v>
      </c>
      <c r="M120" s="3" t="str">
        <f t="shared" si="5"/>
        <v>2011</v>
      </c>
      <c r="N120" s="3" t="str">
        <f t="shared" si="6"/>
        <v>06</v>
      </c>
      <c r="O120" s="3">
        <f t="shared" si="7"/>
        <v>10</v>
      </c>
    </row>
    <row r="121" spans="1:15" x14ac:dyDescent="0.35">
      <c r="A121" s="1">
        <v>120</v>
      </c>
      <c r="B121" s="2">
        <v>40549</v>
      </c>
      <c r="C121" s="1">
        <v>1</v>
      </c>
      <c r="D121" s="1">
        <v>0</v>
      </c>
      <c r="E121" s="1">
        <v>1</v>
      </c>
      <c r="F121" s="1">
        <v>5</v>
      </c>
      <c r="G121" s="1" t="b">
        <v>0</v>
      </c>
      <c r="H121" s="1">
        <v>4</v>
      </c>
      <c r="I121" s="1">
        <v>2</v>
      </c>
      <c r="J121" s="1">
        <v>0.14000000000000001</v>
      </c>
      <c r="L121" s="3" t="str">
        <f t="shared" si="4"/>
        <v>2011-01-06</v>
      </c>
      <c r="M121" s="3" t="str">
        <f t="shared" si="5"/>
        <v>2011</v>
      </c>
      <c r="N121" s="3" t="str">
        <f t="shared" si="6"/>
        <v>06</v>
      </c>
      <c r="O121" s="3">
        <f t="shared" si="7"/>
        <v>10</v>
      </c>
    </row>
    <row r="122" spans="1:15" x14ac:dyDescent="0.35">
      <c r="A122" s="1">
        <v>121</v>
      </c>
      <c r="B122" s="2">
        <v>40549</v>
      </c>
      <c r="C122" s="1">
        <v>1</v>
      </c>
      <c r="D122" s="1">
        <v>0</v>
      </c>
      <c r="E122" s="1">
        <v>1</v>
      </c>
      <c r="F122" s="1">
        <v>6</v>
      </c>
      <c r="G122" s="1" t="b">
        <v>0</v>
      </c>
      <c r="H122" s="1">
        <v>4</v>
      </c>
      <c r="I122" s="1">
        <v>2</v>
      </c>
      <c r="J122" s="1">
        <v>0.14000000000000001</v>
      </c>
      <c r="L122" s="3" t="str">
        <f t="shared" si="4"/>
        <v>2011-01-06</v>
      </c>
      <c r="M122" s="3" t="str">
        <f t="shared" si="5"/>
        <v>2011</v>
      </c>
      <c r="N122" s="3" t="str">
        <f t="shared" si="6"/>
        <v>06</v>
      </c>
      <c r="O122" s="3">
        <f t="shared" si="7"/>
        <v>10</v>
      </c>
    </row>
    <row r="123" spans="1:15" x14ac:dyDescent="0.35">
      <c r="A123" s="1">
        <v>122</v>
      </c>
      <c r="B123" s="2">
        <v>40549</v>
      </c>
      <c r="C123" s="1">
        <v>1</v>
      </c>
      <c r="D123" s="1">
        <v>0</v>
      </c>
      <c r="E123" s="1">
        <v>1</v>
      </c>
      <c r="F123" s="1">
        <v>7</v>
      </c>
      <c r="G123" s="1" t="b">
        <v>0</v>
      </c>
      <c r="H123" s="1">
        <v>4</v>
      </c>
      <c r="I123" s="1">
        <v>2</v>
      </c>
      <c r="J123" s="1">
        <v>0.16</v>
      </c>
      <c r="L123" s="3" t="str">
        <f t="shared" si="4"/>
        <v>2011-01-06</v>
      </c>
      <c r="M123" s="3" t="str">
        <f t="shared" si="5"/>
        <v>2011</v>
      </c>
      <c r="N123" s="3" t="str">
        <f t="shared" si="6"/>
        <v>06</v>
      </c>
      <c r="O123" s="3">
        <f t="shared" si="7"/>
        <v>10</v>
      </c>
    </row>
    <row r="124" spans="1:15" x14ac:dyDescent="0.35">
      <c r="A124" s="1">
        <v>123</v>
      </c>
      <c r="B124" s="2">
        <v>40549</v>
      </c>
      <c r="C124" s="1">
        <v>1</v>
      </c>
      <c r="D124" s="1">
        <v>0</v>
      </c>
      <c r="E124" s="1">
        <v>1</v>
      </c>
      <c r="F124" s="1">
        <v>8</v>
      </c>
      <c r="G124" s="1" t="b">
        <v>0</v>
      </c>
      <c r="H124" s="1">
        <v>4</v>
      </c>
      <c r="I124" s="1">
        <v>1</v>
      </c>
      <c r="J124" s="1">
        <v>0.16</v>
      </c>
      <c r="L124" s="3" t="str">
        <f t="shared" si="4"/>
        <v>2011-01-06</v>
      </c>
      <c r="M124" s="3" t="str">
        <f t="shared" si="5"/>
        <v>2011</v>
      </c>
      <c r="N124" s="3" t="str">
        <f t="shared" si="6"/>
        <v>06</v>
      </c>
      <c r="O124" s="3">
        <f t="shared" si="7"/>
        <v>10</v>
      </c>
    </row>
    <row r="125" spans="1:15" x14ac:dyDescent="0.35">
      <c r="A125" s="1">
        <v>124</v>
      </c>
      <c r="B125" s="2">
        <v>40549</v>
      </c>
      <c r="C125" s="1">
        <v>1</v>
      </c>
      <c r="D125" s="1">
        <v>0</v>
      </c>
      <c r="E125" s="1">
        <v>1</v>
      </c>
      <c r="F125" s="1">
        <v>9</v>
      </c>
      <c r="G125" s="1" t="b">
        <v>0</v>
      </c>
      <c r="H125" s="1">
        <v>4</v>
      </c>
      <c r="I125" s="1">
        <v>2</v>
      </c>
      <c r="J125" s="1">
        <v>0.18</v>
      </c>
      <c r="L125" s="3" t="str">
        <f t="shared" si="4"/>
        <v>2011-01-06</v>
      </c>
      <c r="M125" s="3" t="str">
        <f t="shared" si="5"/>
        <v>2011</v>
      </c>
      <c r="N125" s="3" t="str">
        <f t="shared" si="6"/>
        <v>06</v>
      </c>
      <c r="O125" s="3">
        <f t="shared" si="7"/>
        <v>10</v>
      </c>
    </row>
    <row r="126" spans="1:15" x14ac:dyDescent="0.35">
      <c r="A126" s="1">
        <v>125</v>
      </c>
      <c r="B126" s="2">
        <v>40549</v>
      </c>
      <c r="C126" s="1">
        <v>1</v>
      </c>
      <c r="D126" s="1">
        <v>0</v>
      </c>
      <c r="E126" s="1">
        <v>1</v>
      </c>
      <c r="F126" s="1">
        <v>10</v>
      </c>
      <c r="G126" s="1" t="b">
        <v>0</v>
      </c>
      <c r="H126" s="1">
        <v>4</v>
      </c>
      <c r="I126" s="1">
        <v>1</v>
      </c>
      <c r="J126" s="1">
        <v>0.2</v>
      </c>
      <c r="L126" s="3" t="str">
        <f t="shared" si="4"/>
        <v>2011-01-06</v>
      </c>
      <c r="M126" s="3" t="str">
        <f t="shared" si="5"/>
        <v>2011</v>
      </c>
      <c r="N126" s="3" t="str">
        <f t="shared" si="6"/>
        <v>06</v>
      </c>
      <c r="O126" s="3">
        <f t="shared" si="7"/>
        <v>10</v>
      </c>
    </row>
    <row r="127" spans="1:15" x14ac:dyDescent="0.35">
      <c r="A127" s="1">
        <v>126</v>
      </c>
      <c r="B127" s="2">
        <v>40549</v>
      </c>
      <c r="C127" s="1">
        <v>1</v>
      </c>
      <c r="D127" s="1">
        <v>0</v>
      </c>
      <c r="E127" s="1">
        <v>1</v>
      </c>
      <c r="F127" s="1">
        <v>11</v>
      </c>
      <c r="G127" s="1" t="b">
        <v>0</v>
      </c>
      <c r="H127" s="1">
        <v>4</v>
      </c>
      <c r="I127" s="1">
        <v>1</v>
      </c>
      <c r="J127" s="1">
        <v>0.22</v>
      </c>
      <c r="L127" s="3" t="str">
        <f t="shared" si="4"/>
        <v>2011-01-06</v>
      </c>
      <c r="M127" s="3" t="str">
        <f t="shared" si="5"/>
        <v>2011</v>
      </c>
      <c r="N127" s="3" t="str">
        <f t="shared" si="6"/>
        <v>06</v>
      </c>
      <c r="O127" s="3">
        <f t="shared" si="7"/>
        <v>10</v>
      </c>
    </row>
    <row r="128" spans="1:15" x14ac:dyDescent="0.35">
      <c r="A128" s="1">
        <v>127</v>
      </c>
      <c r="B128" s="2">
        <v>40549</v>
      </c>
      <c r="C128" s="1">
        <v>1</v>
      </c>
      <c r="D128" s="1">
        <v>0</v>
      </c>
      <c r="E128" s="1">
        <v>1</v>
      </c>
      <c r="F128" s="1">
        <v>12</v>
      </c>
      <c r="G128" s="1" t="b">
        <v>0</v>
      </c>
      <c r="H128" s="1">
        <v>4</v>
      </c>
      <c r="I128" s="1">
        <v>1</v>
      </c>
      <c r="J128" s="1">
        <v>0.26</v>
      </c>
      <c r="L128" s="3" t="str">
        <f t="shared" si="4"/>
        <v>2011-01-06</v>
      </c>
      <c r="M128" s="3" t="str">
        <f t="shared" si="5"/>
        <v>2011</v>
      </c>
      <c r="N128" s="3" t="str">
        <f t="shared" si="6"/>
        <v>06</v>
      </c>
      <c r="O128" s="3">
        <f t="shared" si="7"/>
        <v>10</v>
      </c>
    </row>
    <row r="129" spans="1:15" x14ac:dyDescent="0.35">
      <c r="A129" s="1">
        <v>128</v>
      </c>
      <c r="B129" s="2">
        <v>40549</v>
      </c>
      <c r="C129" s="1">
        <v>1</v>
      </c>
      <c r="D129" s="1">
        <v>0</v>
      </c>
      <c r="E129" s="1">
        <v>1</v>
      </c>
      <c r="F129" s="1">
        <v>13</v>
      </c>
      <c r="G129" s="1" t="b">
        <v>0</v>
      </c>
      <c r="H129" s="1">
        <v>4</v>
      </c>
      <c r="I129" s="1">
        <v>1</v>
      </c>
      <c r="J129" s="1">
        <v>0.26</v>
      </c>
      <c r="L129" s="3" t="str">
        <f t="shared" si="4"/>
        <v>2011-01-06</v>
      </c>
      <c r="M129" s="3" t="str">
        <f t="shared" si="5"/>
        <v>2011</v>
      </c>
      <c r="N129" s="3" t="str">
        <f t="shared" si="6"/>
        <v>06</v>
      </c>
      <c r="O129" s="3">
        <f t="shared" si="7"/>
        <v>10</v>
      </c>
    </row>
    <row r="130" spans="1:15" x14ac:dyDescent="0.35">
      <c r="A130" s="1">
        <v>129</v>
      </c>
      <c r="B130" s="2">
        <v>40549</v>
      </c>
      <c r="C130" s="1">
        <v>1</v>
      </c>
      <c r="D130" s="1">
        <v>0</v>
      </c>
      <c r="E130" s="1">
        <v>1</v>
      </c>
      <c r="F130" s="1">
        <v>14</v>
      </c>
      <c r="G130" s="1" t="b">
        <v>0</v>
      </c>
      <c r="H130" s="1">
        <v>4</v>
      </c>
      <c r="I130" s="1">
        <v>1</v>
      </c>
      <c r="J130" s="1">
        <v>0.28000000000000003</v>
      </c>
      <c r="L130" s="3" t="str">
        <f t="shared" si="4"/>
        <v>2011-01-06</v>
      </c>
      <c r="M130" s="3" t="str">
        <f t="shared" si="5"/>
        <v>2011</v>
      </c>
      <c r="N130" s="3" t="str">
        <f t="shared" si="6"/>
        <v>06</v>
      </c>
      <c r="O130" s="3">
        <f t="shared" si="7"/>
        <v>10</v>
      </c>
    </row>
    <row r="131" spans="1:15" x14ac:dyDescent="0.35">
      <c r="A131" s="1">
        <v>130</v>
      </c>
      <c r="B131" s="2">
        <v>40549</v>
      </c>
      <c r="C131" s="1">
        <v>1</v>
      </c>
      <c r="D131" s="1">
        <v>0</v>
      </c>
      <c r="E131" s="1">
        <v>1</v>
      </c>
      <c r="F131" s="1">
        <v>15</v>
      </c>
      <c r="G131" s="1" t="b">
        <v>0</v>
      </c>
      <c r="H131" s="1">
        <v>4</v>
      </c>
      <c r="I131" s="1">
        <v>1</v>
      </c>
      <c r="J131" s="1">
        <v>0.28000000000000003</v>
      </c>
      <c r="L131" s="3" t="str">
        <f t="shared" ref="L131:L194" si="8">TEXT(B131,"yyyy-mm-dd")</f>
        <v>2011-01-06</v>
      </c>
      <c r="M131" s="3" t="str">
        <f t="shared" ref="M131:M194" si="9">LEFT(L131,4)</f>
        <v>2011</v>
      </c>
      <c r="N131" s="3" t="str">
        <f t="shared" ref="N131:N194" si="10">RIGHT(L131,2)</f>
        <v>06</v>
      </c>
      <c r="O131" s="3">
        <f t="shared" ref="O131:O194" si="11">LEN(L131)</f>
        <v>10</v>
      </c>
    </row>
    <row r="132" spans="1:15" x14ac:dyDescent="0.35">
      <c r="A132" s="1">
        <v>131</v>
      </c>
      <c r="B132" s="2">
        <v>40549</v>
      </c>
      <c r="C132" s="1">
        <v>1</v>
      </c>
      <c r="D132" s="1">
        <v>0</v>
      </c>
      <c r="E132" s="1">
        <v>1</v>
      </c>
      <c r="F132" s="1">
        <v>16</v>
      </c>
      <c r="G132" s="1" t="b">
        <v>0</v>
      </c>
      <c r="H132" s="1">
        <v>4</v>
      </c>
      <c r="I132" s="1">
        <v>1</v>
      </c>
      <c r="J132" s="1">
        <v>0.26</v>
      </c>
      <c r="L132" s="3" t="str">
        <f t="shared" si="8"/>
        <v>2011-01-06</v>
      </c>
      <c r="M132" s="3" t="str">
        <f t="shared" si="9"/>
        <v>2011</v>
      </c>
      <c r="N132" s="3" t="str">
        <f t="shared" si="10"/>
        <v>06</v>
      </c>
      <c r="O132" s="3">
        <f t="shared" si="11"/>
        <v>10</v>
      </c>
    </row>
    <row r="133" spans="1:15" x14ac:dyDescent="0.35">
      <c r="A133" s="1">
        <v>132</v>
      </c>
      <c r="B133" s="2">
        <v>40549</v>
      </c>
      <c r="C133" s="1">
        <v>1</v>
      </c>
      <c r="D133" s="1">
        <v>0</v>
      </c>
      <c r="E133" s="1">
        <v>1</v>
      </c>
      <c r="F133" s="1">
        <v>17</v>
      </c>
      <c r="G133" s="1" t="b">
        <v>0</v>
      </c>
      <c r="H133" s="1">
        <v>4</v>
      </c>
      <c r="I133" s="1">
        <v>1</v>
      </c>
      <c r="J133" s="1">
        <v>0.22</v>
      </c>
      <c r="L133" s="3" t="str">
        <f t="shared" si="8"/>
        <v>2011-01-06</v>
      </c>
      <c r="M133" s="3" t="str">
        <f t="shared" si="9"/>
        <v>2011</v>
      </c>
      <c r="N133" s="3" t="str">
        <f t="shared" si="10"/>
        <v>06</v>
      </c>
      <c r="O133" s="3">
        <f t="shared" si="11"/>
        <v>10</v>
      </c>
    </row>
    <row r="134" spans="1:15" x14ac:dyDescent="0.35">
      <c r="A134" s="1">
        <v>133</v>
      </c>
      <c r="B134" s="2">
        <v>40549</v>
      </c>
      <c r="C134" s="1">
        <v>1</v>
      </c>
      <c r="D134" s="1">
        <v>0</v>
      </c>
      <c r="E134" s="1">
        <v>1</v>
      </c>
      <c r="F134" s="1">
        <v>18</v>
      </c>
      <c r="G134" s="1" t="b">
        <v>0</v>
      </c>
      <c r="H134" s="1">
        <v>4</v>
      </c>
      <c r="I134" s="1">
        <v>1</v>
      </c>
      <c r="J134" s="1">
        <v>0.22</v>
      </c>
      <c r="L134" s="3" t="str">
        <f t="shared" si="8"/>
        <v>2011-01-06</v>
      </c>
      <c r="M134" s="3" t="str">
        <f t="shared" si="9"/>
        <v>2011</v>
      </c>
      <c r="N134" s="3" t="str">
        <f t="shared" si="10"/>
        <v>06</v>
      </c>
      <c r="O134" s="3">
        <f t="shared" si="11"/>
        <v>10</v>
      </c>
    </row>
    <row r="135" spans="1:15" x14ac:dyDescent="0.35">
      <c r="A135" s="1">
        <v>134</v>
      </c>
      <c r="B135" s="2">
        <v>40549</v>
      </c>
      <c r="C135" s="1">
        <v>1</v>
      </c>
      <c r="D135" s="1">
        <v>0</v>
      </c>
      <c r="E135" s="1">
        <v>1</v>
      </c>
      <c r="F135" s="1">
        <v>19</v>
      </c>
      <c r="G135" s="1" t="b">
        <v>0</v>
      </c>
      <c r="H135" s="1">
        <v>4</v>
      </c>
      <c r="I135" s="1">
        <v>1</v>
      </c>
      <c r="J135" s="1">
        <v>0.22</v>
      </c>
      <c r="L135" s="3" t="str">
        <f t="shared" si="8"/>
        <v>2011-01-06</v>
      </c>
      <c r="M135" s="3" t="str">
        <f t="shared" si="9"/>
        <v>2011</v>
      </c>
      <c r="N135" s="3" t="str">
        <f t="shared" si="10"/>
        <v>06</v>
      </c>
      <c r="O135" s="3">
        <f t="shared" si="11"/>
        <v>10</v>
      </c>
    </row>
    <row r="136" spans="1:15" x14ac:dyDescent="0.35">
      <c r="A136" s="1">
        <v>135</v>
      </c>
      <c r="B136" s="2">
        <v>40549</v>
      </c>
      <c r="C136" s="1">
        <v>1</v>
      </c>
      <c r="D136" s="1">
        <v>0</v>
      </c>
      <c r="E136" s="1">
        <v>1</v>
      </c>
      <c r="F136" s="1">
        <v>20</v>
      </c>
      <c r="G136" s="1" t="b">
        <v>0</v>
      </c>
      <c r="H136" s="1">
        <v>4</v>
      </c>
      <c r="I136" s="1">
        <v>1</v>
      </c>
      <c r="J136" s="1">
        <v>0.2</v>
      </c>
      <c r="L136" s="3" t="str">
        <f t="shared" si="8"/>
        <v>2011-01-06</v>
      </c>
      <c r="M136" s="3" t="str">
        <f t="shared" si="9"/>
        <v>2011</v>
      </c>
      <c r="N136" s="3" t="str">
        <f t="shared" si="10"/>
        <v>06</v>
      </c>
      <c r="O136" s="3">
        <f t="shared" si="11"/>
        <v>10</v>
      </c>
    </row>
    <row r="137" spans="1:15" x14ac:dyDescent="0.35">
      <c r="A137" s="1">
        <v>136</v>
      </c>
      <c r="B137" s="2">
        <v>40549</v>
      </c>
      <c r="C137" s="1">
        <v>1</v>
      </c>
      <c r="D137" s="1">
        <v>0</v>
      </c>
      <c r="E137" s="1">
        <v>1</v>
      </c>
      <c r="F137" s="1">
        <v>21</v>
      </c>
      <c r="G137" s="1" t="b">
        <v>0</v>
      </c>
      <c r="H137" s="1">
        <v>4</v>
      </c>
      <c r="I137" s="1">
        <v>2</v>
      </c>
      <c r="J137" s="1">
        <v>0.22</v>
      </c>
      <c r="L137" s="3" t="str">
        <f t="shared" si="8"/>
        <v>2011-01-06</v>
      </c>
      <c r="M137" s="3" t="str">
        <f t="shared" si="9"/>
        <v>2011</v>
      </c>
      <c r="N137" s="3" t="str">
        <f t="shared" si="10"/>
        <v>06</v>
      </c>
      <c r="O137" s="3">
        <f t="shared" si="11"/>
        <v>10</v>
      </c>
    </row>
    <row r="138" spans="1:15" x14ac:dyDescent="0.35">
      <c r="A138" s="1">
        <v>137</v>
      </c>
      <c r="B138" s="2">
        <v>40549</v>
      </c>
      <c r="C138" s="1">
        <v>1</v>
      </c>
      <c r="D138" s="1">
        <v>0</v>
      </c>
      <c r="E138" s="1">
        <v>1</v>
      </c>
      <c r="F138" s="1">
        <v>22</v>
      </c>
      <c r="G138" s="1" t="b">
        <v>0</v>
      </c>
      <c r="H138" s="1">
        <v>4</v>
      </c>
      <c r="I138" s="1">
        <v>2</v>
      </c>
      <c r="J138" s="1">
        <v>0.22</v>
      </c>
      <c r="L138" s="3" t="str">
        <f t="shared" si="8"/>
        <v>2011-01-06</v>
      </c>
      <c r="M138" s="3" t="str">
        <f t="shared" si="9"/>
        <v>2011</v>
      </c>
      <c r="N138" s="3" t="str">
        <f t="shared" si="10"/>
        <v>06</v>
      </c>
      <c r="O138" s="3">
        <f t="shared" si="11"/>
        <v>10</v>
      </c>
    </row>
    <row r="139" spans="1:15" x14ac:dyDescent="0.35">
      <c r="A139" s="1">
        <v>138</v>
      </c>
      <c r="B139" s="2">
        <v>40549</v>
      </c>
      <c r="C139" s="1">
        <v>1</v>
      </c>
      <c r="D139" s="1">
        <v>0</v>
      </c>
      <c r="E139" s="1">
        <v>1</v>
      </c>
      <c r="F139" s="1">
        <v>23</v>
      </c>
      <c r="G139" s="1" t="b">
        <v>0</v>
      </c>
      <c r="H139" s="1">
        <v>4</v>
      </c>
      <c r="I139" s="1">
        <v>2</v>
      </c>
      <c r="J139" s="1">
        <v>0.2</v>
      </c>
      <c r="L139" s="3" t="str">
        <f t="shared" si="8"/>
        <v>2011-01-06</v>
      </c>
      <c r="M139" s="3" t="str">
        <f t="shared" si="9"/>
        <v>2011</v>
      </c>
      <c r="N139" s="3" t="str">
        <f t="shared" si="10"/>
        <v>06</v>
      </c>
      <c r="O139" s="3">
        <f t="shared" si="11"/>
        <v>10</v>
      </c>
    </row>
    <row r="140" spans="1:15" x14ac:dyDescent="0.35">
      <c r="A140" s="1">
        <v>139</v>
      </c>
      <c r="B140" s="2">
        <v>40550</v>
      </c>
      <c r="C140" s="1">
        <v>1</v>
      </c>
      <c r="D140" s="1">
        <v>0</v>
      </c>
      <c r="E140" s="1">
        <v>1</v>
      </c>
      <c r="F140" s="1">
        <v>0</v>
      </c>
      <c r="G140" s="1" t="b">
        <v>0</v>
      </c>
      <c r="H140" s="1">
        <v>5</v>
      </c>
      <c r="I140" s="1">
        <v>2</v>
      </c>
      <c r="J140" s="1">
        <v>0.2</v>
      </c>
      <c r="L140" s="3" t="str">
        <f t="shared" si="8"/>
        <v>2011-01-07</v>
      </c>
      <c r="M140" s="3" t="str">
        <f t="shared" si="9"/>
        <v>2011</v>
      </c>
      <c r="N140" s="3" t="str">
        <f t="shared" si="10"/>
        <v>07</v>
      </c>
      <c r="O140" s="3">
        <f t="shared" si="11"/>
        <v>10</v>
      </c>
    </row>
    <row r="141" spans="1:15" x14ac:dyDescent="0.35">
      <c r="A141" s="1">
        <v>140</v>
      </c>
      <c r="B141" s="2">
        <v>40550</v>
      </c>
      <c r="C141" s="1">
        <v>1</v>
      </c>
      <c r="D141" s="1">
        <v>0</v>
      </c>
      <c r="E141" s="1">
        <v>1</v>
      </c>
      <c r="F141" s="1">
        <v>1</v>
      </c>
      <c r="G141" s="1" t="b">
        <v>0</v>
      </c>
      <c r="H141" s="1">
        <v>5</v>
      </c>
      <c r="I141" s="1">
        <v>2</v>
      </c>
      <c r="J141" s="1">
        <v>0.2</v>
      </c>
      <c r="L141" s="3" t="str">
        <f t="shared" si="8"/>
        <v>2011-01-07</v>
      </c>
      <c r="M141" s="3" t="str">
        <f t="shared" si="9"/>
        <v>2011</v>
      </c>
      <c r="N141" s="3" t="str">
        <f t="shared" si="10"/>
        <v>07</v>
      </c>
      <c r="O141" s="3">
        <f t="shared" si="11"/>
        <v>10</v>
      </c>
    </row>
    <row r="142" spans="1:15" x14ac:dyDescent="0.35">
      <c r="A142" s="1">
        <v>141</v>
      </c>
      <c r="B142" s="2">
        <v>40550</v>
      </c>
      <c r="C142" s="1">
        <v>1</v>
      </c>
      <c r="D142" s="1">
        <v>0</v>
      </c>
      <c r="E142" s="1">
        <v>1</v>
      </c>
      <c r="F142" s="1">
        <v>2</v>
      </c>
      <c r="G142" s="1" t="b">
        <v>0</v>
      </c>
      <c r="H142" s="1">
        <v>5</v>
      </c>
      <c r="I142" s="1">
        <v>2</v>
      </c>
      <c r="J142" s="1">
        <v>0.2</v>
      </c>
      <c r="L142" s="3" t="str">
        <f t="shared" si="8"/>
        <v>2011-01-07</v>
      </c>
      <c r="M142" s="3" t="str">
        <f t="shared" si="9"/>
        <v>2011</v>
      </c>
      <c r="N142" s="3" t="str">
        <f t="shared" si="10"/>
        <v>07</v>
      </c>
      <c r="O142" s="3">
        <f t="shared" si="11"/>
        <v>10</v>
      </c>
    </row>
    <row r="143" spans="1:15" x14ac:dyDescent="0.35">
      <c r="A143" s="1">
        <v>142</v>
      </c>
      <c r="B143" s="2">
        <v>40550</v>
      </c>
      <c r="C143" s="1">
        <v>1</v>
      </c>
      <c r="D143" s="1">
        <v>0</v>
      </c>
      <c r="E143" s="1">
        <v>1</v>
      </c>
      <c r="F143" s="1">
        <v>4</v>
      </c>
      <c r="G143" s="1" t="b">
        <v>0</v>
      </c>
      <c r="H143" s="1">
        <v>5</v>
      </c>
      <c r="I143" s="1">
        <v>2</v>
      </c>
      <c r="J143" s="1">
        <v>0.2</v>
      </c>
      <c r="L143" s="3" t="str">
        <f t="shared" si="8"/>
        <v>2011-01-07</v>
      </c>
      <c r="M143" s="3" t="str">
        <f t="shared" si="9"/>
        <v>2011</v>
      </c>
      <c r="N143" s="3" t="str">
        <f t="shared" si="10"/>
        <v>07</v>
      </c>
      <c r="O143" s="3">
        <f t="shared" si="11"/>
        <v>10</v>
      </c>
    </row>
    <row r="144" spans="1:15" x14ac:dyDescent="0.35">
      <c r="A144" s="1">
        <v>143</v>
      </c>
      <c r="B144" s="2">
        <v>40550</v>
      </c>
      <c r="C144" s="1">
        <v>1</v>
      </c>
      <c r="D144" s="1">
        <v>0</v>
      </c>
      <c r="E144" s="1">
        <v>1</v>
      </c>
      <c r="F144" s="1">
        <v>5</v>
      </c>
      <c r="G144" s="1" t="b">
        <v>0</v>
      </c>
      <c r="H144" s="1">
        <v>5</v>
      </c>
      <c r="I144" s="1">
        <v>3</v>
      </c>
      <c r="J144" s="1">
        <v>0.22</v>
      </c>
      <c r="L144" s="3" t="str">
        <f t="shared" si="8"/>
        <v>2011-01-07</v>
      </c>
      <c r="M144" s="3" t="str">
        <f t="shared" si="9"/>
        <v>2011</v>
      </c>
      <c r="N144" s="3" t="str">
        <f t="shared" si="10"/>
        <v>07</v>
      </c>
      <c r="O144" s="3">
        <f t="shared" si="11"/>
        <v>10</v>
      </c>
    </row>
    <row r="145" spans="1:15" x14ac:dyDescent="0.35">
      <c r="A145" s="1">
        <v>144</v>
      </c>
      <c r="B145" s="2">
        <v>40550</v>
      </c>
      <c r="C145" s="1">
        <v>1</v>
      </c>
      <c r="D145" s="1">
        <v>0</v>
      </c>
      <c r="E145" s="1">
        <v>1</v>
      </c>
      <c r="F145" s="1">
        <v>6</v>
      </c>
      <c r="G145" s="1" t="b">
        <v>0</v>
      </c>
      <c r="H145" s="1">
        <v>5</v>
      </c>
      <c r="I145" s="1">
        <v>2</v>
      </c>
      <c r="J145" s="1">
        <v>0.2</v>
      </c>
      <c r="L145" s="3" t="str">
        <f t="shared" si="8"/>
        <v>2011-01-07</v>
      </c>
      <c r="M145" s="3" t="str">
        <f t="shared" si="9"/>
        <v>2011</v>
      </c>
      <c r="N145" s="3" t="str">
        <f t="shared" si="10"/>
        <v>07</v>
      </c>
      <c r="O145" s="3">
        <f t="shared" si="11"/>
        <v>10</v>
      </c>
    </row>
    <row r="146" spans="1:15" x14ac:dyDescent="0.35">
      <c r="A146" s="1">
        <v>145</v>
      </c>
      <c r="B146" s="2">
        <v>40550</v>
      </c>
      <c r="C146" s="1">
        <v>1</v>
      </c>
      <c r="D146" s="1">
        <v>0</v>
      </c>
      <c r="E146" s="1">
        <v>1</v>
      </c>
      <c r="F146" s="1">
        <v>7</v>
      </c>
      <c r="G146" s="1" t="b">
        <v>0</v>
      </c>
      <c r="H146" s="1">
        <v>5</v>
      </c>
      <c r="I146" s="1">
        <v>1</v>
      </c>
      <c r="J146" s="1">
        <v>0.2</v>
      </c>
      <c r="L146" s="3" t="str">
        <f t="shared" si="8"/>
        <v>2011-01-07</v>
      </c>
      <c r="M146" s="3" t="str">
        <f t="shared" si="9"/>
        <v>2011</v>
      </c>
      <c r="N146" s="3" t="str">
        <f t="shared" si="10"/>
        <v>07</v>
      </c>
      <c r="O146" s="3">
        <f t="shared" si="11"/>
        <v>10</v>
      </c>
    </row>
    <row r="147" spans="1:15" x14ac:dyDescent="0.35">
      <c r="A147" s="1">
        <v>146</v>
      </c>
      <c r="B147" s="2">
        <v>40550</v>
      </c>
      <c r="C147" s="1">
        <v>1</v>
      </c>
      <c r="D147" s="1">
        <v>0</v>
      </c>
      <c r="E147" s="1">
        <v>1</v>
      </c>
      <c r="F147" s="1">
        <v>8</v>
      </c>
      <c r="G147" s="1" t="b">
        <v>0</v>
      </c>
      <c r="H147" s="1">
        <v>5</v>
      </c>
      <c r="I147" s="1">
        <v>1</v>
      </c>
      <c r="J147" s="1">
        <v>0.2</v>
      </c>
      <c r="L147" s="3" t="str">
        <f t="shared" si="8"/>
        <v>2011-01-07</v>
      </c>
      <c r="M147" s="3" t="str">
        <f t="shared" si="9"/>
        <v>2011</v>
      </c>
      <c r="N147" s="3" t="str">
        <f t="shared" si="10"/>
        <v>07</v>
      </c>
      <c r="O147" s="3">
        <f t="shared" si="11"/>
        <v>10</v>
      </c>
    </row>
    <row r="148" spans="1:15" x14ac:dyDescent="0.35">
      <c r="A148" s="1">
        <v>147</v>
      </c>
      <c r="B148" s="2">
        <v>40550</v>
      </c>
      <c r="C148" s="1">
        <v>1</v>
      </c>
      <c r="D148" s="1">
        <v>0</v>
      </c>
      <c r="E148" s="1">
        <v>1</v>
      </c>
      <c r="F148" s="1">
        <v>9</v>
      </c>
      <c r="G148" s="1" t="b">
        <v>0</v>
      </c>
      <c r="H148" s="1">
        <v>5</v>
      </c>
      <c r="I148" s="1">
        <v>1</v>
      </c>
      <c r="J148" s="1">
        <v>0.2</v>
      </c>
      <c r="L148" s="3" t="str">
        <f t="shared" si="8"/>
        <v>2011-01-07</v>
      </c>
      <c r="M148" s="3" t="str">
        <f t="shared" si="9"/>
        <v>2011</v>
      </c>
      <c r="N148" s="3" t="str">
        <f t="shared" si="10"/>
        <v>07</v>
      </c>
      <c r="O148" s="3">
        <f t="shared" si="11"/>
        <v>10</v>
      </c>
    </row>
    <row r="149" spans="1:15" x14ac:dyDescent="0.35">
      <c r="A149" s="1">
        <v>148</v>
      </c>
      <c r="B149" s="2">
        <v>40550</v>
      </c>
      <c r="C149" s="1">
        <v>1</v>
      </c>
      <c r="D149" s="1">
        <v>0</v>
      </c>
      <c r="E149" s="1">
        <v>1</v>
      </c>
      <c r="F149" s="1">
        <v>10</v>
      </c>
      <c r="G149" s="1" t="b">
        <v>0</v>
      </c>
      <c r="H149" s="1">
        <v>5</v>
      </c>
      <c r="I149" s="1">
        <v>1</v>
      </c>
      <c r="J149" s="1">
        <v>0.22</v>
      </c>
      <c r="L149" s="3" t="str">
        <f t="shared" si="8"/>
        <v>2011-01-07</v>
      </c>
      <c r="M149" s="3" t="str">
        <f t="shared" si="9"/>
        <v>2011</v>
      </c>
      <c r="N149" s="3" t="str">
        <f t="shared" si="10"/>
        <v>07</v>
      </c>
      <c r="O149" s="3">
        <f t="shared" si="11"/>
        <v>10</v>
      </c>
    </row>
    <row r="150" spans="1:15" x14ac:dyDescent="0.35">
      <c r="A150" s="1">
        <v>149</v>
      </c>
      <c r="B150" s="2">
        <v>40550</v>
      </c>
      <c r="C150" s="1">
        <v>1</v>
      </c>
      <c r="D150" s="1">
        <v>0</v>
      </c>
      <c r="E150" s="1">
        <v>1</v>
      </c>
      <c r="F150" s="1">
        <v>11</v>
      </c>
      <c r="G150" s="1" t="b">
        <v>0</v>
      </c>
      <c r="H150" s="1">
        <v>5</v>
      </c>
      <c r="I150" s="1">
        <v>2</v>
      </c>
      <c r="J150" s="1">
        <v>0.2</v>
      </c>
      <c r="L150" s="3" t="str">
        <f t="shared" si="8"/>
        <v>2011-01-07</v>
      </c>
      <c r="M150" s="3" t="str">
        <f t="shared" si="9"/>
        <v>2011</v>
      </c>
      <c r="N150" s="3" t="str">
        <f t="shared" si="10"/>
        <v>07</v>
      </c>
      <c r="O150" s="3">
        <f t="shared" si="11"/>
        <v>10</v>
      </c>
    </row>
    <row r="151" spans="1:15" x14ac:dyDescent="0.35">
      <c r="A151" s="1">
        <v>150</v>
      </c>
      <c r="B151" s="2">
        <v>40550</v>
      </c>
      <c r="C151" s="1">
        <v>1</v>
      </c>
      <c r="D151" s="1">
        <v>0</v>
      </c>
      <c r="E151" s="1">
        <v>1</v>
      </c>
      <c r="F151" s="1">
        <v>12</v>
      </c>
      <c r="G151" s="1" t="b">
        <v>0</v>
      </c>
      <c r="H151" s="1">
        <v>5</v>
      </c>
      <c r="I151" s="1">
        <v>2</v>
      </c>
      <c r="J151" s="1">
        <v>0.2</v>
      </c>
      <c r="L151" s="3" t="str">
        <f t="shared" si="8"/>
        <v>2011-01-07</v>
      </c>
      <c r="M151" s="3" t="str">
        <f t="shared" si="9"/>
        <v>2011</v>
      </c>
      <c r="N151" s="3" t="str">
        <f t="shared" si="10"/>
        <v>07</v>
      </c>
      <c r="O151" s="3">
        <f t="shared" si="11"/>
        <v>10</v>
      </c>
    </row>
    <row r="152" spans="1:15" x14ac:dyDescent="0.35">
      <c r="A152" s="1">
        <v>151</v>
      </c>
      <c r="B152" s="2">
        <v>40550</v>
      </c>
      <c r="C152" s="1">
        <v>1</v>
      </c>
      <c r="D152" s="1">
        <v>0</v>
      </c>
      <c r="E152" s="1">
        <v>1</v>
      </c>
      <c r="F152" s="1">
        <v>13</v>
      </c>
      <c r="G152" s="1" t="b">
        <v>0</v>
      </c>
      <c r="H152" s="1">
        <v>5</v>
      </c>
      <c r="I152" s="1">
        <v>2</v>
      </c>
      <c r="J152" s="1">
        <v>0.2</v>
      </c>
      <c r="L152" s="3" t="str">
        <f t="shared" si="8"/>
        <v>2011-01-07</v>
      </c>
      <c r="M152" s="3" t="str">
        <f t="shared" si="9"/>
        <v>2011</v>
      </c>
      <c r="N152" s="3" t="str">
        <f t="shared" si="10"/>
        <v>07</v>
      </c>
      <c r="O152" s="3">
        <f t="shared" si="11"/>
        <v>10</v>
      </c>
    </row>
    <row r="153" spans="1:15" x14ac:dyDescent="0.35">
      <c r="A153" s="1">
        <v>152</v>
      </c>
      <c r="B153" s="2">
        <v>40550</v>
      </c>
      <c r="C153" s="1">
        <v>1</v>
      </c>
      <c r="D153" s="1">
        <v>0</v>
      </c>
      <c r="E153" s="1">
        <v>1</v>
      </c>
      <c r="F153" s="1">
        <v>14</v>
      </c>
      <c r="G153" s="1" t="b">
        <v>0</v>
      </c>
      <c r="H153" s="1">
        <v>5</v>
      </c>
      <c r="I153" s="1">
        <v>2</v>
      </c>
      <c r="J153" s="1">
        <v>0.2</v>
      </c>
      <c r="L153" s="3" t="str">
        <f t="shared" si="8"/>
        <v>2011-01-07</v>
      </c>
      <c r="M153" s="3" t="str">
        <f t="shared" si="9"/>
        <v>2011</v>
      </c>
      <c r="N153" s="3" t="str">
        <f t="shared" si="10"/>
        <v>07</v>
      </c>
      <c r="O153" s="3">
        <f t="shared" si="11"/>
        <v>10</v>
      </c>
    </row>
    <row r="154" spans="1:15" x14ac:dyDescent="0.35">
      <c r="A154" s="1">
        <v>153</v>
      </c>
      <c r="B154" s="2">
        <v>40550</v>
      </c>
      <c r="C154" s="1">
        <v>1</v>
      </c>
      <c r="D154" s="1">
        <v>0</v>
      </c>
      <c r="E154" s="1">
        <v>1</v>
      </c>
      <c r="F154" s="1">
        <v>15</v>
      </c>
      <c r="G154" s="1" t="b">
        <v>0</v>
      </c>
      <c r="H154" s="1">
        <v>5</v>
      </c>
      <c r="I154" s="1">
        <v>2</v>
      </c>
      <c r="J154" s="1">
        <v>0.2</v>
      </c>
      <c r="L154" s="3" t="str">
        <f t="shared" si="8"/>
        <v>2011-01-07</v>
      </c>
      <c r="M154" s="3" t="str">
        <f t="shared" si="9"/>
        <v>2011</v>
      </c>
      <c r="N154" s="3" t="str">
        <f t="shared" si="10"/>
        <v>07</v>
      </c>
      <c r="O154" s="3">
        <f t="shared" si="11"/>
        <v>10</v>
      </c>
    </row>
    <row r="155" spans="1:15" x14ac:dyDescent="0.35">
      <c r="A155" s="1">
        <v>154</v>
      </c>
      <c r="B155" s="2">
        <v>40550</v>
      </c>
      <c r="C155" s="1">
        <v>1</v>
      </c>
      <c r="D155" s="1">
        <v>0</v>
      </c>
      <c r="E155" s="1">
        <v>1</v>
      </c>
      <c r="F155" s="1">
        <v>16</v>
      </c>
      <c r="G155" s="1" t="b">
        <v>0</v>
      </c>
      <c r="H155" s="1">
        <v>5</v>
      </c>
      <c r="I155" s="1">
        <v>2</v>
      </c>
      <c r="J155" s="1">
        <v>0.2</v>
      </c>
      <c r="L155" s="3" t="str">
        <f t="shared" si="8"/>
        <v>2011-01-07</v>
      </c>
      <c r="M155" s="3" t="str">
        <f t="shared" si="9"/>
        <v>2011</v>
      </c>
      <c r="N155" s="3" t="str">
        <f t="shared" si="10"/>
        <v>07</v>
      </c>
      <c r="O155" s="3">
        <f t="shared" si="11"/>
        <v>10</v>
      </c>
    </row>
    <row r="156" spans="1:15" x14ac:dyDescent="0.35">
      <c r="A156" s="1">
        <v>155</v>
      </c>
      <c r="B156" s="2">
        <v>40550</v>
      </c>
      <c r="C156" s="1">
        <v>1</v>
      </c>
      <c r="D156" s="1">
        <v>0</v>
      </c>
      <c r="E156" s="1">
        <v>1</v>
      </c>
      <c r="F156" s="1">
        <v>17</v>
      </c>
      <c r="G156" s="1" t="b">
        <v>0</v>
      </c>
      <c r="H156" s="1">
        <v>5</v>
      </c>
      <c r="I156" s="1">
        <v>2</v>
      </c>
      <c r="J156" s="1">
        <v>0.2</v>
      </c>
      <c r="L156" s="3" t="str">
        <f t="shared" si="8"/>
        <v>2011-01-07</v>
      </c>
      <c r="M156" s="3" t="str">
        <f t="shared" si="9"/>
        <v>2011</v>
      </c>
      <c r="N156" s="3" t="str">
        <f t="shared" si="10"/>
        <v>07</v>
      </c>
      <c r="O156" s="3">
        <f t="shared" si="11"/>
        <v>10</v>
      </c>
    </row>
    <row r="157" spans="1:15" x14ac:dyDescent="0.35">
      <c r="A157" s="1">
        <v>156</v>
      </c>
      <c r="B157" s="2">
        <v>40550</v>
      </c>
      <c r="C157" s="1">
        <v>1</v>
      </c>
      <c r="D157" s="1">
        <v>0</v>
      </c>
      <c r="E157" s="1">
        <v>1</v>
      </c>
      <c r="F157" s="1">
        <v>18</v>
      </c>
      <c r="G157" s="1" t="b">
        <v>0</v>
      </c>
      <c r="H157" s="1">
        <v>5</v>
      </c>
      <c r="I157" s="1">
        <v>1</v>
      </c>
      <c r="J157" s="1">
        <v>0.2</v>
      </c>
      <c r="L157" s="3" t="str">
        <f t="shared" si="8"/>
        <v>2011-01-07</v>
      </c>
      <c r="M157" s="3" t="str">
        <f t="shared" si="9"/>
        <v>2011</v>
      </c>
      <c r="N157" s="3" t="str">
        <f t="shared" si="10"/>
        <v>07</v>
      </c>
      <c r="O157" s="3">
        <f t="shared" si="11"/>
        <v>10</v>
      </c>
    </row>
    <row r="158" spans="1:15" x14ac:dyDescent="0.35">
      <c r="A158" s="1">
        <v>157</v>
      </c>
      <c r="B158" s="2">
        <v>40550</v>
      </c>
      <c r="C158" s="1">
        <v>1</v>
      </c>
      <c r="D158" s="1">
        <v>0</v>
      </c>
      <c r="E158" s="1">
        <v>1</v>
      </c>
      <c r="F158" s="1">
        <v>19</v>
      </c>
      <c r="G158" s="1" t="b">
        <v>0</v>
      </c>
      <c r="H158" s="1">
        <v>5</v>
      </c>
      <c r="I158" s="1">
        <v>1</v>
      </c>
      <c r="J158" s="1">
        <v>0.16</v>
      </c>
      <c r="L158" s="3" t="str">
        <f t="shared" si="8"/>
        <v>2011-01-07</v>
      </c>
      <c r="M158" s="3" t="str">
        <f t="shared" si="9"/>
        <v>2011</v>
      </c>
      <c r="N158" s="3" t="str">
        <f t="shared" si="10"/>
        <v>07</v>
      </c>
      <c r="O158" s="3">
        <f t="shared" si="11"/>
        <v>10</v>
      </c>
    </row>
    <row r="159" spans="1:15" x14ac:dyDescent="0.35">
      <c r="A159" s="1">
        <v>158</v>
      </c>
      <c r="B159" s="2">
        <v>40550</v>
      </c>
      <c r="C159" s="1">
        <v>1</v>
      </c>
      <c r="D159" s="1">
        <v>0</v>
      </c>
      <c r="E159" s="1">
        <v>1</v>
      </c>
      <c r="F159" s="1">
        <v>20</v>
      </c>
      <c r="G159" s="1" t="b">
        <v>0</v>
      </c>
      <c r="H159" s="1">
        <v>5</v>
      </c>
      <c r="I159" s="1">
        <v>1</v>
      </c>
      <c r="J159" s="1">
        <v>0.18</v>
      </c>
      <c r="L159" s="3" t="str">
        <f t="shared" si="8"/>
        <v>2011-01-07</v>
      </c>
      <c r="M159" s="3" t="str">
        <f t="shared" si="9"/>
        <v>2011</v>
      </c>
      <c r="N159" s="3" t="str">
        <f t="shared" si="10"/>
        <v>07</v>
      </c>
      <c r="O159" s="3">
        <f t="shared" si="11"/>
        <v>10</v>
      </c>
    </row>
    <row r="160" spans="1:15" x14ac:dyDescent="0.35">
      <c r="A160" s="1">
        <v>159</v>
      </c>
      <c r="B160" s="2">
        <v>40550</v>
      </c>
      <c r="C160" s="1">
        <v>1</v>
      </c>
      <c r="D160" s="1">
        <v>0</v>
      </c>
      <c r="E160" s="1">
        <v>1</v>
      </c>
      <c r="F160" s="1">
        <v>21</v>
      </c>
      <c r="G160" s="1" t="b">
        <v>0</v>
      </c>
      <c r="H160" s="1">
        <v>5</v>
      </c>
      <c r="I160" s="1">
        <v>1</v>
      </c>
      <c r="J160" s="1">
        <v>0.18</v>
      </c>
      <c r="L160" s="3" t="str">
        <f t="shared" si="8"/>
        <v>2011-01-07</v>
      </c>
      <c r="M160" s="3" t="str">
        <f t="shared" si="9"/>
        <v>2011</v>
      </c>
      <c r="N160" s="3" t="str">
        <f t="shared" si="10"/>
        <v>07</v>
      </c>
      <c r="O160" s="3">
        <f t="shared" si="11"/>
        <v>10</v>
      </c>
    </row>
    <row r="161" spans="1:15" x14ac:dyDescent="0.35">
      <c r="A161" s="1">
        <v>160</v>
      </c>
      <c r="B161" s="2">
        <v>40550</v>
      </c>
      <c r="C161" s="1">
        <v>1</v>
      </c>
      <c r="D161" s="1">
        <v>0</v>
      </c>
      <c r="E161" s="1">
        <v>1</v>
      </c>
      <c r="F161" s="1">
        <v>22</v>
      </c>
      <c r="G161" s="1" t="b">
        <v>0</v>
      </c>
      <c r="H161" s="1">
        <v>5</v>
      </c>
      <c r="I161" s="1">
        <v>2</v>
      </c>
      <c r="J161" s="1">
        <v>0.18</v>
      </c>
      <c r="L161" s="3" t="str">
        <f t="shared" si="8"/>
        <v>2011-01-07</v>
      </c>
      <c r="M161" s="3" t="str">
        <f t="shared" si="9"/>
        <v>2011</v>
      </c>
      <c r="N161" s="3" t="str">
        <f t="shared" si="10"/>
        <v>07</v>
      </c>
      <c r="O161" s="3">
        <f t="shared" si="11"/>
        <v>10</v>
      </c>
    </row>
    <row r="162" spans="1:15" x14ac:dyDescent="0.35">
      <c r="A162" s="1">
        <v>161</v>
      </c>
      <c r="B162" s="2">
        <v>40550</v>
      </c>
      <c r="C162" s="1">
        <v>1</v>
      </c>
      <c r="D162" s="1">
        <v>0</v>
      </c>
      <c r="E162" s="1">
        <v>1</v>
      </c>
      <c r="F162" s="1">
        <v>23</v>
      </c>
      <c r="G162" s="1" t="b">
        <v>0</v>
      </c>
      <c r="H162" s="1">
        <v>5</v>
      </c>
      <c r="I162" s="1">
        <v>2</v>
      </c>
      <c r="J162" s="1">
        <v>0.18</v>
      </c>
      <c r="L162" s="3" t="str">
        <f t="shared" si="8"/>
        <v>2011-01-07</v>
      </c>
      <c r="M162" s="3" t="str">
        <f t="shared" si="9"/>
        <v>2011</v>
      </c>
      <c r="N162" s="3" t="str">
        <f t="shared" si="10"/>
        <v>07</v>
      </c>
      <c r="O162" s="3">
        <f t="shared" si="11"/>
        <v>10</v>
      </c>
    </row>
    <row r="163" spans="1:15" x14ac:dyDescent="0.35">
      <c r="A163" s="1">
        <v>162</v>
      </c>
      <c r="B163" s="2">
        <v>40551</v>
      </c>
      <c r="C163" s="1">
        <v>1</v>
      </c>
      <c r="D163" s="1">
        <v>0</v>
      </c>
      <c r="E163" s="1">
        <v>1</v>
      </c>
      <c r="F163" s="1">
        <v>0</v>
      </c>
      <c r="G163" s="1" t="b">
        <v>0</v>
      </c>
      <c r="H163" s="1">
        <v>6</v>
      </c>
      <c r="I163" s="1">
        <v>2</v>
      </c>
      <c r="J163" s="1">
        <v>0.18</v>
      </c>
      <c r="L163" s="3" t="str">
        <f t="shared" si="8"/>
        <v>2011-01-08</v>
      </c>
      <c r="M163" s="3" t="str">
        <f t="shared" si="9"/>
        <v>2011</v>
      </c>
      <c r="N163" s="3" t="str">
        <f t="shared" si="10"/>
        <v>08</v>
      </c>
      <c r="O163" s="3">
        <f t="shared" si="11"/>
        <v>10</v>
      </c>
    </row>
    <row r="164" spans="1:15" x14ac:dyDescent="0.35">
      <c r="A164" s="1">
        <v>163</v>
      </c>
      <c r="B164" s="2">
        <v>40551</v>
      </c>
      <c r="C164" s="1">
        <v>1</v>
      </c>
      <c r="D164" s="1">
        <v>0</v>
      </c>
      <c r="E164" s="1">
        <v>1</v>
      </c>
      <c r="F164" s="1">
        <v>1</v>
      </c>
      <c r="G164" s="1" t="b">
        <v>0</v>
      </c>
      <c r="H164" s="1">
        <v>6</v>
      </c>
      <c r="I164" s="1">
        <v>2</v>
      </c>
      <c r="J164" s="1">
        <v>0.18</v>
      </c>
      <c r="L164" s="3" t="str">
        <f t="shared" si="8"/>
        <v>2011-01-08</v>
      </c>
      <c r="M164" s="3" t="str">
        <f t="shared" si="9"/>
        <v>2011</v>
      </c>
      <c r="N164" s="3" t="str">
        <f t="shared" si="10"/>
        <v>08</v>
      </c>
      <c r="O164" s="3">
        <f t="shared" si="11"/>
        <v>10</v>
      </c>
    </row>
    <row r="165" spans="1:15" x14ac:dyDescent="0.35">
      <c r="A165" s="1">
        <v>164</v>
      </c>
      <c r="B165" s="2">
        <v>40551</v>
      </c>
      <c r="C165" s="1">
        <v>1</v>
      </c>
      <c r="D165" s="1">
        <v>0</v>
      </c>
      <c r="E165" s="1">
        <v>1</v>
      </c>
      <c r="F165" s="1">
        <v>2</v>
      </c>
      <c r="G165" s="1" t="b">
        <v>0</v>
      </c>
      <c r="H165" s="1">
        <v>6</v>
      </c>
      <c r="I165" s="1">
        <v>2</v>
      </c>
      <c r="J165" s="1">
        <v>0.18</v>
      </c>
      <c r="L165" s="3" t="str">
        <f t="shared" si="8"/>
        <v>2011-01-08</v>
      </c>
      <c r="M165" s="3" t="str">
        <f t="shared" si="9"/>
        <v>2011</v>
      </c>
      <c r="N165" s="3" t="str">
        <f t="shared" si="10"/>
        <v>08</v>
      </c>
      <c r="O165" s="3">
        <f t="shared" si="11"/>
        <v>10</v>
      </c>
    </row>
    <row r="166" spans="1:15" x14ac:dyDescent="0.35">
      <c r="A166" s="1">
        <v>165</v>
      </c>
      <c r="B166" s="2">
        <v>40551</v>
      </c>
      <c r="C166" s="1">
        <v>1</v>
      </c>
      <c r="D166" s="1">
        <v>0</v>
      </c>
      <c r="E166" s="1">
        <v>1</v>
      </c>
      <c r="F166" s="1">
        <v>3</v>
      </c>
      <c r="G166" s="1" t="b">
        <v>0</v>
      </c>
      <c r="H166" s="1">
        <v>6</v>
      </c>
      <c r="I166" s="1">
        <v>3</v>
      </c>
      <c r="J166" s="1">
        <v>0.18</v>
      </c>
      <c r="L166" s="3" t="str">
        <f t="shared" si="8"/>
        <v>2011-01-08</v>
      </c>
      <c r="M166" s="3" t="str">
        <f t="shared" si="9"/>
        <v>2011</v>
      </c>
      <c r="N166" s="3" t="str">
        <f t="shared" si="10"/>
        <v>08</v>
      </c>
      <c r="O166" s="3">
        <f t="shared" si="11"/>
        <v>10</v>
      </c>
    </row>
    <row r="167" spans="1:15" x14ac:dyDescent="0.35">
      <c r="A167" s="1">
        <v>166</v>
      </c>
      <c r="B167" s="2">
        <v>40551</v>
      </c>
      <c r="C167" s="1">
        <v>1</v>
      </c>
      <c r="D167" s="1">
        <v>0</v>
      </c>
      <c r="E167" s="1">
        <v>1</v>
      </c>
      <c r="F167" s="1">
        <v>4</v>
      </c>
      <c r="G167" s="1" t="b">
        <v>0</v>
      </c>
      <c r="H167" s="1">
        <v>6</v>
      </c>
      <c r="I167" s="1">
        <v>3</v>
      </c>
      <c r="J167" s="1">
        <v>0.18</v>
      </c>
      <c r="L167" s="3" t="str">
        <f t="shared" si="8"/>
        <v>2011-01-08</v>
      </c>
      <c r="M167" s="3" t="str">
        <f t="shared" si="9"/>
        <v>2011</v>
      </c>
      <c r="N167" s="3" t="str">
        <f t="shared" si="10"/>
        <v>08</v>
      </c>
      <c r="O167" s="3">
        <f t="shared" si="11"/>
        <v>10</v>
      </c>
    </row>
    <row r="168" spans="1:15" x14ac:dyDescent="0.35">
      <c r="A168" s="1">
        <v>167</v>
      </c>
      <c r="B168" s="2">
        <v>40551</v>
      </c>
      <c r="C168" s="1">
        <v>1</v>
      </c>
      <c r="D168" s="1">
        <v>0</v>
      </c>
      <c r="E168" s="1">
        <v>1</v>
      </c>
      <c r="F168" s="1">
        <v>5</v>
      </c>
      <c r="G168" s="1" t="b">
        <v>0</v>
      </c>
      <c r="H168" s="1">
        <v>6</v>
      </c>
      <c r="I168" s="1">
        <v>2</v>
      </c>
      <c r="J168" s="1">
        <v>0.16</v>
      </c>
      <c r="L168" s="3" t="str">
        <f t="shared" si="8"/>
        <v>2011-01-08</v>
      </c>
      <c r="M168" s="3" t="str">
        <f t="shared" si="9"/>
        <v>2011</v>
      </c>
      <c r="N168" s="3" t="str">
        <f t="shared" si="10"/>
        <v>08</v>
      </c>
      <c r="O168" s="3">
        <f t="shared" si="11"/>
        <v>10</v>
      </c>
    </row>
    <row r="169" spans="1:15" x14ac:dyDescent="0.35">
      <c r="A169" s="1">
        <v>168</v>
      </c>
      <c r="B169" s="2">
        <v>40551</v>
      </c>
      <c r="C169" s="1">
        <v>1</v>
      </c>
      <c r="D169" s="1">
        <v>0</v>
      </c>
      <c r="E169" s="1">
        <v>1</v>
      </c>
      <c r="F169" s="1">
        <v>6</v>
      </c>
      <c r="G169" s="1" t="b">
        <v>0</v>
      </c>
      <c r="H169" s="1">
        <v>6</v>
      </c>
      <c r="I169" s="1">
        <v>2</v>
      </c>
      <c r="J169" s="1">
        <v>0.16</v>
      </c>
      <c r="L169" s="3" t="str">
        <f t="shared" si="8"/>
        <v>2011-01-08</v>
      </c>
      <c r="M169" s="3" t="str">
        <f t="shared" si="9"/>
        <v>2011</v>
      </c>
      <c r="N169" s="3" t="str">
        <f t="shared" si="10"/>
        <v>08</v>
      </c>
      <c r="O169" s="3">
        <f t="shared" si="11"/>
        <v>10</v>
      </c>
    </row>
    <row r="170" spans="1:15" x14ac:dyDescent="0.35">
      <c r="A170" s="1">
        <v>169</v>
      </c>
      <c r="B170" s="2">
        <v>40551</v>
      </c>
      <c r="C170" s="1">
        <v>1</v>
      </c>
      <c r="D170" s="1">
        <v>0</v>
      </c>
      <c r="E170" s="1">
        <v>1</v>
      </c>
      <c r="F170" s="1">
        <v>7</v>
      </c>
      <c r="G170" s="1" t="b">
        <v>0</v>
      </c>
      <c r="H170" s="1">
        <v>6</v>
      </c>
      <c r="I170" s="1">
        <v>2</v>
      </c>
      <c r="J170" s="1">
        <v>0.16</v>
      </c>
      <c r="L170" s="3" t="str">
        <f t="shared" si="8"/>
        <v>2011-01-08</v>
      </c>
      <c r="M170" s="3" t="str">
        <f t="shared" si="9"/>
        <v>2011</v>
      </c>
      <c r="N170" s="3" t="str">
        <f t="shared" si="10"/>
        <v>08</v>
      </c>
      <c r="O170" s="3">
        <f t="shared" si="11"/>
        <v>10</v>
      </c>
    </row>
    <row r="171" spans="1:15" x14ac:dyDescent="0.35">
      <c r="A171" s="1">
        <v>170</v>
      </c>
      <c r="B171" s="2">
        <v>40551</v>
      </c>
      <c r="C171" s="1">
        <v>1</v>
      </c>
      <c r="D171" s="1">
        <v>0</v>
      </c>
      <c r="E171" s="1">
        <v>1</v>
      </c>
      <c r="F171" s="1">
        <v>8</v>
      </c>
      <c r="G171" s="1" t="b">
        <v>0</v>
      </c>
      <c r="H171" s="1">
        <v>6</v>
      </c>
      <c r="I171" s="1">
        <v>3</v>
      </c>
      <c r="J171" s="1">
        <v>0.16</v>
      </c>
      <c r="L171" s="3" t="str">
        <f t="shared" si="8"/>
        <v>2011-01-08</v>
      </c>
      <c r="M171" s="3" t="str">
        <f t="shared" si="9"/>
        <v>2011</v>
      </c>
      <c r="N171" s="3" t="str">
        <f t="shared" si="10"/>
        <v>08</v>
      </c>
      <c r="O171" s="3">
        <f t="shared" si="11"/>
        <v>10</v>
      </c>
    </row>
    <row r="172" spans="1:15" x14ac:dyDescent="0.35">
      <c r="A172" s="1">
        <v>171</v>
      </c>
      <c r="B172" s="2">
        <v>40551</v>
      </c>
      <c r="C172" s="1">
        <v>1</v>
      </c>
      <c r="D172" s="1">
        <v>0</v>
      </c>
      <c r="E172" s="1">
        <v>1</v>
      </c>
      <c r="F172" s="1">
        <v>9</v>
      </c>
      <c r="G172" s="1" t="b">
        <v>0</v>
      </c>
      <c r="H172" s="1">
        <v>6</v>
      </c>
      <c r="I172" s="1">
        <v>3</v>
      </c>
      <c r="J172" s="1">
        <v>0.16</v>
      </c>
      <c r="L172" s="3" t="str">
        <f t="shared" si="8"/>
        <v>2011-01-08</v>
      </c>
      <c r="M172" s="3" t="str">
        <f t="shared" si="9"/>
        <v>2011</v>
      </c>
      <c r="N172" s="3" t="str">
        <f t="shared" si="10"/>
        <v>08</v>
      </c>
      <c r="O172" s="3">
        <f t="shared" si="11"/>
        <v>10</v>
      </c>
    </row>
    <row r="173" spans="1:15" x14ac:dyDescent="0.35">
      <c r="A173" s="1">
        <v>172</v>
      </c>
      <c r="B173" s="2">
        <v>40551</v>
      </c>
      <c r="C173" s="1">
        <v>1</v>
      </c>
      <c r="D173" s="1">
        <v>0</v>
      </c>
      <c r="E173" s="1">
        <v>1</v>
      </c>
      <c r="F173" s="1">
        <v>10</v>
      </c>
      <c r="G173" s="1" t="b">
        <v>0</v>
      </c>
      <c r="H173" s="1">
        <v>6</v>
      </c>
      <c r="I173" s="1">
        <v>2</v>
      </c>
      <c r="J173" s="1">
        <v>0.18</v>
      </c>
      <c r="L173" s="3" t="str">
        <f t="shared" si="8"/>
        <v>2011-01-08</v>
      </c>
      <c r="M173" s="3" t="str">
        <f t="shared" si="9"/>
        <v>2011</v>
      </c>
      <c r="N173" s="3" t="str">
        <f t="shared" si="10"/>
        <v>08</v>
      </c>
      <c r="O173" s="3">
        <f t="shared" si="11"/>
        <v>10</v>
      </c>
    </row>
    <row r="174" spans="1:15" x14ac:dyDescent="0.35">
      <c r="A174" s="1">
        <v>173</v>
      </c>
      <c r="B174" s="2">
        <v>40551</v>
      </c>
      <c r="C174" s="1">
        <v>1</v>
      </c>
      <c r="D174" s="1">
        <v>0</v>
      </c>
      <c r="E174" s="1">
        <v>1</v>
      </c>
      <c r="F174" s="1">
        <v>11</v>
      </c>
      <c r="G174" s="1" t="b">
        <v>0</v>
      </c>
      <c r="H174" s="1">
        <v>6</v>
      </c>
      <c r="I174" s="1">
        <v>2</v>
      </c>
      <c r="J174" s="1">
        <v>0.2</v>
      </c>
      <c r="L174" s="3" t="str">
        <f t="shared" si="8"/>
        <v>2011-01-08</v>
      </c>
      <c r="M174" s="3" t="str">
        <f t="shared" si="9"/>
        <v>2011</v>
      </c>
      <c r="N174" s="3" t="str">
        <f t="shared" si="10"/>
        <v>08</v>
      </c>
      <c r="O174" s="3">
        <f t="shared" si="11"/>
        <v>10</v>
      </c>
    </row>
    <row r="175" spans="1:15" x14ac:dyDescent="0.35">
      <c r="A175" s="1">
        <v>174</v>
      </c>
      <c r="B175" s="2">
        <v>40551</v>
      </c>
      <c r="C175" s="1">
        <v>1</v>
      </c>
      <c r="D175" s="1">
        <v>0</v>
      </c>
      <c r="E175" s="1">
        <v>1</v>
      </c>
      <c r="F175" s="1">
        <v>12</v>
      </c>
      <c r="G175" s="1" t="b">
        <v>0</v>
      </c>
      <c r="H175" s="1">
        <v>6</v>
      </c>
      <c r="I175" s="1">
        <v>2</v>
      </c>
      <c r="J175" s="1">
        <v>0.2</v>
      </c>
      <c r="L175" s="3" t="str">
        <f t="shared" si="8"/>
        <v>2011-01-08</v>
      </c>
      <c r="M175" s="3" t="str">
        <f t="shared" si="9"/>
        <v>2011</v>
      </c>
      <c r="N175" s="3" t="str">
        <f t="shared" si="10"/>
        <v>08</v>
      </c>
      <c r="O175" s="3">
        <f t="shared" si="11"/>
        <v>10</v>
      </c>
    </row>
    <row r="176" spans="1:15" x14ac:dyDescent="0.35">
      <c r="A176" s="1">
        <v>175</v>
      </c>
      <c r="B176" s="2">
        <v>40551</v>
      </c>
      <c r="C176" s="1">
        <v>1</v>
      </c>
      <c r="D176" s="1">
        <v>0</v>
      </c>
      <c r="E176" s="1">
        <v>1</v>
      </c>
      <c r="F176" s="1">
        <v>13</v>
      </c>
      <c r="G176" s="1" t="b">
        <v>0</v>
      </c>
      <c r="H176" s="1">
        <v>6</v>
      </c>
      <c r="I176" s="1">
        <v>1</v>
      </c>
      <c r="J176" s="1">
        <v>0.2</v>
      </c>
      <c r="L176" s="3" t="str">
        <f t="shared" si="8"/>
        <v>2011-01-08</v>
      </c>
      <c r="M176" s="3" t="str">
        <f t="shared" si="9"/>
        <v>2011</v>
      </c>
      <c r="N176" s="3" t="str">
        <f t="shared" si="10"/>
        <v>08</v>
      </c>
      <c r="O176" s="3">
        <f t="shared" si="11"/>
        <v>10</v>
      </c>
    </row>
    <row r="177" spans="1:15" x14ac:dyDescent="0.35">
      <c r="A177" s="1">
        <v>176</v>
      </c>
      <c r="B177" s="2">
        <v>40551</v>
      </c>
      <c r="C177" s="1">
        <v>1</v>
      </c>
      <c r="D177" s="1">
        <v>0</v>
      </c>
      <c r="E177" s="1">
        <v>1</v>
      </c>
      <c r="F177" s="1">
        <v>14</v>
      </c>
      <c r="G177" s="1" t="b">
        <v>0</v>
      </c>
      <c r="H177" s="1">
        <v>6</v>
      </c>
      <c r="I177" s="1">
        <v>1</v>
      </c>
      <c r="J177" s="1">
        <v>0.2</v>
      </c>
      <c r="L177" s="3" t="str">
        <f t="shared" si="8"/>
        <v>2011-01-08</v>
      </c>
      <c r="M177" s="3" t="str">
        <f t="shared" si="9"/>
        <v>2011</v>
      </c>
      <c r="N177" s="3" t="str">
        <f t="shared" si="10"/>
        <v>08</v>
      </c>
      <c r="O177" s="3">
        <f t="shared" si="11"/>
        <v>10</v>
      </c>
    </row>
    <row r="178" spans="1:15" x14ac:dyDescent="0.35">
      <c r="A178" s="1">
        <v>177</v>
      </c>
      <c r="B178" s="2">
        <v>40551</v>
      </c>
      <c r="C178" s="1">
        <v>1</v>
      </c>
      <c r="D178" s="1">
        <v>0</v>
      </c>
      <c r="E178" s="1">
        <v>1</v>
      </c>
      <c r="F178" s="1">
        <v>15</v>
      </c>
      <c r="G178" s="1" t="b">
        <v>0</v>
      </c>
      <c r="H178" s="1">
        <v>6</v>
      </c>
      <c r="I178" s="1">
        <v>1</v>
      </c>
      <c r="J178" s="1">
        <v>0.2</v>
      </c>
      <c r="L178" s="3" t="str">
        <f t="shared" si="8"/>
        <v>2011-01-08</v>
      </c>
      <c r="M178" s="3" t="str">
        <f t="shared" si="9"/>
        <v>2011</v>
      </c>
      <c r="N178" s="3" t="str">
        <f t="shared" si="10"/>
        <v>08</v>
      </c>
      <c r="O178" s="3">
        <f t="shared" si="11"/>
        <v>10</v>
      </c>
    </row>
    <row r="179" spans="1:15" x14ac:dyDescent="0.35">
      <c r="A179" s="1">
        <v>178</v>
      </c>
      <c r="B179" s="2">
        <v>40551</v>
      </c>
      <c r="C179" s="1">
        <v>1</v>
      </c>
      <c r="D179" s="1">
        <v>0</v>
      </c>
      <c r="E179" s="1">
        <v>1</v>
      </c>
      <c r="F179" s="1">
        <v>16</v>
      </c>
      <c r="G179" s="1" t="b">
        <v>0</v>
      </c>
      <c r="H179" s="1">
        <v>6</v>
      </c>
      <c r="I179" s="1">
        <v>1</v>
      </c>
      <c r="J179" s="1">
        <v>0.18</v>
      </c>
      <c r="L179" s="3" t="str">
        <f t="shared" si="8"/>
        <v>2011-01-08</v>
      </c>
      <c r="M179" s="3" t="str">
        <f t="shared" si="9"/>
        <v>2011</v>
      </c>
      <c r="N179" s="3" t="str">
        <f t="shared" si="10"/>
        <v>08</v>
      </c>
      <c r="O179" s="3">
        <f t="shared" si="11"/>
        <v>10</v>
      </c>
    </row>
    <row r="180" spans="1:15" x14ac:dyDescent="0.35">
      <c r="A180" s="1">
        <v>179</v>
      </c>
      <c r="B180" s="2">
        <v>40551</v>
      </c>
      <c r="C180" s="1">
        <v>1</v>
      </c>
      <c r="D180" s="1">
        <v>0</v>
      </c>
      <c r="E180" s="1">
        <v>1</v>
      </c>
      <c r="F180" s="1">
        <v>17</v>
      </c>
      <c r="G180" s="1" t="b">
        <v>0</v>
      </c>
      <c r="H180" s="1">
        <v>6</v>
      </c>
      <c r="I180" s="1">
        <v>1</v>
      </c>
      <c r="J180" s="1">
        <v>0.16</v>
      </c>
      <c r="L180" s="3" t="str">
        <f t="shared" si="8"/>
        <v>2011-01-08</v>
      </c>
      <c r="M180" s="3" t="str">
        <f t="shared" si="9"/>
        <v>2011</v>
      </c>
      <c r="N180" s="3" t="str">
        <f t="shared" si="10"/>
        <v>08</v>
      </c>
      <c r="O180" s="3">
        <f t="shared" si="11"/>
        <v>10</v>
      </c>
    </row>
    <row r="181" spans="1:15" x14ac:dyDescent="0.35">
      <c r="A181" s="1">
        <v>180</v>
      </c>
      <c r="B181" s="2">
        <v>40551</v>
      </c>
      <c r="C181" s="1">
        <v>1</v>
      </c>
      <c r="D181" s="1">
        <v>0</v>
      </c>
      <c r="E181" s="1">
        <v>1</v>
      </c>
      <c r="F181" s="1">
        <v>18</v>
      </c>
      <c r="G181" s="1" t="b">
        <v>0</v>
      </c>
      <c r="H181" s="1">
        <v>6</v>
      </c>
      <c r="I181" s="1">
        <v>1</v>
      </c>
      <c r="J181" s="1">
        <v>0.14000000000000001</v>
      </c>
      <c r="L181" s="3" t="str">
        <f t="shared" si="8"/>
        <v>2011-01-08</v>
      </c>
      <c r="M181" s="3" t="str">
        <f t="shared" si="9"/>
        <v>2011</v>
      </c>
      <c r="N181" s="3" t="str">
        <f t="shared" si="10"/>
        <v>08</v>
      </c>
      <c r="O181" s="3">
        <f t="shared" si="11"/>
        <v>10</v>
      </c>
    </row>
    <row r="182" spans="1:15" x14ac:dyDescent="0.35">
      <c r="A182" s="1">
        <v>181</v>
      </c>
      <c r="B182" s="2">
        <v>40551</v>
      </c>
      <c r="C182" s="1">
        <v>1</v>
      </c>
      <c r="D182" s="1">
        <v>0</v>
      </c>
      <c r="E182" s="1">
        <v>1</v>
      </c>
      <c r="F182" s="1">
        <v>19</v>
      </c>
      <c r="G182" s="1" t="b">
        <v>0</v>
      </c>
      <c r="H182" s="1">
        <v>6</v>
      </c>
      <c r="I182" s="1">
        <v>1</v>
      </c>
      <c r="J182" s="1">
        <v>0.14000000000000001</v>
      </c>
      <c r="L182" s="3" t="str">
        <f t="shared" si="8"/>
        <v>2011-01-08</v>
      </c>
      <c r="M182" s="3" t="str">
        <f t="shared" si="9"/>
        <v>2011</v>
      </c>
      <c r="N182" s="3" t="str">
        <f t="shared" si="10"/>
        <v>08</v>
      </c>
      <c r="O182" s="3">
        <f t="shared" si="11"/>
        <v>10</v>
      </c>
    </row>
    <row r="183" spans="1:15" x14ac:dyDescent="0.35">
      <c r="A183" s="1">
        <v>182</v>
      </c>
      <c r="B183" s="2">
        <v>40551</v>
      </c>
      <c r="C183" s="1">
        <v>1</v>
      </c>
      <c r="D183" s="1">
        <v>0</v>
      </c>
      <c r="E183" s="1">
        <v>1</v>
      </c>
      <c r="F183" s="1">
        <v>20</v>
      </c>
      <c r="G183" s="1" t="b">
        <v>0</v>
      </c>
      <c r="H183" s="1">
        <v>6</v>
      </c>
      <c r="I183" s="1">
        <v>1</v>
      </c>
      <c r="J183" s="1">
        <v>0.12</v>
      </c>
      <c r="L183" s="3" t="str">
        <f t="shared" si="8"/>
        <v>2011-01-08</v>
      </c>
      <c r="M183" s="3" t="str">
        <f t="shared" si="9"/>
        <v>2011</v>
      </c>
      <c r="N183" s="3" t="str">
        <f t="shared" si="10"/>
        <v>08</v>
      </c>
      <c r="O183" s="3">
        <f t="shared" si="11"/>
        <v>10</v>
      </c>
    </row>
    <row r="184" spans="1:15" x14ac:dyDescent="0.35">
      <c r="A184" s="1">
        <v>183</v>
      </c>
      <c r="B184" s="2">
        <v>40551</v>
      </c>
      <c r="C184" s="1">
        <v>1</v>
      </c>
      <c r="D184" s="1">
        <v>0</v>
      </c>
      <c r="E184" s="1">
        <v>1</v>
      </c>
      <c r="F184" s="1">
        <v>21</v>
      </c>
      <c r="G184" s="1" t="b">
        <v>0</v>
      </c>
      <c r="H184" s="1">
        <v>6</v>
      </c>
      <c r="I184" s="1">
        <v>1</v>
      </c>
      <c r="J184" s="1">
        <v>0.12</v>
      </c>
      <c r="L184" s="3" t="str">
        <f t="shared" si="8"/>
        <v>2011-01-08</v>
      </c>
      <c r="M184" s="3" t="str">
        <f t="shared" si="9"/>
        <v>2011</v>
      </c>
      <c r="N184" s="3" t="str">
        <f t="shared" si="10"/>
        <v>08</v>
      </c>
      <c r="O184" s="3">
        <f t="shared" si="11"/>
        <v>10</v>
      </c>
    </row>
    <row r="185" spans="1:15" x14ac:dyDescent="0.35">
      <c r="A185" s="1">
        <v>184</v>
      </c>
      <c r="B185" s="2">
        <v>40551</v>
      </c>
      <c r="C185" s="1">
        <v>1</v>
      </c>
      <c r="D185" s="1">
        <v>0</v>
      </c>
      <c r="E185" s="1">
        <v>1</v>
      </c>
      <c r="F185" s="1">
        <v>22</v>
      </c>
      <c r="G185" s="1" t="b">
        <v>0</v>
      </c>
      <c r="H185" s="1">
        <v>6</v>
      </c>
      <c r="I185" s="1">
        <v>1</v>
      </c>
      <c r="J185" s="1">
        <v>0.12</v>
      </c>
      <c r="L185" s="3" t="str">
        <f t="shared" si="8"/>
        <v>2011-01-08</v>
      </c>
      <c r="M185" s="3" t="str">
        <f t="shared" si="9"/>
        <v>2011</v>
      </c>
      <c r="N185" s="3" t="str">
        <f t="shared" si="10"/>
        <v>08</v>
      </c>
      <c r="O185" s="3">
        <f t="shared" si="11"/>
        <v>10</v>
      </c>
    </row>
    <row r="186" spans="1:15" x14ac:dyDescent="0.35">
      <c r="A186" s="1">
        <v>185</v>
      </c>
      <c r="B186" s="2">
        <v>40551</v>
      </c>
      <c r="C186" s="1">
        <v>1</v>
      </c>
      <c r="D186" s="1">
        <v>0</v>
      </c>
      <c r="E186" s="1">
        <v>1</v>
      </c>
      <c r="F186" s="1">
        <v>23</v>
      </c>
      <c r="G186" s="1" t="b">
        <v>0</v>
      </c>
      <c r="H186" s="1">
        <v>6</v>
      </c>
      <c r="I186" s="1">
        <v>1</v>
      </c>
      <c r="J186" s="1">
        <v>0.1</v>
      </c>
      <c r="L186" s="3" t="str">
        <f t="shared" si="8"/>
        <v>2011-01-08</v>
      </c>
      <c r="M186" s="3" t="str">
        <f t="shared" si="9"/>
        <v>2011</v>
      </c>
      <c r="N186" s="3" t="str">
        <f t="shared" si="10"/>
        <v>08</v>
      </c>
      <c r="O186" s="3">
        <f t="shared" si="11"/>
        <v>10</v>
      </c>
    </row>
    <row r="187" spans="1:15" x14ac:dyDescent="0.35">
      <c r="A187" s="1">
        <v>186</v>
      </c>
      <c r="B187" s="2">
        <v>40552</v>
      </c>
      <c r="C187" s="1">
        <v>1</v>
      </c>
      <c r="D187" s="1">
        <v>0</v>
      </c>
      <c r="E187" s="1">
        <v>1</v>
      </c>
      <c r="F187" s="1">
        <v>0</v>
      </c>
      <c r="G187" s="1" t="b">
        <v>0</v>
      </c>
      <c r="H187" s="1">
        <v>0</v>
      </c>
      <c r="I187" s="1">
        <v>1</v>
      </c>
      <c r="J187" s="1">
        <v>0.1</v>
      </c>
      <c r="L187" s="3" t="str">
        <f t="shared" si="8"/>
        <v>2011-01-09</v>
      </c>
      <c r="M187" s="3" t="str">
        <f t="shared" si="9"/>
        <v>2011</v>
      </c>
      <c r="N187" s="3" t="str">
        <f t="shared" si="10"/>
        <v>09</v>
      </c>
      <c r="O187" s="3">
        <f t="shared" si="11"/>
        <v>10</v>
      </c>
    </row>
    <row r="188" spans="1:15" x14ac:dyDescent="0.35">
      <c r="A188" s="1">
        <v>187</v>
      </c>
      <c r="B188" s="2">
        <v>40552</v>
      </c>
      <c r="C188" s="1">
        <v>1</v>
      </c>
      <c r="D188" s="1">
        <v>0</v>
      </c>
      <c r="E188" s="1">
        <v>1</v>
      </c>
      <c r="F188" s="1">
        <v>1</v>
      </c>
      <c r="G188" s="1" t="b">
        <v>0</v>
      </c>
      <c r="H188" s="1">
        <v>0</v>
      </c>
      <c r="I188" s="1">
        <v>1</v>
      </c>
      <c r="J188" s="1">
        <v>0.1</v>
      </c>
      <c r="L188" s="3" t="str">
        <f t="shared" si="8"/>
        <v>2011-01-09</v>
      </c>
      <c r="M188" s="3" t="str">
        <f t="shared" si="9"/>
        <v>2011</v>
      </c>
      <c r="N188" s="3" t="str">
        <f t="shared" si="10"/>
        <v>09</v>
      </c>
      <c r="O188" s="3">
        <f t="shared" si="11"/>
        <v>10</v>
      </c>
    </row>
    <row r="189" spans="1:15" x14ac:dyDescent="0.35">
      <c r="A189" s="1">
        <v>188</v>
      </c>
      <c r="B189" s="2">
        <v>40552</v>
      </c>
      <c r="C189" s="1">
        <v>1</v>
      </c>
      <c r="D189" s="1">
        <v>0</v>
      </c>
      <c r="E189" s="1">
        <v>1</v>
      </c>
      <c r="F189" s="1">
        <v>2</v>
      </c>
      <c r="G189" s="1" t="b">
        <v>0</v>
      </c>
      <c r="H189" s="1">
        <v>0</v>
      </c>
      <c r="I189" s="1">
        <v>1</v>
      </c>
      <c r="J189" s="1">
        <v>0.1</v>
      </c>
      <c r="L189" s="3" t="str">
        <f t="shared" si="8"/>
        <v>2011-01-09</v>
      </c>
      <c r="M189" s="3" t="str">
        <f t="shared" si="9"/>
        <v>2011</v>
      </c>
      <c r="N189" s="3" t="str">
        <f t="shared" si="10"/>
        <v>09</v>
      </c>
      <c r="O189" s="3">
        <f t="shared" si="11"/>
        <v>10</v>
      </c>
    </row>
    <row r="190" spans="1:15" x14ac:dyDescent="0.35">
      <c r="A190" s="1">
        <v>189</v>
      </c>
      <c r="B190" s="2">
        <v>40552</v>
      </c>
      <c r="C190" s="1">
        <v>1</v>
      </c>
      <c r="D190" s="1">
        <v>0</v>
      </c>
      <c r="E190" s="1">
        <v>1</v>
      </c>
      <c r="F190" s="1">
        <v>3</v>
      </c>
      <c r="G190" s="1" t="b">
        <v>0</v>
      </c>
      <c r="H190" s="1">
        <v>0</v>
      </c>
      <c r="I190" s="1">
        <v>1</v>
      </c>
      <c r="J190" s="1">
        <v>0.1</v>
      </c>
      <c r="L190" s="3" t="str">
        <f t="shared" si="8"/>
        <v>2011-01-09</v>
      </c>
      <c r="M190" s="3" t="str">
        <f t="shared" si="9"/>
        <v>2011</v>
      </c>
      <c r="N190" s="3" t="str">
        <f t="shared" si="10"/>
        <v>09</v>
      </c>
      <c r="O190" s="3">
        <f t="shared" si="11"/>
        <v>10</v>
      </c>
    </row>
    <row r="191" spans="1:15" x14ac:dyDescent="0.35">
      <c r="A191" s="1">
        <v>190</v>
      </c>
      <c r="B191" s="2">
        <v>40552</v>
      </c>
      <c r="C191" s="1">
        <v>1</v>
      </c>
      <c r="D191" s="1">
        <v>0</v>
      </c>
      <c r="E191" s="1">
        <v>1</v>
      </c>
      <c r="F191" s="1">
        <v>4</v>
      </c>
      <c r="G191" s="1" t="b">
        <v>0</v>
      </c>
      <c r="H191" s="1">
        <v>0</v>
      </c>
      <c r="I191" s="1">
        <v>1</v>
      </c>
      <c r="J191" s="1">
        <v>0.08</v>
      </c>
      <c r="L191" s="3" t="str">
        <f t="shared" si="8"/>
        <v>2011-01-09</v>
      </c>
      <c r="M191" s="3" t="str">
        <f t="shared" si="9"/>
        <v>2011</v>
      </c>
      <c r="N191" s="3" t="str">
        <f t="shared" si="10"/>
        <v>09</v>
      </c>
      <c r="O191" s="3">
        <f t="shared" si="11"/>
        <v>10</v>
      </c>
    </row>
    <row r="192" spans="1:15" x14ac:dyDescent="0.35">
      <c r="A192" s="1">
        <v>191</v>
      </c>
      <c r="B192" s="2">
        <v>40552</v>
      </c>
      <c r="C192" s="1">
        <v>1</v>
      </c>
      <c r="D192" s="1">
        <v>0</v>
      </c>
      <c r="E192" s="1">
        <v>1</v>
      </c>
      <c r="F192" s="1">
        <v>5</v>
      </c>
      <c r="G192" s="1" t="b">
        <v>0</v>
      </c>
      <c r="H192" s="1">
        <v>0</v>
      </c>
      <c r="I192" s="1">
        <v>1</v>
      </c>
      <c r="J192" s="1">
        <v>0.08</v>
      </c>
      <c r="L192" s="3" t="str">
        <f t="shared" si="8"/>
        <v>2011-01-09</v>
      </c>
      <c r="M192" s="3" t="str">
        <f t="shared" si="9"/>
        <v>2011</v>
      </c>
      <c r="N192" s="3" t="str">
        <f t="shared" si="10"/>
        <v>09</v>
      </c>
      <c r="O192" s="3">
        <f t="shared" si="11"/>
        <v>10</v>
      </c>
    </row>
    <row r="193" spans="1:15" x14ac:dyDescent="0.35">
      <c r="A193" s="1">
        <v>192</v>
      </c>
      <c r="B193" s="2">
        <v>40552</v>
      </c>
      <c r="C193" s="1">
        <v>1</v>
      </c>
      <c r="D193" s="1">
        <v>0</v>
      </c>
      <c r="E193" s="1">
        <v>1</v>
      </c>
      <c r="F193" s="1">
        <v>6</v>
      </c>
      <c r="G193" s="1" t="b">
        <v>0</v>
      </c>
      <c r="H193" s="1">
        <v>0</v>
      </c>
      <c r="I193" s="1">
        <v>1</v>
      </c>
      <c r="J193" s="1">
        <v>0.1</v>
      </c>
      <c r="L193" s="3" t="str">
        <f t="shared" si="8"/>
        <v>2011-01-09</v>
      </c>
      <c r="M193" s="3" t="str">
        <f t="shared" si="9"/>
        <v>2011</v>
      </c>
      <c r="N193" s="3" t="str">
        <f t="shared" si="10"/>
        <v>09</v>
      </c>
      <c r="O193" s="3">
        <f t="shared" si="11"/>
        <v>10</v>
      </c>
    </row>
    <row r="194" spans="1:15" x14ac:dyDescent="0.35">
      <c r="A194" s="1">
        <v>193</v>
      </c>
      <c r="B194" s="2">
        <v>40552</v>
      </c>
      <c r="C194" s="1">
        <v>1</v>
      </c>
      <c r="D194" s="1">
        <v>0</v>
      </c>
      <c r="E194" s="1">
        <v>1</v>
      </c>
      <c r="F194" s="1">
        <v>7</v>
      </c>
      <c r="G194" s="1" t="b">
        <v>0</v>
      </c>
      <c r="H194" s="1">
        <v>0</v>
      </c>
      <c r="I194" s="1">
        <v>1</v>
      </c>
      <c r="J194" s="1">
        <v>0.08</v>
      </c>
      <c r="L194" s="3" t="str">
        <f t="shared" si="8"/>
        <v>2011-01-09</v>
      </c>
      <c r="M194" s="3" t="str">
        <f t="shared" si="9"/>
        <v>2011</v>
      </c>
      <c r="N194" s="3" t="str">
        <f t="shared" si="10"/>
        <v>09</v>
      </c>
      <c r="O194" s="3">
        <f t="shared" si="11"/>
        <v>10</v>
      </c>
    </row>
    <row r="195" spans="1:15" x14ac:dyDescent="0.35">
      <c r="A195" s="1">
        <v>194</v>
      </c>
      <c r="B195" s="2">
        <v>40552</v>
      </c>
      <c r="C195" s="1">
        <v>1</v>
      </c>
      <c r="D195" s="1">
        <v>0</v>
      </c>
      <c r="E195" s="1">
        <v>1</v>
      </c>
      <c r="F195" s="1">
        <v>8</v>
      </c>
      <c r="G195" s="1" t="b">
        <v>0</v>
      </c>
      <c r="H195" s="1">
        <v>0</v>
      </c>
      <c r="I195" s="1">
        <v>1</v>
      </c>
      <c r="J195" s="1">
        <v>0.1</v>
      </c>
      <c r="L195" s="3" t="str">
        <f t="shared" ref="L195:L258" si="12">TEXT(B195,"yyyy-mm-dd")</f>
        <v>2011-01-09</v>
      </c>
      <c r="M195" s="3" t="str">
        <f t="shared" ref="M195:M258" si="13">LEFT(L195,4)</f>
        <v>2011</v>
      </c>
      <c r="N195" s="3" t="str">
        <f t="shared" ref="N195:N258" si="14">RIGHT(L195,2)</f>
        <v>09</v>
      </c>
      <c r="O195" s="3">
        <f t="shared" ref="O195:O258" si="15">LEN(L195)</f>
        <v>10</v>
      </c>
    </row>
    <row r="196" spans="1:15" x14ac:dyDescent="0.35">
      <c r="A196" s="1">
        <v>195</v>
      </c>
      <c r="B196" s="2">
        <v>40552</v>
      </c>
      <c r="C196" s="1">
        <v>1</v>
      </c>
      <c r="D196" s="1">
        <v>0</v>
      </c>
      <c r="E196" s="1">
        <v>1</v>
      </c>
      <c r="F196" s="1">
        <v>9</v>
      </c>
      <c r="G196" s="1" t="b">
        <v>0</v>
      </c>
      <c r="H196" s="1">
        <v>0</v>
      </c>
      <c r="I196" s="1">
        <v>1</v>
      </c>
      <c r="J196" s="1">
        <v>0.12</v>
      </c>
      <c r="L196" s="3" t="str">
        <f t="shared" si="12"/>
        <v>2011-01-09</v>
      </c>
      <c r="M196" s="3" t="str">
        <f t="shared" si="13"/>
        <v>2011</v>
      </c>
      <c r="N196" s="3" t="str">
        <f t="shared" si="14"/>
        <v>09</v>
      </c>
      <c r="O196" s="3">
        <f t="shared" si="15"/>
        <v>10</v>
      </c>
    </row>
    <row r="197" spans="1:15" x14ac:dyDescent="0.35">
      <c r="A197" s="1">
        <v>196</v>
      </c>
      <c r="B197" s="2">
        <v>40552</v>
      </c>
      <c r="C197" s="1">
        <v>1</v>
      </c>
      <c r="D197" s="1">
        <v>0</v>
      </c>
      <c r="E197" s="1">
        <v>1</v>
      </c>
      <c r="F197" s="1">
        <v>10</v>
      </c>
      <c r="G197" s="1" t="b">
        <v>0</v>
      </c>
      <c r="H197" s="1">
        <v>0</v>
      </c>
      <c r="I197" s="1">
        <v>1</v>
      </c>
      <c r="J197" s="1">
        <v>0.14000000000000001</v>
      </c>
      <c r="L197" s="3" t="str">
        <f t="shared" si="12"/>
        <v>2011-01-09</v>
      </c>
      <c r="M197" s="3" t="str">
        <f t="shared" si="13"/>
        <v>2011</v>
      </c>
      <c r="N197" s="3" t="str">
        <f t="shared" si="14"/>
        <v>09</v>
      </c>
      <c r="O197" s="3">
        <f t="shared" si="15"/>
        <v>10</v>
      </c>
    </row>
    <row r="198" spans="1:15" x14ac:dyDescent="0.35">
      <c r="A198" s="1">
        <v>197</v>
      </c>
      <c r="B198" s="2">
        <v>40552</v>
      </c>
      <c r="C198" s="1">
        <v>1</v>
      </c>
      <c r="D198" s="1">
        <v>0</v>
      </c>
      <c r="E198" s="1">
        <v>1</v>
      </c>
      <c r="F198" s="1">
        <v>11</v>
      </c>
      <c r="G198" s="1" t="b">
        <v>0</v>
      </c>
      <c r="H198" s="1">
        <v>0</v>
      </c>
      <c r="I198" s="1">
        <v>1</v>
      </c>
      <c r="J198" s="1">
        <v>0.16</v>
      </c>
      <c r="L198" s="3" t="str">
        <f t="shared" si="12"/>
        <v>2011-01-09</v>
      </c>
      <c r="M198" s="3" t="str">
        <f t="shared" si="13"/>
        <v>2011</v>
      </c>
      <c r="N198" s="3" t="str">
        <f t="shared" si="14"/>
        <v>09</v>
      </c>
      <c r="O198" s="3">
        <f t="shared" si="15"/>
        <v>10</v>
      </c>
    </row>
    <row r="199" spans="1:15" x14ac:dyDescent="0.35">
      <c r="A199" s="1">
        <v>198</v>
      </c>
      <c r="B199" s="2">
        <v>40552</v>
      </c>
      <c r="C199" s="1">
        <v>1</v>
      </c>
      <c r="D199" s="1">
        <v>0</v>
      </c>
      <c r="E199" s="1">
        <v>1</v>
      </c>
      <c r="F199" s="1">
        <v>12</v>
      </c>
      <c r="G199" s="1" t="b">
        <v>0</v>
      </c>
      <c r="H199" s="1">
        <v>0</v>
      </c>
      <c r="I199" s="1">
        <v>1</v>
      </c>
      <c r="J199" s="1">
        <v>0.18</v>
      </c>
      <c r="L199" s="3" t="str">
        <f t="shared" si="12"/>
        <v>2011-01-09</v>
      </c>
      <c r="M199" s="3" t="str">
        <f t="shared" si="13"/>
        <v>2011</v>
      </c>
      <c r="N199" s="3" t="str">
        <f t="shared" si="14"/>
        <v>09</v>
      </c>
      <c r="O199" s="3">
        <f t="shared" si="15"/>
        <v>10</v>
      </c>
    </row>
    <row r="200" spans="1:15" x14ac:dyDescent="0.35">
      <c r="A200" s="1">
        <v>199</v>
      </c>
      <c r="B200" s="2">
        <v>40552</v>
      </c>
      <c r="C200" s="1">
        <v>1</v>
      </c>
      <c r="D200" s="1">
        <v>0</v>
      </c>
      <c r="E200" s="1">
        <v>1</v>
      </c>
      <c r="F200" s="1">
        <v>13</v>
      </c>
      <c r="G200" s="1" t="b">
        <v>0</v>
      </c>
      <c r="H200" s="1">
        <v>0</v>
      </c>
      <c r="I200" s="1">
        <v>1</v>
      </c>
      <c r="J200" s="1">
        <v>0.2</v>
      </c>
      <c r="L200" s="3" t="str">
        <f t="shared" si="12"/>
        <v>2011-01-09</v>
      </c>
      <c r="M200" s="3" t="str">
        <f t="shared" si="13"/>
        <v>2011</v>
      </c>
      <c r="N200" s="3" t="str">
        <f t="shared" si="14"/>
        <v>09</v>
      </c>
      <c r="O200" s="3">
        <f t="shared" si="15"/>
        <v>10</v>
      </c>
    </row>
    <row r="201" spans="1:15" x14ac:dyDescent="0.35">
      <c r="A201" s="1">
        <v>200</v>
      </c>
      <c r="B201" s="2">
        <v>40552</v>
      </c>
      <c r="C201" s="1">
        <v>1</v>
      </c>
      <c r="D201" s="1">
        <v>0</v>
      </c>
      <c r="E201" s="1">
        <v>1</v>
      </c>
      <c r="F201" s="1">
        <v>14</v>
      </c>
      <c r="G201" s="1" t="b">
        <v>0</v>
      </c>
      <c r="H201" s="1">
        <v>0</v>
      </c>
      <c r="I201" s="1">
        <v>1</v>
      </c>
      <c r="J201" s="1">
        <v>0.22</v>
      </c>
      <c r="L201" s="3" t="str">
        <f t="shared" si="12"/>
        <v>2011-01-09</v>
      </c>
      <c r="M201" s="3" t="str">
        <f t="shared" si="13"/>
        <v>2011</v>
      </c>
      <c r="N201" s="3" t="str">
        <f t="shared" si="14"/>
        <v>09</v>
      </c>
      <c r="O201" s="3">
        <f t="shared" si="15"/>
        <v>10</v>
      </c>
    </row>
    <row r="202" spans="1:15" x14ac:dyDescent="0.35">
      <c r="A202" s="1">
        <v>201</v>
      </c>
      <c r="B202" s="2">
        <v>40552</v>
      </c>
      <c r="C202" s="1">
        <v>1</v>
      </c>
      <c r="D202" s="1">
        <v>0</v>
      </c>
      <c r="E202" s="1">
        <v>1</v>
      </c>
      <c r="F202" s="1">
        <v>15</v>
      </c>
      <c r="G202" s="1" t="b">
        <v>0</v>
      </c>
      <c r="H202" s="1">
        <v>0</v>
      </c>
      <c r="I202" s="1">
        <v>1</v>
      </c>
      <c r="J202" s="1">
        <v>0.22</v>
      </c>
      <c r="L202" s="3" t="str">
        <f t="shared" si="12"/>
        <v>2011-01-09</v>
      </c>
      <c r="M202" s="3" t="str">
        <f t="shared" si="13"/>
        <v>2011</v>
      </c>
      <c r="N202" s="3" t="str">
        <f t="shared" si="14"/>
        <v>09</v>
      </c>
      <c r="O202" s="3">
        <f t="shared" si="15"/>
        <v>10</v>
      </c>
    </row>
    <row r="203" spans="1:15" x14ac:dyDescent="0.35">
      <c r="A203" s="1">
        <v>202</v>
      </c>
      <c r="B203" s="2">
        <v>40552</v>
      </c>
      <c r="C203" s="1">
        <v>1</v>
      </c>
      <c r="D203" s="1">
        <v>0</v>
      </c>
      <c r="E203" s="1">
        <v>1</v>
      </c>
      <c r="F203" s="1">
        <v>16</v>
      </c>
      <c r="G203" s="1" t="b">
        <v>0</v>
      </c>
      <c r="H203" s="1">
        <v>0</v>
      </c>
      <c r="I203" s="1">
        <v>1</v>
      </c>
      <c r="J203" s="1">
        <v>0.2</v>
      </c>
      <c r="L203" s="3" t="str">
        <f t="shared" si="12"/>
        <v>2011-01-09</v>
      </c>
      <c r="M203" s="3" t="str">
        <f t="shared" si="13"/>
        <v>2011</v>
      </c>
      <c r="N203" s="3" t="str">
        <f t="shared" si="14"/>
        <v>09</v>
      </c>
      <c r="O203" s="3">
        <f t="shared" si="15"/>
        <v>10</v>
      </c>
    </row>
    <row r="204" spans="1:15" x14ac:dyDescent="0.35">
      <c r="A204" s="1">
        <v>203</v>
      </c>
      <c r="B204" s="2">
        <v>40552</v>
      </c>
      <c r="C204" s="1">
        <v>1</v>
      </c>
      <c r="D204" s="1">
        <v>0</v>
      </c>
      <c r="E204" s="1">
        <v>1</v>
      </c>
      <c r="F204" s="1">
        <v>17</v>
      </c>
      <c r="G204" s="1" t="b">
        <v>0</v>
      </c>
      <c r="H204" s="1">
        <v>0</v>
      </c>
      <c r="I204" s="1">
        <v>1</v>
      </c>
      <c r="J204" s="1">
        <v>0.18</v>
      </c>
      <c r="L204" s="3" t="str">
        <f t="shared" si="12"/>
        <v>2011-01-09</v>
      </c>
      <c r="M204" s="3" t="str">
        <f t="shared" si="13"/>
        <v>2011</v>
      </c>
      <c r="N204" s="3" t="str">
        <f t="shared" si="14"/>
        <v>09</v>
      </c>
      <c r="O204" s="3">
        <f t="shared" si="15"/>
        <v>10</v>
      </c>
    </row>
    <row r="205" spans="1:15" x14ac:dyDescent="0.35">
      <c r="A205" s="1">
        <v>204</v>
      </c>
      <c r="B205" s="2">
        <v>40552</v>
      </c>
      <c r="C205" s="1">
        <v>1</v>
      </c>
      <c r="D205" s="1">
        <v>0</v>
      </c>
      <c r="E205" s="1">
        <v>1</v>
      </c>
      <c r="F205" s="1">
        <v>18</v>
      </c>
      <c r="G205" s="1" t="b">
        <v>0</v>
      </c>
      <c r="H205" s="1">
        <v>0</v>
      </c>
      <c r="I205" s="1">
        <v>1</v>
      </c>
      <c r="J205" s="1">
        <v>0.16</v>
      </c>
      <c r="L205" s="3" t="str">
        <f t="shared" si="12"/>
        <v>2011-01-09</v>
      </c>
      <c r="M205" s="3" t="str">
        <f t="shared" si="13"/>
        <v>2011</v>
      </c>
      <c r="N205" s="3" t="str">
        <f t="shared" si="14"/>
        <v>09</v>
      </c>
      <c r="O205" s="3">
        <f t="shared" si="15"/>
        <v>10</v>
      </c>
    </row>
    <row r="206" spans="1:15" x14ac:dyDescent="0.35">
      <c r="A206" s="1">
        <v>205</v>
      </c>
      <c r="B206" s="2">
        <v>40552</v>
      </c>
      <c r="C206" s="1">
        <v>1</v>
      </c>
      <c r="D206" s="1">
        <v>0</v>
      </c>
      <c r="E206" s="1">
        <v>1</v>
      </c>
      <c r="F206" s="1">
        <v>19</v>
      </c>
      <c r="G206" s="1" t="b">
        <v>0</v>
      </c>
      <c r="H206" s="1">
        <v>0</v>
      </c>
      <c r="I206" s="1">
        <v>1</v>
      </c>
      <c r="J206" s="1">
        <v>0.16</v>
      </c>
      <c r="L206" s="3" t="str">
        <f t="shared" si="12"/>
        <v>2011-01-09</v>
      </c>
      <c r="M206" s="3" t="str">
        <f t="shared" si="13"/>
        <v>2011</v>
      </c>
      <c r="N206" s="3" t="str">
        <f t="shared" si="14"/>
        <v>09</v>
      </c>
      <c r="O206" s="3">
        <f t="shared" si="15"/>
        <v>10</v>
      </c>
    </row>
    <row r="207" spans="1:15" x14ac:dyDescent="0.35">
      <c r="A207" s="1">
        <v>206</v>
      </c>
      <c r="B207" s="2">
        <v>40552</v>
      </c>
      <c r="C207" s="1">
        <v>1</v>
      </c>
      <c r="D207" s="1">
        <v>0</v>
      </c>
      <c r="E207" s="1">
        <v>1</v>
      </c>
      <c r="F207" s="1">
        <v>20</v>
      </c>
      <c r="G207" s="1" t="b">
        <v>0</v>
      </c>
      <c r="H207" s="1">
        <v>0</v>
      </c>
      <c r="I207" s="1">
        <v>1</v>
      </c>
      <c r="J207" s="1">
        <v>0.14000000000000001</v>
      </c>
      <c r="L207" s="3" t="str">
        <f t="shared" si="12"/>
        <v>2011-01-09</v>
      </c>
      <c r="M207" s="3" t="str">
        <f t="shared" si="13"/>
        <v>2011</v>
      </c>
      <c r="N207" s="3" t="str">
        <f t="shared" si="14"/>
        <v>09</v>
      </c>
      <c r="O207" s="3">
        <f t="shared" si="15"/>
        <v>10</v>
      </c>
    </row>
    <row r="208" spans="1:15" x14ac:dyDescent="0.35">
      <c r="A208" s="1">
        <v>207</v>
      </c>
      <c r="B208" s="2">
        <v>40552</v>
      </c>
      <c r="C208" s="1">
        <v>1</v>
      </c>
      <c r="D208" s="1">
        <v>0</v>
      </c>
      <c r="E208" s="1">
        <v>1</v>
      </c>
      <c r="F208" s="1">
        <v>21</v>
      </c>
      <c r="G208" s="1" t="b">
        <v>0</v>
      </c>
      <c r="H208" s="1">
        <v>0</v>
      </c>
      <c r="I208" s="1">
        <v>1</v>
      </c>
      <c r="J208" s="1">
        <v>0.14000000000000001</v>
      </c>
      <c r="L208" s="3" t="str">
        <f t="shared" si="12"/>
        <v>2011-01-09</v>
      </c>
      <c r="M208" s="3" t="str">
        <f t="shared" si="13"/>
        <v>2011</v>
      </c>
      <c r="N208" s="3" t="str">
        <f t="shared" si="14"/>
        <v>09</v>
      </c>
      <c r="O208" s="3">
        <f t="shared" si="15"/>
        <v>10</v>
      </c>
    </row>
    <row r="209" spans="1:15" x14ac:dyDescent="0.35">
      <c r="A209" s="1">
        <v>208</v>
      </c>
      <c r="B209" s="2">
        <v>40552</v>
      </c>
      <c r="C209" s="1">
        <v>1</v>
      </c>
      <c r="D209" s="1">
        <v>0</v>
      </c>
      <c r="E209" s="1">
        <v>1</v>
      </c>
      <c r="F209" s="1">
        <v>22</v>
      </c>
      <c r="G209" s="1" t="b">
        <v>0</v>
      </c>
      <c r="H209" s="1">
        <v>0</v>
      </c>
      <c r="I209" s="1">
        <v>1</v>
      </c>
      <c r="J209" s="1">
        <v>0.14000000000000001</v>
      </c>
      <c r="L209" s="3" t="str">
        <f t="shared" si="12"/>
        <v>2011-01-09</v>
      </c>
      <c r="M209" s="3" t="str">
        <f t="shared" si="13"/>
        <v>2011</v>
      </c>
      <c r="N209" s="3" t="str">
        <f t="shared" si="14"/>
        <v>09</v>
      </c>
      <c r="O209" s="3">
        <f t="shared" si="15"/>
        <v>10</v>
      </c>
    </row>
    <row r="210" spans="1:15" x14ac:dyDescent="0.35">
      <c r="A210" s="1">
        <v>209</v>
      </c>
      <c r="B210" s="2">
        <v>40552</v>
      </c>
      <c r="C210" s="1">
        <v>1</v>
      </c>
      <c r="D210" s="1">
        <v>0</v>
      </c>
      <c r="E210" s="1">
        <v>1</v>
      </c>
      <c r="F210" s="1">
        <v>23</v>
      </c>
      <c r="G210" s="1" t="b">
        <v>0</v>
      </c>
      <c r="H210" s="1">
        <v>0</v>
      </c>
      <c r="I210" s="1">
        <v>1</v>
      </c>
      <c r="J210" s="1">
        <v>0.12</v>
      </c>
      <c r="L210" s="3" t="str">
        <f t="shared" si="12"/>
        <v>2011-01-09</v>
      </c>
      <c r="M210" s="3" t="str">
        <f t="shared" si="13"/>
        <v>2011</v>
      </c>
      <c r="N210" s="3" t="str">
        <f t="shared" si="14"/>
        <v>09</v>
      </c>
      <c r="O210" s="3">
        <f t="shared" si="15"/>
        <v>10</v>
      </c>
    </row>
    <row r="211" spans="1:15" x14ac:dyDescent="0.35">
      <c r="A211" s="1">
        <v>210</v>
      </c>
      <c r="B211" s="2">
        <v>40553</v>
      </c>
      <c r="C211" s="1">
        <v>1</v>
      </c>
      <c r="D211" s="1">
        <v>0</v>
      </c>
      <c r="E211" s="1">
        <v>1</v>
      </c>
      <c r="F211" s="1">
        <v>0</v>
      </c>
      <c r="G211" s="1" t="b">
        <v>0</v>
      </c>
      <c r="H211" s="1">
        <v>1</v>
      </c>
      <c r="I211" s="1">
        <v>1</v>
      </c>
      <c r="J211" s="1">
        <v>0.12</v>
      </c>
      <c r="L211" s="3" t="str">
        <f t="shared" si="12"/>
        <v>2011-01-10</v>
      </c>
      <c r="M211" s="3" t="str">
        <f t="shared" si="13"/>
        <v>2011</v>
      </c>
      <c r="N211" s="3" t="str">
        <f t="shared" si="14"/>
        <v>10</v>
      </c>
      <c r="O211" s="3">
        <f t="shared" si="15"/>
        <v>10</v>
      </c>
    </row>
    <row r="212" spans="1:15" x14ac:dyDescent="0.35">
      <c r="A212" s="1">
        <v>211</v>
      </c>
      <c r="B212" s="2">
        <v>40553</v>
      </c>
      <c r="C212" s="1">
        <v>1</v>
      </c>
      <c r="D212" s="1">
        <v>0</v>
      </c>
      <c r="E212" s="1">
        <v>1</v>
      </c>
      <c r="F212" s="1">
        <v>1</v>
      </c>
      <c r="G212" s="1" t="b">
        <v>0</v>
      </c>
      <c r="H212" s="1">
        <v>1</v>
      </c>
      <c r="I212" s="1">
        <v>1</v>
      </c>
      <c r="J212" s="1">
        <v>0.12</v>
      </c>
      <c r="L212" s="3" t="str">
        <f t="shared" si="12"/>
        <v>2011-01-10</v>
      </c>
      <c r="M212" s="3" t="str">
        <f t="shared" si="13"/>
        <v>2011</v>
      </c>
      <c r="N212" s="3" t="str">
        <f t="shared" si="14"/>
        <v>10</v>
      </c>
      <c r="O212" s="3">
        <f t="shared" si="15"/>
        <v>10</v>
      </c>
    </row>
    <row r="213" spans="1:15" x14ac:dyDescent="0.35">
      <c r="A213" s="1">
        <v>212</v>
      </c>
      <c r="B213" s="2">
        <v>40553</v>
      </c>
      <c r="C213" s="1">
        <v>1</v>
      </c>
      <c r="D213" s="1">
        <v>0</v>
      </c>
      <c r="E213" s="1">
        <v>1</v>
      </c>
      <c r="F213" s="1">
        <v>2</v>
      </c>
      <c r="G213" s="1" t="b">
        <v>0</v>
      </c>
      <c r="H213" s="1">
        <v>1</v>
      </c>
      <c r="I213" s="1">
        <v>1</v>
      </c>
      <c r="J213" s="1">
        <v>0.12</v>
      </c>
      <c r="L213" s="3" t="str">
        <f t="shared" si="12"/>
        <v>2011-01-10</v>
      </c>
      <c r="M213" s="3" t="str">
        <f t="shared" si="13"/>
        <v>2011</v>
      </c>
      <c r="N213" s="3" t="str">
        <f t="shared" si="14"/>
        <v>10</v>
      </c>
      <c r="O213" s="3">
        <f t="shared" si="15"/>
        <v>10</v>
      </c>
    </row>
    <row r="214" spans="1:15" x14ac:dyDescent="0.35">
      <c r="A214" s="1">
        <v>213</v>
      </c>
      <c r="B214" s="2">
        <v>40553</v>
      </c>
      <c r="C214" s="1">
        <v>1</v>
      </c>
      <c r="D214" s="1">
        <v>0</v>
      </c>
      <c r="E214" s="1">
        <v>1</v>
      </c>
      <c r="F214" s="1">
        <v>3</v>
      </c>
      <c r="G214" s="1" t="b">
        <v>0</v>
      </c>
      <c r="H214" s="1">
        <v>1</v>
      </c>
      <c r="I214" s="1">
        <v>1</v>
      </c>
      <c r="J214" s="1">
        <v>0.12</v>
      </c>
      <c r="L214" s="3" t="str">
        <f t="shared" si="12"/>
        <v>2011-01-10</v>
      </c>
      <c r="M214" s="3" t="str">
        <f t="shared" si="13"/>
        <v>2011</v>
      </c>
      <c r="N214" s="3" t="str">
        <f t="shared" si="14"/>
        <v>10</v>
      </c>
      <c r="O214" s="3">
        <f t="shared" si="15"/>
        <v>10</v>
      </c>
    </row>
    <row r="215" spans="1:15" x14ac:dyDescent="0.35">
      <c r="A215" s="1">
        <v>214</v>
      </c>
      <c r="B215" s="2">
        <v>40553</v>
      </c>
      <c r="C215" s="1">
        <v>1</v>
      </c>
      <c r="D215" s="1">
        <v>0</v>
      </c>
      <c r="E215" s="1">
        <v>1</v>
      </c>
      <c r="F215" s="1">
        <v>4</v>
      </c>
      <c r="G215" s="1" t="b">
        <v>0</v>
      </c>
      <c r="H215" s="1">
        <v>1</v>
      </c>
      <c r="I215" s="1">
        <v>1</v>
      </c>
      <c r="J215" s="1">
        <v>0.1</v>
      </c>
      <c r="L215" s="3" t="str">
        <f t="shared" si="12"/>
        <v>2011-01-10</v>
      </c>
      <c r="M215" s="3" t="str">
        <f t="shared" si="13"/>
        <v>2011</v>
      </c>
      <c r="N215" s="3" t="str">
        <f t="shared" si="14"/>
        <v>10</v>
      </c>
      <c r="O215" s="3">
        <f t="shared" si="15"/>
        <v>10</v>
      </c>
    </row>
    <row r="216" spans="1:15" x14ac:dyDescent="0.35">
      <c r="A216" s="1">
        <v>215</v>
      </c>
      <c r="B216" s="2">
        <v>40553</v>
      </c>
      <c r="C216" s="1">
        <v>1</v>
      </c>
      <c r="D216" s="1">
        <v>0</v>
      </c>
      <c r="E216" s="1">
        <v>1</v>
      </c>
      <c r="F216" s="1">
        <v>5</v>
      </c>
      <c r="G216" s="1" t="b">
        <v>0</v>
      </c>
      <c r="H216" s="1">
        <v>1</v>
      </c>
      <c r="I216" s="1">
        <v>1</v>
      </c>
      <c r="J216" s="1">
        <v>0.1</v>
      </c>
      <c r="L216" s="3" t="str">
        <f t="shared" si="12"/>
        <v>2011-01-10</v>
      </c>
      <c r="M216" s="3" t="str">
        <f t="shared" si="13"/>
        <v>2011</v>
      </c>
      <c r="N216" s="3" t="str">
        <f t="shared" si="14"/>
        <v>10</v>
      </c>
      <c r="O216" s="3">
        <f t="shared" si="15"/>
        <v>10</v>
      </c>
    </row>
    <row r="217" spans="1:15" x14ac:dyDescent="0.35">
      <c r="A217" s="1">
        <v>216</v>
      </c>
      <c r="B217" s="2">
        <v>40553</v>
      </c>
      <c r="C217" s="1">
        <v>1</v>
      </c>
      <c r="D217" s="1">
        <v>0</v>
      </c>
      <c r="E217" s="1">
        <v>1</v>
      </c>
      <c r="F217" s="1">
        <v>6</v>
      </c>
      <c r="G217" s="1" t="b">
        <v>0</v>
      </c>
      <c r="H217" s="1">
        <v>1</v>
      </c>
      <c r="I217" s="1">
        <v>1</v>
      </c>
      <c r="J217" s="1">
        <v>0.12</v>
      </c>
      <c r="L217" s="3" t="str">
        <f t="shared" si="12"/>
        <v>2011-01-10</v>
      </c>
      <c r="M217" s="3" t="str">
        <f t="shared" si="13"/>
        <v>2011</v>
      </c>
      <c r="N217" s="3" t="str">
        <f t="shared" si="14"/>
        <v>10</v>
      </c>
      <c r="O217" s="3">
        <f t="shared" si="15"/>
        <v>10</v>
      </c>
    </row>
    <row r="218" spans="1:15" x14ac:dyDescent="0.35">
      <c r="A218" s="1">
        <v>217</v>
      </c>
      <c r="B218" s="2">
        <v>40553</v>
      </c>
      <c r="C218" s="1">
        <v>1</v>
      </c>
      <c r="D218" s="1">
        <v>0</v>
      </c>
      <c r="E218" s="1">
        <v>1</v>
      </c>
      <c r="F218" s="1">
        <v>7</v>
      </c>
      <c r="G218" s="1" t="b">
        <v>0</v>
      </c>
      <c r="H218" s="1">
        <v>1</v>
      </c>
      <c r="I218" s="1">
        <v>1</v>
      </c>
      <c r="J218" s="1">
        <v>0.12</v>
      </c>
      <c r="L218" s="3" t="str">
        <f t="shared" si="12"/>
        <v>2011-01-10</v>
      </c>
      <c r="M218" s="3" t="str">
        <f t="shared" si="13"/>
        <v>2011</v>
      </c>
      <c r="N218" s="3" t="str">
        <f t="shared" si="14"/>
        <v>10</v>
      </c>
      <c r="O218" s="3">
        <f t="shared" si="15"/>
        <v>10</v>
      </c>
    </row>
    <row r="219" spans="1:15" x14ac:dyDescent="0.35">
      <c r="A219" s="1">
        <v>218</v>
      </c>
      <c r="B219" s="2">
        <v>40553</v>
      </c>
      <c r="C219" s="1">
        <v>1</v>
      </c>
      <c r="D219" s="1">
        <v>0</v>
      </c>
      <c r="E219" s="1">
        <v>1</v>
      </c>
      <c r="F219" s="1">
        <v>8</v>
      </c>
      <c r="G219" s="1" t="b">
        <v>0</v>
      </c>
      <c r="H219" s="1">
        <v>1</v>
      </c>
      <c r="I219" s="1">
        <v>2</v>
      </c>
      <c r="J219" s="1">
        <v>0.12</v>
      </c>
      <c r="L219" s="3" t="str">
        <f t="shared" si="12"/>
        <v>2011-01-10</v>
      </c>
      <c r="M219" s="3" t="str">
        <f t="shared" si="13"/>
        <v>2011</v>
      </c>
      <c r="N219" s="3" t="str">
        <f t="shared" si="14"/>
        <v>10</v>
      </c>
      <c r="O219" s="3">
        <f t="shared" si="15"/>
        <v>10</v>
      </c>
    </row>
    <row r="220" spans="1:15" x14ac:dyDescent="0.35">
      <c r="A220" s="1">
        <v>219</v>
      </c>
      <c r="B220" s="2">
        <v>40553</v>
      </c>
      <c r="C220" s="1">
        <v>1</v>
      </c>
      <c r="D220" s="1">
        <v>0</v>
      </c>
      <c r="E220" s="1">
        <v>1</v>
      </c>
      <c r="F220" s="1">
        <v>9</v>
      </c>
      <c r="G220" s="1" t="b">
        <v>0</v>
      </c>
      <c r="H220" s="1">
        <v>1</v>
      </c>
      <c r="I220" s="1">
        <v>2</v>
      </c>
      <c r="J220" s="1">
        <v>0.14000000000000001</v>
      </c>
      <c r="L220" s="3" t="str">
        <f t="shared" si="12"/>
        <v>2011-01-10</v>
      </c>
      <c r="M220" s="3" t="str">
        <f t="shared" si="13"/>
        <v>2011</v>
      </c>
      <c r="N220" s="3" t="str">
        <f t="shared" si="14"/>
        <v>10</v>
      </c>
      <c r="O220" s="3">
        <f t="shared" si="15"/>
        <v>10</v>
      </c>
    </row>
    <row r="221" spans="1:15" x14ac:dyDescent="0.35">
      <c r="A221" s="1">
        <v>220</v>
      </c>
      <c r="B221" s="2">
        <v>40553</v>
      </c>
      <c r="C221" s="1">
        <v>1</v>
      </c>
      <c r="D221" s="1">
        <v>0</v>
      </c>
      <c r="E221" s="1">
        <v>1</v>
      </c>
      <c r="F221" s="1">
        <v>10</v>
      </c>
      <c r="G221" s="1" t="b">
        <v>0</v>
      </c>
      <c r="H221" s="1">
        <v>1</v>
      </c>
      <c r="I221" s="1">
        <v>2</v>
      </c>
      <c r="J221" s="1">
        <v>0.14000000000000001</v>
      </c>
      <c r="L221" s="3" t="str">
        <f t="shared" si="12"/>
        <v>2011-01-10</v>
      </c>
      <c r="M221" s="3" t="str">
        <f t="shared" si="13"/>
        <v>2011</v>
      </c>
      <c r="N221" s="3" t="str">
        <f t="shared" si="14"/>
        <v>10</v>
      </c>
      <c r="O221" s="3">
        <f t="shared" si="15"/>
        <v>10</v>
      </c>
    </row>
    <row r="222" spans="1:15" x14ac:dyDescent="0.35">
      <c r="A222" s="1">
        <v>221</v>
      </c>
      <c r="B222" s="2">
        <v>40553</v>
      </c>
      <c r="C222" s="1">
        <v>1</v>
      </c>
      <c r="D222" s="1">
        <v>0</v>
      </c>
      <c r="E222" s="1">
        <v>1</v>
      </c>
      <c r="F222" s="1">
        <v>11</v>
      </c>
      <c r="G222" s="1" t="b">
        <v>0</v>
      </c>
      <c r="H222" s="1">
        <v>1</v>
      </c>
      <c r="I222" s="1">
        <v>2</v>
      </c>
      <c r="J222" s="1">
        <v>0.16</v>
      </c>
      <c r="L222" s="3" t="str">
        <f t="shared" si="12"/>
        <v>2011-01-10</v>
      </c>
      <c r="M222" s="3" t="str">
        <f t="shared" si="13"/>
        <v>2011</v>
      </c>
      <c r="N222" s="3" t="str">
        <f t="shared" si="14"/>
        <v>10</v>
      </c>
      <c r="O222" s="3">
        <f t="shared" si="15"/>
        <v>10</v>
      </c>
    </row>
    <row r="223" spans="1:15" x14ac:dyDescent="0.35">
      <c r="A223" s="1">
        <v>222</v>
      </c>
      <c r="B223" s="2">
        <v>40553</v>
      </c>
      <c r="C223" s="1">
        <v>1</v>
      </c>
      <c r="D223" s="1">
        <v>0</v>
      </c>
      <c r="E223" s="1">
        <v>1</v>
      </c>
      <c r="F223" s="1">
        <v>12</v>
      </c>
      <c r="G223" s="1" t="b">
        <v>0</v>
      </c>
      <c r="H223" s="1">
        <v>1</v>
      </c>
      <c r="I223" s="1">
        <v>2</v>
      </c>
      <c r="J223" s="1">
        <v>0.2</v>
      </c>
      <c r="L223" s="3" t="str">
        <f t="shared" si="12"/>
        <v>2011-01-10</v>
      </c>
      <c r="M223" s="3" t="str">
        <f t="shared" si="13"/>
        <v>2011</v>
      </c>
      <c r="N223" s="3" t="str">
        <f t="shared" si="14"/>
        <v>10</v>
      </c>
      <c r="O223" s="3">
        <f t="shared" si="15"/>
        <v>10</v>
      </c>
    </row>
    <row r="224" spans="1:15" x14ac:dyDescent="0.35">
      <c r="A224" s="1">
        <v>223</v>
      </c>
      <c r="B224" s="2">
        <v>40553</v>
      </c>
      <c r="C224" s="1">
        <v>1</v>
      </c>
      <c r="D224" s="1">
        <v>0</v>
      </c>
      <c r="E224" s="1">
        <v>1</v>
      </c>
      <c r="F224" s="1">
        <v>13</v>
      </c>
      <c r="G224" s="1" t="b">
        <v>0</v>
      </c>
      <c r="H224" s="1">
        <v>1</v>
      </c>
      <c r="I224" s="1">
        <v>2</v>
      </c>
      <c r="J224" s="1">
        <v>0.2</v>
      </c>
      <c r="L224" s="3" t="str">
        <f t="shared" si="12"/>
        <v>2011-01-10</v>
      </c>
      <c r="M224" s="3" t="str">
        <f t="shared" si="13"/>
        <v>2011</v>
      </c>
      <c r="N224" s="3" t="str">
        <f t="shared" si="14"/>
        <v>10</v>
      </c>
      <c r="O224" s="3">
        <f t="shared" si="15"/>
        <v>10</v>
      </c>
    </row>
    <row r="225" spans="1:15" x14ac:dyDescent="0.35">
      <c r="A225" s="1">
        <v>224</v>
      </c>
      <c r="B225" s="2">
        <v>40553</v>
      </c>
      <c r="C225" s="1">
        <v>1</v>
      </c>
      <c r="D225" s="1">
        <v>0</v>
      </c>
      <c r="E225" s="1">
        <v>1</v>
      </c>
      <c r="F225" s="1">
        <v>14</v>
      </c>
      <c r="G225" s="1" t="b">
        <v>0</v>
      </c>
      <c r="H225" s="1">
        <v>1</v>
      </c>
      <c r="I225" s="1">
        <v>2</v>
      </c>
      <c r="J225" s="1">
        <v>0.2</v>
      </c>
      <c r="L225" s="3" t="str">
        <f t="shared" si="12"/>
        <v>2011-01-10</v>
      </c>
      <c r="M225" s="3" t="str">
        <f t="shared" si="13"/>
        <v>2011</v>
      </c>
      <c r="N225" s="3" t="str">
        <f t="shared" si="14"/>
        <v>10</v>
      </c>
      <c r="O225" s="3">
        <f t="shared" si="15"/>
        <v>10</v>
      </c>
    </row>
    <row r="226" spans="1:15" x14ac:dyDescent="0.35">
      <c r="A226" s="1">
        <v>225</v>
      </c>
      <c r="B226" s="2">
        <v>40553</v>
      </c>
      <c r="C226" s="1">
        <v>1</v>
      </c>
      <c r="D226" s="1">
        <v>0</v>
      </c>
      <c r="E226" s="1">
        <v>1</v>
      </c>
      <c r="F226" s="1">
        <v>15</v>
      </c>
      <c r="G226" s="1" t="b">
        <v>0</v>
      </c>
      <c r="H226" s="1">
        <v>1</v>
      </c>
      <c r="I226" s="1">
        <v>2</v>
      </c>
      <c r="J226" s="1">
        <v>0.2</v>
      </c>
      <c r="L226" s="3" t="str">
        <f t="shared" si="12"/>
        <v>2011-01-10</v>
      </c>
      <c r="M226" s="3" t="str">
        <f t="shared" si="13"/>
        <v>2011</v>
      </c>
      <c r="N226" s="3" t="str">
        <f t="shared" si="14"/>
        <v>10</v>
      </c>
      <c r="O226" s="3">
        <f t="shared" si="15"/>
        <v>10</v>
      </c>
    </row>
    <row r="227" spans="1:15" x14ac:dyDescent="0.35">
      <c r="A227" s="1">
        <v>226</v>
      </c>
      <c r="B227" s="2">
        <v>40553</v>
      </c>
      <c r="C227" s="1">
        <v>1</v>
      </c>
      <c r="D227" s="1">
        <v>0</v>
      </c>
      <c r="E227" s="1">
        <v>1</v>
      </c>
      <c r="F227" s="1">
        <v>16</v>
      </c>
      <c r="G227" s="1" t="b">
        <v>0</v>
      </c>
      <c r="H227" s="1">
        <v>1</v>
      </c>
      <c r="I227" s="1">
        <v>1</v>
      </c>
      <c r="J227" s="1">
        <v>0.2</v>
      </c>
      <c r="L227" s="3" t="str">
        <f t="shared" si="12"/>
        <v>2011-01-10</v>
      </c>
      <c r="M227" s="3" t="str">
        <f t="shared" si="13"/>
        <v>2011</v>
      </c>
      <c r="N227" s="3" t="str">
        <f t="shared" si="14"/>
        <v>10</v>
      </c>
      <c r="O227" s="3">
        <f t="shared" si="15"/>
        <v>10</v>
      </c>
    </row>
    <row r="228" spans="1:15" x14ac:dyDescent="0.35">
      <c r="A228" s="1">
        <v>227</v>
      </c>
      <c r="B228" s="2">
        <v>40553</v>
      </c>
      <c r="C228" s="1">
        <v>1</v>
      </c>
      <c r="D228" s="1">
        <v>0</v>
      </c>
      <c r="E228" s="1">
        <v>1</v>
      </c>
      <c r="F228" s="1">
        <v>17</v>
      </c>
      <c r="G228" s="1" t="b">
        <v>0</v>
      </c>
      <c r="H228" s="1">
        <v>1</v>
      </c>
      <c r="I228" s="1">
        <v>1</v>
      </c>
      <c r="J228" s="1">
        <v>0.2</v>
      </c>
      <c r="L228" s="3" t="str">
        <f t="shared" si="12"/>
        <v>2011-01-10</v>
      </c>
      <c r="M228" s="3" t="str">
        <f t="shared" si="13"/>
        <v>2011</v>
      </c>
      <c r="N228" s="3" t="str">
        <f t="shared" si="14"/>
        <v>10</v>
      </c>
      <c r="O228" s="3">
        <f t="shared" si="15"/>
        <v>10</v>
      </c>
    </row>
    <row r="229" spans="1:15" x14ac:dyDescent="0.35">
      <c r="A229" s="1">
        <v>228</v>
      </c>
      <c r="B229" s="2">
        <v>40553</v>
      </c>
      <c r="C229" s="1">
        <v>1</v>
      </c>
      <c r="D229" s="1">
        <v>0</v>
      </c>
      <c r="E229" s="1">
        <v>1</v>
      </c>
      <c r="F229" s="1">
        <v>18</v>
      </c>
      <c r="G229" s="1" t="b">
        <v>0</v>
      </c>
      <c r="H229" s="1">
        <v>1</v>
      </c>
      <c r="I229" s="1">
        <v>1</v>
      </c>
      <c r="J229" s="1">
        <v>0.2</v>
      </c>
      <c r="L229" s="3" t="str">
        <f t="shared" si="12"/>
        <v>2011-01-10</v>
      </c>
      <c r="M229" s="3" t="str">
        <f t="shared" si="13"/>
        <v>2011</v>
      </c>
      <c r="N229" s="3" t="str">
        <f t="shared" si="14"/>
        <v>10</v>
      </c>
      <c r="O229" s="3">
        <f t="shared" si="15"/>
        <v>10</v>
      </c>
    </row>
    <row r="230" spans="1:15" x14ac:dyDescent="0.35">
      <c r="A230" s="1">
        <v>229</v>
      </c>
      <c r="B230" s="2">
        <v>40553</v>
      </c>
      <c r="C230" s="1">
        <v>1</v>
      </c>
      <c r="D230" s="1">
        <v>0</v>
      </c>
      <c r="E230" s="1">
        <v>1</v>
      </c>
      <c r="F230" s="1">
        <v>19</v>
      </c>
      <c r="G230" s="1" t="b">
        <v>0</v>
      </c>
      <c r="H230" s="1">
        <v>1</v>
      </c>
      <c r="I230" s="1">
        <v>1</v>
      </c>
      <c r="J230" s="1">
        <v>0.16</v>
      </c>
      <c r="L230" s="3" t="str">
        <f t="shared" si="12"/>
        <v>2011-01-10</v>
      </c>
      <c r="M230" s="3" t="str">
        <f t="shared" si="13"/>
        <v>2011</v>
      </c>
      <c r="N230" s="3" t="str">
        <f t="shared" si="14"/>
        <v>10</v>
      </c>
      <c r="O230" s="3">
        <f t="shared" si="15"/>
        <v>10</v>
      </c>
    </row>
    <row r="231" spans="1:15" x14ac:dyDescent="0.35">
      <c r="A231" s="1">
        <v>230</v>
      </c>
      <c r="B231" s="2">
        <v>40553</v>
      </c>
      <c r="C231" s="1">
        <v>1</v>
      </c>
      <c r="D231" s="1">
        <v>0</v>
      </c>
      <c r="E231" s="1">
        <v>1</v>
      </c>
      <c r="F231" s="1">
        <v>20</v>
      </c>
      <c r="G231" s="1" t="b">
        <v>0</v>
      </c>
      <c r="H231" s="1">
        <v>1</v>
      </c>
      <c r="I231" s="1">
        <v>1</v>
      </c>
      <c r="J231" s="1">
        <v>0.16</v>
      </c>
      <c r="L231" s="3" t="str">
        <f t="shared" si="12"/>
        <v>2011-01-10</v>
      </c>
      <c r="M231" s="3" t="str">
        <f t="shared" si="13"/>
        <v>2011</v>
      </c>
      <c r="N231" s="3" t="str">
        <f t="shared" si="14"/>
        <v>10</v>
      </c>
      <c r="O231" s="3">
        <f t="shared" si="15"/>
        <v>10</v>
      </c>
    </row>
    <row r="232" spans="1:15" x14ac:dyDescent="0.35">
      <c r="A232" s="1">
        <v>231</v>
      </c>
      <c r="B232" s="2">
        <v>40553</v>
      </c>
      <c r="C232" s="1">
        <v>1</v>
      </c>
      <c r="D232" s="1">
        <v>0</v>
      </c>
      <c r="E232" s="1">
        <v>1</v>
      </c>
      <c r="F232" s="1">
        <v>21</v>
      </c>
      <c r="G232" s="1" t="b">
        <v>0</v>
      </c>
      <c r="H232" s="1">
        <v>1</v>
      </c>
      <c r="I232" s="1">
        <v>1</v>
      </c>
      <c r="J232" s="1">
        <v>0.14000000000000001</v>
      </c>
      <c r="L232" s="3" t="str">
        <f t="shared" si="12"/>
        <v>2011-01-10</v>
      </c>
      <c r="M232" s="3" t="str">
        <f t="shared" si="13"/>
        <v>2011</v>
      </c>
      <c r="N232" s="3" t="str">
        <f t="shared" si="14"/>
        <v>10</v>
      </c>
      <c r="O232" s="3">
        <f t="shared" si="15"/>
        <v>10</v>
      </c>
    </row>
    <row r="233" spans="1:15" x14ac:dyDescent="0.35">
      <c r="A233" s="1">
        <v>232</v>
      </c>
      <c r="B233" s="2">
        <v>40553</v>
      </c>
      <c r="C233" s="1">
        <v>1</v>
      </c>
      <c r="D233" s="1">
        <v>0</v>
      </c>
      <c r="E233" s="1">
        <v>1</v>
      </c>
      <c r="F233" s="1">
        <v>22</v>
      </c>
      <c r="G233" s="1" t="b">
        <v>0</v>
      </c>
      <c r="H233" s="1">
        <v>1</v>
      </c>
      <c r="I233" s="1">
        <v>1</v>
      </c>
      <c r="J233" s="1">
        <v>0.14000000000000001</v>
      </c>
      <c r="L233" s="3" t="str">
        <f t="shared" si="12"/>
        <v>2011-01-10</v>
      </c>
      <c r="M233" s="3" t="str">
        <f t="shared" si="13"/>
        <v>2011</v>
      </c>
      <c r="N233" s="3" t="str">
        <f t="shared" si="14"/>
        <v>10</v>
      </c>
      <c r="O233" s="3">
        <f t="shared" si="15"/>
        <v>10</v>
      </c>
    </row>
    <row r="234" spans="1:15" x14ac:dyDescent="0.35">
      <c r="A234" s="1">
        <v>233</v>
      </c>
      <c r="B234" s="2">
        <v>40553</v>
      </c>
      <c r="C234" s="1">
        <v>1</v>
      </c>
      <c r="D234" s="1">
        <v>0</v>
      </c>
      <c r="E234" s="1">
        <v>1</v>
      </c>
      <c r="F234" s="1">
        <v>23</v>
      </c>
      <c r="G234" s="1" t="b">
        <v>0</v>
      </c>
      <c r="H234" s="1">
        <v>1</v>
      </c>
      <c r="I234" s="1">
        <v>1</v>
      </c>
      <c r="J234" s="1">
        <v>0.14000000000000001</v>
      </c>
      <c r="L234" s="3" t="str">
        <f t="shared" si="12"/>
        <v>2011-01-10</v>
      </c>
      <c r="M234" s="3" t="str">
        <f t="shared" si="13"/>
        <v>2011</v>
      </c>
      <c r="N234" s="3" t="str">
        <f t="shared" si="14"/>
        <v>10</v>
      </c>
      <c r="O234" s="3">
        <f t="shared" si="15"/>
        <v>10</v>
      </c>
    </row>
    <row r="235" spans="1:15" x14ac:dyDescent="0.35">
      <c r="A235" s="1">
        <v>234</v>
      </c>
      <c r="B235" s="2">
        <v>40554</v>
      </c>
      <c r="C235" s="1">
        <v>1</v>
      </c>
      <c r="D235" s="1">
        <v>0</v>
      </c>
      <c r="E235" s="1">
        <v>1</v>
      </c>
      <c r="F235" s="1">
        <v>0</v>
      </c>
      <c r="G235" s="1" t="b">
        <v>0</v>
      </c>
      <c r="H235" s="1">
        <v>2</v>
      </c>
      <c r="I235" s="1">
        <v>1</v>
      </c>
      <c r="J235" s="1">
        <v>0.14000000000000001</v>
      </c>
      <c r="L235" s="3" t="str">
        <f t="shared" si="12"/>
        <v>2011-01-11</v>
      </c>
      <c r="M235" s="3" t="str">
        <f t="shared" si="13"/>
        <v>2011</v>
      </c>
      <c r="N235" s="3" t="str">
        <f t="shared" si="14"/>
        <v>11</v>
      </c>
      <c r="O235" s="3">
        <f t="shared" si="15"/>
        <v>10</v>
      </c>
    </row>
    <row r="236" spans="1:15" x14ac:dyDescent="0.35">
      <c r="A236" s="1">
        <v>235</v>
      </c>
      <c r="B236" s="2">
        <v>40554</v>
      </c>
      <c r="C236" s="1">
        <v>1</v>
      </c>
      <c r="D236" s="1">
        <v>0</v>
      </c>
      <c r="E236" s="1">
        <v>1</v>
      </c>
      <c r="F236" s="1">
        <v>1</v>
      </c>
      <c r="G236" s="1" t="b">
        <v>0</v>
      </c>
      <c r="H236" s="1">
        <v>2</v>
      </c>
      <c r="I236" s="1">
        <v>1</v>
      </c>
      <c r="J236" s="1">
        <v>0.14000000000000001</v>
      </c>
      <c r="L236" s="3" t="str">
        <f t="shared" si="12"/>
        <v>2011-01-11</v>
      </c>
      <c r="M236" s="3" t="str">
        <f t="shared" si="13"/>
        <v>2011</v>
      </c>
      <c r="N236" s="3" t="str">
        <f t="shared" si="14"/>
        <v>11</v>
      </c>
      <c r="O236" s="3">
        <f t="shared" si="15"/>
        <v>10</v>
      </c>
    </row>
    <row r="237" spans="1:15" x14ac:dyDescent="0.35">
      <c r="A237" s="1">
        <v>236</v>
      </c>
      <c r="B237" s="2">
        <v>40554</v>
      </c>
      <c r="C237" s="1">
        <v>1</v>
      </c>
      <c r="D237" s="1">
        <v>0</v>
      </c>
      <c r="E237" s="1">
        <v>1</v>
      </c>
      <c r="F237" s="1">
        <v>2</v>
      </c>
      <c r="G237" s="1" t="b">
        <v>0</v>
      </c>
      <c r="H237" s="1">
        <v>2</v>
      </c>
      <c r="I237" s="1">
        <v>2</v>
      </c>
      <c r="J237" s="1">
        <v>0.16</v>
      </c>
      <c r="L237" s="3" t="str">
        <f t="shared" si="12"/>
        <v>2011-01-11</v>
      </c>
      <c r="M237" s="3" t="str">
        <f t="shared" si="13"/>
        <v>2011</v>
      </c>
      <c r="N237" s="3" t="str">
        <f t="shared" si="14"/>
        <v>11</v>
      </c>
      <c r="O237" s="3">
        <f t="shared" si="15"/>
        <v>10</v>
      </c>
    </row>
    <row r="238" spans="1:15" x14ac:dyDescent="0.35">
      <c r="A238" s="1">
        <v>237</v>
      </c>
      <c r="B238" s="2">
        <v>40554</v>
      </c>
      <c r="C238" s="1">
        <v>1</v>
      </c>
      <c r="D238" s="1">
        <v>0</v>
      </c>
      <c r="E238" s="1">
        <v>1</v>
      </c>
      <c r="F238" s="1">
        <v>5</v>
      </c>
      <c r="G238" s="1" t="b">
        <v>0</v>
      </c>
      <c r="H238" s="1">
        <v>2</v>
      </c>
      <c r="I238" s="1">
        <v>2</v>
      </c>
      <c r="J238" s="1">
        <v>0.16</v>
      </c>
      <c r="L238" s="3" t="str">
        <f t="shared" si="12"/>
        <v>2011-01-11</v>
      </c>
      <c r="M238" s="3" t="str">
        <f t="shared" si="13"/>
        <v>2011</v>
      </c>
      <c r="N238" s="3" t="str">
        <f t="shared" si="14"/>
        <v>11</v>
      </c>
      <c r="O238" s="3">
        <f t="shared" si="15"/>
        <v>10</v>
      </c>
    </row>
    <row r="239" spans="1:15" x14ac:dyDescent="0.35">
      <c r="A239" s="1">
        <v>238</v>
      </c>
      <c r="B239" s="2">
        <v>40554</v>
      </c>
      <c r="C239" s="1">
        <v>1</v>
      </c>
      <c r="D239" s="1">
        <v>0</v>
      </c>
      <c r="E239" s="1">
        <v>1</v>
      </c>
      <c r="F239" s="1">
        <v>6</v>
      </c>
      <c r="G239" s="1" t="b">
        <v>0</v>
      </c>
      <c r="H239" s="1">
        <v>2</v>
      </c>
      <c r="I239" s="1">
        <v>2</v>
      </c>
      <c r="J239" s="1">
        <v>0.16</v>
      </c>
      <c r="L239" s="3" t="str">
        <f t="shared" si="12"/>
        <v>2011-01-11</v>
      </c>
      <c r="M239" s="3" t="str">
        <f t="shared" si="13"/>
        <v>2011</v>
      </c>
      <c r="N239" s="3" t="str">
        <f t="shared" si="14"/>
        <v>11</v>
      </c>
      <c r="O239" s="3">
        <f t="shared" si="15"/>
        <v>10</v>
      </c>
    </row>
    <row r="240" spans="1:15" x14ac:dyDescent="0.35">
      <c r="A240" s="1">
        <v>239</v>
      </c>
      <c r="B240" s="2">
        <v>40554</v>
      </c>
      <c r="C240" s="1">
        <v>1</v>
      </c>
      <c r="D240" s="1">
        <v>0</v>
      </c>
      <c r="E240" s="1">
        <v>1</v>
      </c>
      <c r="F240" s="1">
        <v>7</v>
      </c>
      <c r="G240" s="1" t="b">
        <v>0</v>
      </c>
      <c r="H240" s="1">
        <v>2</v>
      </c>
      <c r="I240" s="1">
        <v>2</v>
      </c>
      <c r="J240" s="1">
        <v>0.16</v>
      </c>
      <c r="L240" s="3" t="str">
        <f t="shared" si="12"/>
        <v>2011-01-11</v>
      </c>
      <c r="M240" s="3" t="str">
        <f t="shared" si="13"/>
        <v>2011</v>
      </c>
      <c r="N240" s="3" t="str">
        <f t="shared" si="14"/>
        <v>11</v>
      </c>
      <c r="O240" s="3">
        <f t="shared" si="15"/>
        <v>10</v>
      </c>
    </row>
    <row r="241" spans="1:15" x14ac:dyDescent="0.35">
      <c r="A241" s="1">
        <v>240</v>
      </c>
      <c r="B241" s="2">
        <v>40554</v>
      </c>
      <c r="C241" s="1">
        <v>1</v>
      </c>
      <c r="D241" s="1">
        <v>0</v>
      </c>
      <c r="E241" s="1">
        <v>1</v>
      </c>
      <c r="F241" s="1">
        <v>8</v>
      </c>
      <c r="G241" s="1" t="b">
        <v>0</v>
      </c>
      <c r="H241" s="1">
        <v>2</v>
      </c>
      <c r="I241" s="1">
        <v>2</v>
      </c>
      <c r="J241" s="1">
        <v>0.18</v>
      </c>
      <c r="L241" s="3" t="str">
        <f t="shared" si="12"/>
        <v>2011-01-11</v>
      </c>
      <c r="M241" s="3" t="str">
        <f t="shared" si="13"/>
        <v>2011</v>
      </c>
      <c r="N241" s="3" t="str">
        <f t="shared" si="14"/>
        <v>11</v>
      </c>
      <c r="O241" s="3">
        <f t="shared" si="15"/>
        <v>10</v>
      </c>
    </row>
    <row r="242" spans="1:15" x14ac:dyDescent="0.35">
      <c r="A242" s="1">
        <v>241</v>
      </c>
      <c r="B242" s="2">
        <v>40554</v>
      </c>
      <c r="C242" s="1">
        <v>1</v>
      </c>
      <c r="D242" s="1">
        <v>0</v>
      </c>
      <c r="E242" s="1">
        <v>1</v>
      </c>
      <c r="F242" s="1">
        <v>9</v>
      </c>
      <c r="G242" s="1" t="b">
        <v>0</v>
      </c>
      <c r="H242" s="1">
        <v>2</v>
      </c>
      <c r="I242" s="1">
        <v>2</v>
      </c>
      <c r="J242" s="1">
        <v>0.18</v>
      </c>
      <c r="L242" s="3" t="str">
        <f t="shared" si="12"/>
        <v>2011-01-11</v>
      </c>
      <c r="M242" s="3" t="str">
        <f t="shared" si="13"/>
        <v>2011</v>
      </c>
      <c r="N242" s="3" t="str">
        <f t="shared" si="14"/>
        <v>11</v>
      </c>
      <c r="O242" s="3">
        <f t="shared" si="15"/>
        <v>10</v>
      </c>
    </row>
    <row r="243" spans="1:15" x14ac:dyDescent="0.35">
      <c r="A243" s="1">
        <v>242</v>
      </c>
      <c r="B243" s="2">
        <v>40554</v>
      </c>
      <c r="C243" s="1">
        <v>1</v>
      </c>
      <c r="D243" s="1">
        <v>0</v>
      </c>
      <c r="E243" s="1">
        <v>1</v>
      </c>
      <c r="F243" s="1">
        <v>10</v>
      </c>
      <c r="G243" s="1" t="b">
        <v>0</v>
      </c>
      <c r="H243" s="1">
        <v>2</v>
      </c>
      <c r="I243" s="1">
        <v>2</v>
      </c>
      <c r="J243" s="1">
        <v>0.2</v>
      </c>
      <c r="L243" s="3" t="str">
        <f t="shared" si="12"/>
        <v>2011-01-11</v>
      </c>
      <c r="M243" s="3" t="str">
        <f t="shared" si="13"/>
        <v>2011</v>
      </c>
      <c r="N243" s="3" t="str">
        <f t="shared" si="14"/>
        <v>11</v>
      </c>
      <c r="O243" s="3">
        <f t="shared" si="15"/>
        <v>10</v>
      </c>
    </row>
    <row r="244" spans="1:15" x14ac:dyDescent="0.35">
      <c r="A244" s="1">
        <v>243</v>
      </c>
      <c r="B244" s="2">
        <v>40554</v>
      </c>
      <c r="C244" s="1">
        <v>1</v>
      </c>
      <c r="D244" s="1">
        <v>0</v>
      </c>
      <c r="E244" s="1">
        <v>1</v>
      </c>
      <c r="F244" s="1">
        <v>11</v>
      </c>
      <c r="G244" s="1" t="b">
        <v>0</v>
      </c>
      <c r="H244" s="1">
        <v>2</v>
      </c>
      <c r="I244" s="1">
        <v>2</v>
      </c>
      <c r="J244" s="1">
        <v>0.2</v>
      </c>
      <c r="L244" s="3" t="str">
        <f t="shared" si="12"/>
        <v>2011-01-11</v>
      </c>
      <c r="M244" s="3" t="str">
        <f t="shared" si="13"/>
        <v>2011</v>
      </c>
      <c r="N244" s="3" t="str">
        <f t="shared" si="14"/>
        <v>11</v>
      </c>
      <c r="O244" s="3">
        <f t="shared" si="15"/>
        <v>10</v>
      </c>
    </row>
    <row r="245" spans="1:15" x14ac:dyDescent="0.35">
      <c r="A245" s="1">
        <v>244</v>
      </c>
      <c r="B245" s="2">
        <v>40554</v>
      </c>
      <c r="C245" s="1">
        <v>1</v>
      </c>
      <c r="D245" s="1">
        <v>0</v>
      </c>
      <c r="E245" s="1">
        <v>1</v>
      </c>
      <c r="F245" s="1">
        <v>12</v>
      </c>
      <c r="G245" s="1" t="b">
        <v>0</v>
      </c>
      <c r="H245" s="1">
        <v>2</v>
      </c>
      <c r="I245" s="1">
        <v>2</v>
      </c>
      <c r="J245" s="1">
        <v>0.2</v>
      </c>
      <c r="L245" s="3" t="str">
        <f t="shared" si="12"/>
        <v>2011-01-11</v>
      </c>
      <c r="M245" s="3" t="str">
        <f t="shared" si="13"/>
        <v>2011</v>
      </c>
      <c r="N245" s="3" t="str">
        <f t="shared" si="14"/>
        <v>11</v>
      </c>
      <c r="O245" s="3">
        <f t="shared" si="15"/>
        <v>10</v>
      </c>
    </row>
    <row r="246" spans="1:15" x14ac:dyDescent="0.35">
      <c r="A246" s="1">
        <v>245</v>
      </c>
      <c r="B246" s="2">
        <v>40554</v>
      </c>
      <c r="C246" s="1">
        <v>1</v>
      </c>
      <c r="D246" s="1">
        <v>0</v>
      </c>
      <c r="E246" s="1">
        <v>1</v>
      </c>
      <c r="F246" s="1">
        <v>13</v>
      </c>
      <c r="G246" s="1" t="b">
        <v>0</v>
      </c>
      <c r="H246" s="1">
        <v>2</v>
      </c>
      <c r="I246" s="1">
        <v>2</v>
      </c>
      <c r="J246" s="1">
        <v>0.2</v>
      </c>
      <c r="L246" s="3" t="str">
        <f t="shared" si="12"/>
        <v>2011-01-11</v>
      </c>
      <c r="M246" s="3" t="str">
        <f t="shared" si="13"/>
        <v>2011</v>
      </c>
      <c r="N246" s="3" t="str">
        <f t="shared" si="14"/>
        <v>11</v>
      </c>
      <c r="O246" s="3">
        <f t="shared" si="15"/>
        <v>10</v>
      </c>
    </row>
    <row r="247" spans="1:15" x14ac:dyDescent="0.35">
      <c r="A247" s="1">
        <v>246</v>
      </c>
      <c r="B247" s="2">
        <v>40554</v>
      </c>
      <c r="C247" s="1">
        <v>1</v>
      </c>
      <c r="D247" s="1">
        <v>0</v>
      </c>
      <c r="E247" s="1">
        <v>1</v>
      </c>
      <c r="F247" s="1">
        <v>14</v>
      </c>
      <c r="G247" s="1" t="b">
        <v>0</v>
      </c>
      <c r="H247" s="1">
        <v>2</v>
      </c>
      <c r="I247" s="1">
        <v>2</v>
      </c>
      <c r="J247" s="1">
        <v>0.2</v>
      </c>
      <c r="L247" s="3" t="str">
        <f t="shared" si="12"/>
        <v>2011-01-11</v>
      </c>
      <c r="M247" s="3" t="str">
        <f t="shared" si="13"/>
        <v>2011</v>
      </c>
      <c r="N247" s="3" t="str">
        <f t="shared" si="14"/>
        <v>11</v>
      </c>
      <c r="O247" s="3">
        <f t="shared" si="15"/>
        <v>10</v>
      </c>
    </row>
    <row r="248" spans="1:15" x14ac:dyDescent="0.35">
      <c r="A248" s="1">
        <v>247</v>
      </c>
      <c r="B248" s="2">
        <v>40554</v>
      </c>
      <c r="C248" s="1">
        <v>1</v>
      </c>
      <c r="D248" s="1">
        <v>0</v>
      </c>
      <c r="E248" s="1">
        <v>1</v>
      </c>
      <c r="F248" s="1">
        <v>15</v>
      </c>
      <c r="G248" s="1" t="b">
        <v>0</v>
      </c>
      <c r="H248" s="1">
        <v>2</v>
      </c>
      <c r="I248" s="1">
        <v>2</v>
      </c>
      <c r="J248" s="1">
        <v>0.16</v>
      </c>
      <c r="L248" s="3" t="str">
        <f t="shared" si="12"/>
        <v>2011-01-11</v>
      </c>
      <c r="M248" s="3" t="str">
        <f t="shared" si="13"/>
        <v>2011</v>
      </c>
      <c r="N248" s="3" t="str">
        <f t="shared" si="14"/>
        <v>11</v>
      </c>
      <c r="O248" s="3">
        <f t="shared" si="15"/>
        <v>10</v>
      </c>
    </row>
    <row r="249" spans="1:15" x14ac:dyDescent="0.35">
      <c r="A249" s="1">
        <v>248</v>
      </c>
      <c r="B249" s="2">
        <v>40554</v>
      </c>
      <c r="C249" s="1">
        <v>1</v>
      </c>
      <c r="D249" s="1">
        <v>0</v>
      </c>
      <c r="E249" s="1">
        <v>1</v>
      </c>
      <c r="F249" s="1">
        <v>16</v>
      </c>
      <c r="G249" s="1" t="b">
        <v>0</v>
      </c>
      <c r="H249" s="1">
        <v>2</v>
      </c>
      <c r="I249" s="1">
        <v>2</v>
      </c>
      <c r="J249" s="1">
        <v>0.16</v>
      </c>
      <c r="L249" s="3" t="str">
        <f t="shared" si="12"/>
        <v>2011-01-11</v>
      </c>
      <c r="M249" s="3" t="str">
        <f t="shared" si="13"/>
        <v>2011</v>
      </c>
      <c r="N249" s="3" t="str">
        <f t="shared" si="14"/>
        <v>11</v>
      </c>
      <c r="O249" s="3">
        <f t="shared" si="15"/>
        <v>10</v>
      </c>
    </row>
    <row r="250" spans="1:15" x14ac:dyDescent="0.35">
      <c r="A250" s="1">
        <v>249</v>
      </c>
      <c r="B250" s="2">
        <v>40554</v>
      </c>
      <c r="C250" s="1">
        <v>1</v>
      </c>
      <c r="D250" s="1">
        <v>0</v>
      </c>
      <c r="E250" s="1">
        <v>1</v>
      </c>
      <c r="F250" s="1">
        <v>17</v>
      </c>
      <c r="G250" s="1" t="b">
        <v>0</v>
      </c>
      <c r="H250" s="1">
        <v>2</v>
      </c>
      <c r="I250" s="1">
        <v>2</v>
      </c>
      <c r="J250" s="1">
        <v>0.16</v>
      </c>
      <c r="L250" s="3" t="str">
        <f t="shared" si="12"/>
        <v>2011-01-11</v>
      </c>
      <c r="M250" s="3" t="str">
        <f t="shared" si="13"/>
        <v>2011</v>
      </c>
      <c r="N250" s="3" t="str">
        <f t="shared" si="14"/>
        <v>11</v>
      </c>
      <c r="O250" s="3">
        <f t="shared" si="15"/>
        <v>10</v>
      </c>
    </row>
    <row r="251" spans="1:15" x14ac:dyDescent="0.35">
      <c r="A251" s="1">
        <v>250</v>
      </c>
      <c r="B251" s="2">
        <v>40554</v>
      </c>
      <c r="C251" s="1">
        <v>1</v>
      </c>
      <c r="D251" s="1">
        <v>0</v>
      </c>
      <c r="E251" s="1">
        <v>1</v>
      </c>
      <c r="F251" s="1">
        <v>18</v>
      </c>
      <c r="G251" s="1" t="b">
        <v>0</v>
      </c>
      <c r="H251" s="1">
        <v>2</v>
      </c>
      <c r="I251" s="1">
        <v>3</v>
      </c>
      <c r="J251" s="1">
        <v>0.16</v>
      </c>
      <c r="L251" s="3" t="str">
        <f t="shared" si="12"/>
        <v>2011-01-11</v>
      </c>
      <c r="M251" s="3" t="str">
        <f t="shared" si="13"/>
        <v>2011</v>
      </c>
      <c r="N251" s="3" t="str">
        <f t="shared" si="14"/>
        <v>11</v>
      </c>
      <c r="O251" s="3">
        <f t="shared" si="15"/>
        <v>10</v>
      </c>
    </row>
    <row r="252" spans="1:15" x14ac:dyDescent="0.35">
      <c r="A252" s="1">
        <v>251</v>
      </c>
      <c r="B252" s="2">
        <v>40554</v>
      </c>
      <c r="C252" s="1">
        <v>1</v>
      </c>
      <c r="D252" s="1">
        <v>0</v>
      </c>
      <c r="E252" s="1">
        <v>1</v>
      </c>
      <c r="F252" s="1">
        <v>19</v>
      </c>
      <c r="G252" s="1" t="b">
        <v>0</v>
      </c>
      <c r="H252" s="1">
        <v>2</v>
      </c>
      <c r="I252" s="1">
        <v>3</v>
      </c>
      <c r="J252" s="1">
        <v>0.16</v>
      </c>
      <c r="L252" s="3" t="str">
        <f t="shared" si="12"/>
        <v>2011-01-11</v>
      </c>
      <c r="M252" s="3" t="str">
        <f t="shared" si="13"/>
        <v>2011</v>
      </c>
      <c r="N252" s="3" t="str">
        <f t="shared" si="14"/>
        <v>11</v>
      </c>
      <c r="O252" s="3">
        <f t="shared" si="15"/>
        <v>10</v>
      </c>
    </row>
    <row r="253" spans="1:15" x14ac:dyDescent="0.35">
      <c r="A253" s="1">
        <v>252</v>
      </c>
      <c r="B253" s="2">
        <v>40554</v>
      </c>
      <c r="C253" s="1">
        <v>1</v>
      </c>
      <c r="D253" s="1">
        <v>0</v>
      </c>
      <c r="E253" s="1">
        <v>1</v>
      </c>
      <c r="F253" s="1">
        <v>20</v>
      </c>
      <c r="G253" s="1" t="b">
        <v>0</v>
      </c>
      <c r="H253" s="1">
        <v>2</v>
      </c>
      <c r="I253" s="1">
        <v>3</v>
      </c>
      <c r="J253" s="1">
        <v>0.16</v>
      </c>
      <c r="L253" s="3" t="str">
        <f t="shared" si="12"/>
        <v>2011-01-11</v>
      </c>
      <c r="M253" s="3" t="str">
        <f t="shared" si="13"/>
        <v>2011</v>
      </c>
      <c r="N253" s="3" t="str">
        <f t="shared" si="14"/>
        <v>11</v>
      </c>
      <c r="O253" s="3">
        <f t="shared" si="15"/>
        <v>10</v>
      </c>
    </row>
    <row r="254" spans="1:15" x14ac:dyDescent="0.35">
      <c r="A254" s="1">
        <v>253</v>
      </c>
      <c r="B254" s="2">
        <v>40554</v>
      </c>
      <c r="C254" s="1">
        <v>1</v>
      </c>
      <c r="D254" s="1">
        <v>0</v>
      </c>
      <c r="E254" s="1">
        <v>1</v>
      </c>
      <c r="F254" s="1">
        <v>21</v>
      </c>
      <c r="G254" s="1" t="b">
        <v>0</v>
      </c>
      <c r="H254" s="1">
        <v>2</v>
      </c>
      <c r="I254" s="1">
        <v>3</v>
      </c>
      <c r="J254" s="1">
        <v>0.16</v>
      </c>
      <c r="L254" s="3" t="str">
        <f t="shared" si="12"/>
        <v>2011-01-11</v>
      </c>
      <c r="M254" s="3" t="str">
        <f t="shared" si="13"/>
        <v>2011</v>
      </c>
      <c r="N254" s="3" t="str">
        <f t="shared" si="14"/>
        <v>11</v>
      </c>
      <c r="O254" s="3">
        <f t="shared" si="15"/>
        <v>10</v>
      </c>
    </row>
    <row r="255" spans="1:15" x14ac:dyDescent="0.35">
      <c r="A255" s="1">
        <v>254</v>
      </c>
      <c r="B255" s="2">
        <v>40554</v>
      </c>
      <c r="C255" s="1">
        <v>1</v>
      </c>
      <c r="D255" s="1">
        <v>0</v>
      </c>
      <c r="E255" s="1">
        <v>1</v>
      </c>
      <c r="F255" s="1">
        <v>22</v>
      </c>
      <c r="G255" s="1" t="b">
        <v>0</v>
      </c>
      <c r="H255" s="1">
        <v>2</v>
      </c>
      <c r="I255" s="1">
        <v>3</v>
      </c>
      <c r="J255" s="1">
        <v>0.16</v>
      </c>
      <c r="L255" s="3" t="str">
        <f t="shared" si="12"/>
        <v>2011-01-11</v>
      </c>
      <c r="M255" s="3" t="str">
        <f t="shared" si="13"/>
        <v>2011</v>
      </c>
      <c r="N255" s="3" t="str">
        <f t="shared" si="14"/>
        <v>11</v>
      </c>
      <c r="O255" s="3">
        <f t="shared" si="15"/>
        <v>10</v>
      </c>
    </row>
    <row r="256" spans="1:15" x14ac:dyDescent="0.35">
      <c r="A256" s="1">
        <v>255</v>
      </c>
      <c r="B256" s="2">
        <v>40554</v>
      </c>
      <c r="C256" s="1">
        <v>1</v>
      </c>
      <c r="D256" s="1">
        <v>0</v>
      </c>
      <c r="E256" s="1">
        <v>1</v>
      </c>
      <c r="F256" s="1">
        <v>23</v>
      </c>
      <c r="G256" s="1" t="b">
        <v>0</v>
      </c>
      <c r="H256" s="1">
        <v>2</v>
      </c>
      <c r="I256" s="1">
        <v>3</v>
      </c>
      <c r="J256" s="1">
        <v>0.16</v>
      </c>
      <c r="L256" s="3" t="str">
        <f t="shared" si="12"/>
        <v>2011-01-11</v>
      </c>
      <c r="M256" s="3" t="str">
        <f t="shared" si="13"/>
        <v>2011</v>
      </c>
      <c r="N256" s="3" t="str">
        <f t="shared" si="14"/>
        <v>11</v>
      </c>
      <c r="O256" s="3">
        <f t="shared" si="15"/>
        <v>10</v>
      </c>
    </row>
    <row r="257" spans="1:15" x14ac:dyDescent="0.35">
      <c r="A257" s="1">
        <v>256</v>
      </c>
      <c r="B257" s="2">
        <v>40555</v>
      </c>
      <c r="C257" s="1">
        <v>1</v>
      </c>
      <c r="D257" s="1">
        <v>0</v>
      </c>
      <c r="E257" s="1">
        <v>1</v>
      </c>
      <c r="F257" s="1">
        <v>0</v>
      </c>
      <c r="G257" s="1" t="b">
        <v>0</v>
      </c>
      <c r="H257" s="1">
        <v>3</v>
      </c>
      <c r="I257" s="1">
        <v>2</v>
      </c>
      <c r="J257" s="1">
        <v>0.16</v>
      </c>
      <c r="L257" s="3" t="str">
        <f t="shared" si="12"/>
        <v>2011-01-12</v>
      </c>
      <c r="M257" s="3" t="str">
        <f t="shared" si="13"/>
        <v>2011</v>
      </c>
      <c r="N257" s="3" t="str">
        <f t="shared" si="14"/>
        <v>12</v>
      </c>
      <c r="O257" s="3">
        <f t="shared" si="15"/>
        <v>10</v>
      </c>
    </row>
    <row r="258" spans="1:15" x14ac:dyDescent="0.35">
      <c r="A258" s="1">
        <v>257</v>
      </c>
      <c r="B258" s="2">
        <v>40555</v>
      </c>
      <c r="C258" s="1">
        <v>1</v>
      </c>
      <c r="D258" s="1">
        <v>0</v>
      </c>
      <c r="E258" s="1">
        <v>1</v>
      </c>
      <c r="F258" s="1">
        <v>1</v>
      </c>
      <c r="G258" s="1" t="b">
        <v>0</v>
      </c>
      <c r="H258" s="1">
        <v>3</v>
      </c>
      <c r="I258" s="1">
        <v>2</v>
      </c>
      <c r="J258" s="1">
        <v>0.16</v>
      </c>
      <c r="L258" s="3" t="str">
        <f t="shared" si="12"/>
        <v>2011-01-12</v>
      </c>
      <c r="M258" s="3" t="str">
        <f t="shared" si="13"/>
        <v>2011</v>
      </c>
      <c r="N258" s="3" t="str">
        <f t="shared" si="14"/>
        <v>12</v>
      </c>
      <c r="O258" s="3">
        <f t="shared" si="15"/>
        <v>10</v>
      </c>
    </row>
    <row r="259" spans="1:15" x14ac:dyDescent="0.35">
      <c r="A259" s="1">
        <v>258</v>
      </c>
      <c r="B259" s="2">
        <v>40555</v>
      </c>
      <c r="C259" s="1">
        <v>1</v>
      </c>
      <c r="D259" s="1">
        <v>0</v>
      </c>
      <c r="E259" s="1">
        <v>1</v>
      </c>
      <c r="F259" s="1">
        <v>2</v>
      </c>
      <c r="G259" s="1" t="b">
        <v>0</v>
      </c>
      <c r="H259" s="1">
        <v>3</v>
      </c>
      <c r="I259" s="1">
        <v>1</v>
      </c>
      <c r="J259" s="1">
        <v>0.14000000000000001</v>
      </c>
      <c r="L259" s="3" t="str">
        <f t="shared" ref="L259:L322" si="16">TEXT(B259,"yyyy-mm-dd")</f>
        <v>2011-01-12</v>
      </c>
      <c r="M259" s="3" t="str">
        <f t="shared" ref="M259:M322" si="17">LEFT(L259,4)</f>
        <v>2011</v>
      </c>
      <c r="N259" s="3" t="str">
        <f t="shared" ref="N259:N322" si="18">RIGHT(L259,2)</f>
        <v>12</v>
      </c>
      <c r="O259" s="3">
        <f t="shared" ref="O259:O322" si="19">LEN(L259)</f>
        <v>10</v>
      </c>
    </row>
    <row r="260" spans="1:15" x14ac:dyDescent="0.35">
      <c r="A260" s="1">
        <v>259</v>
      </c>
      <c r="B260" s="2">
        <v>40555</v>
      </c>
      <c r="C260" s="1">
        <v>1</v>
      </c>
      <c r="D260" s="1">
        <v>0</v>
      </c>
      <c r="E260" s="1">
        <v>1</v>
      </c>
      <c r="F260" s="1">
        <v>5</v>
      </c>
      <c r="G260" s="1" t="b">
        <v>0</v>
      </c>
      <c r="H260" s="1">
        <v>3</v>
      </c>
      <c r="I260" s="1">
        <v>1</v>
      </c>
      <c r="J260" s="1">
        <v>0.14000000000000001</v>
      </c>
      <c r="L260" s="3" t="str">
        <f t="shared" si="16"/>
        <v>2011-01-12</v>
      </c>
      <c r="M260" s="3" t="str">
        <f t="shared" si="17"/>
        <v>2011</v>
      </c>
      <c r="N260" s="3" t="str">
        <f t="shared" si="18"/>
        <v>12</v>
      </c>
      <c r="O260" s="3">
        <f t="shared" si="19"/>
        <v>10</v>
      </c>
    </row>
    <row r="261" spans="1:15" x14ac:dyDescent="0.35">
      <c r="A261" s="1">
        <v>260</v>
      </c>
      <c r="B261" s="2">
        <v>40555</v>
      </c>
      <c r="C261" s="1">
        <v>1</v>
      </c>
      <c r="D261" s="1">
        <v>0</v>
      </c>
      <c r="E261" s="1">
        <v>1</v>
      </c>
      <c r="F261" s="1">
        <v>6</v>
      </c>
      <c r="G261" s="1" t="b">
        <v>0</v>
      </c>
      <c r="H261" s="1">
        <v>3</v>
      </c>
      <c r="I261" s="1">
        <v>1</v>
      </c>
      <c r="J261" s="1">
        <v>0.12</v>
      </c>
      <c r="L261" s="3" t="str">
        <f t="shared" si="16"/>
        <v>2011-01-12</v>
      </c>
      <c r="M261" s="3" t="str">
        <f t="shared" si="17"/>
        <v>2011</v>
      </c>
      <c r="N261" s="3" t="str">
        <f t="shared" si="18"/>
        <v>12</v>
      </c>
      <c r="O261" s="3">
        <f t="shared" si="19"/>
        <v>10</v>
      </c>
    </row>
    <row r="262" spans="1:15" x14ac:dyDescent="0.35">
      <c r="A262" s="1">
        <v>261</v>
      </c>
      <c r="B262" s="2">
        <v>40555</v>
      </c>
      <c r="C262" s="1">
        <v>1</v>
      </c>
      <c r="D262" s="1">
        <v>0</v>
      </c>
      <c r="E262" s="1">
        <v>1</v>
      </c>
      <c r="F262" s="1">
        <v>7</v>
      </c>
      <c r="G262" s="1" t="b">
        <v>0</v>
      </c>
      <c r="H262" s="1">
        <v>3</v>
      </c>
      <c r="I262" s="1">
        <v>1</v>
      </c>
      <c r="J262" s="1">
        <v>0.14000000000000001</v>
      </c>
      <c r="L262" s="3" t="str">
        <f t="shared" si="16"/>
        <v>2011-01-12</v>
      </c>
      <c r="M262" s="3" t="str">
        <f t="shared" si="17"/>
        <v>2011</v>
      </c>
      <c r="N262" s="3" t="str">
        <f t="shared" si="18"/>
        <v>12</v>
      </c>
      <c r="O262" s="3">
        <f t="shared" si="19"/>
        <v>10</v>
      </c>
    </row>
    <row r="263" spans="1:15" x14ac:dyDescent="0.35">
      <c r="A263" s="1">
        <v>262</v>
      </c>
      <c r="B263" s="2">
        <v>40555</v>
      </c>
      <c r="C263" s="1">
        <v>1</v>
      </c>
      <c r="D263" s="1">
        <v>0</v>
      </c>
      <c r="E263" s="1">
        <v>1</v>
      </c>
      <c r="F263" s="1">
        <v>8</v>
      </c>
      <c r="G263" s="1" t="b">
        <v>0</v>
      </c>
      <c r="H263" s="1">
        <v>3</v>
      </c>
      <c r="I263" s="1">
        <v>1</v>
      </c>
      <c r="J263" s="1">
        <v>0.16</v>
      </c>
      <c r="L263" s="3" t="str">
        <f t="shared" si="16"/>
        <v>2011-01-12</v>
      </c>
      <c r="M263" s="3" t="str">
        <f t="shared" si="17"/>
        <v>2011</v>
      </c>
      <c r="N263" s="3" t="str">
        <f t="shared" si="18"/>
        <v>12</v>
      </c>
      <c r="O263" s="3">
        <f t="shared" si="19"/>
        <v>10</v>
      </c>
    </row>
    <row r="264" spans="1:15" x14ac:dyDescent="0.35">
      <c r="A264" s="1">
        <v>263</v>
      </c>
      <c r="B264" s="2">
        <v>40555</v>
      </c>
      <c r="C264" s="1">
        <v>1</v>
      </c>
      <c r="D264" s="1">
        <v>0</v>
      </c>
      <c r="E264" s="1">
        <v>1</v>
      </c>
      <c r="F264" s="1">
        <v>9</v>
      </c>
      <c r="G264" s="1" t="b">
        <v>0</v>
      </c>
      <c r="H264" s="1">
        <v>3</v>
      </c>
      <c r="I264" s="1">
        <v>1</v>
      </c>
      <c r="J264" s="1">
        <v>0.16</v>
      </c>
      <c r="L264" s="3" t="str">
        <f t="shared" si="16"/>
        <v>2011-01-12</v>
      </c>
      <c r="M264" s="3" t="str">
        <f t="shared" si="17"/>
        <v>2011</v>
      </c>
      <c r="N264" s="3" t="str">
        <f t="shared" si="18"/>
        <v>12</v>
      </c>
      <c r="O264" s="3">
        <f t="shared" si="19"/>
        <v>10</v>
      </c>
    </row>
    <row r="265" spans="1:15" x14ac:dyDescent="0.35">
      <c r="A265" s="1">
        <v>264</v>
      </c>
      <c r="B265" s="2">
        <v>40555</v>
      </c>
      <c r="C265" s="1">
        <v>1</v>
      </c>
      <c r="D265" s="1">
        <v>0</v>
      </c>
      <c r="E265" s="1">
        <v>1</v>
      </c>
      <c r="F265" s="1">
        <v>10</v>
      </c>
      <c r="G265" s="1" t="b">
        <v>0</v>
      </c>
      <c r="H265" s="1">
        <v>3</v>
      </c>
      <c r="I265" s="1">
        <v>1</v>
      </c>
      <c r="J265" s="1">
        <v>0.18</v>
      </c>
      <c r="L265" s="3" t="str">
        <f t="shared" si="16"/>
        <v>2011-01-12</v>
      </c>
      <c r="M265" s="3" t="str">
        <f t="shared" si="17"/>
        <v>2011</v>
      </c>
      <c r="N265" s="3" t="str">
        <f t="shared" si="18"/>
        <v>12</v>
      </c>
      <c r="O265" s="3">
        <f t="shared" si="19"/>
        <v>10</v>
      </c>
    </row>
    <row r="266" spans="1:15" x14ac:dyDescent="0.35">
      <c r="A266" s="1">
        <v>265</v>
      </c>
      <c r="B266" s="2">
        <v>40555</v>
      </c>
      <c r="C266" s="1">
        <v>1</v>
      </c>
      <c r="D266" s="1">
        <v>0</v>
      </c>
      <c r="E266" s="1">
        <v>1</v>
      </c>
      <c r="F266" s="1">
        <v>11</v>
      </c>
      <c r="G266" s="1" t="b">
        <v>0</v>
      </c>
      <c r="H266" s="1">
        <v>3</v>
      </c>
      <c r="I266" s="1">
        <v>1</v>
      </c>
      <c r="J266" s="1">
        <v>0.2</v>
      </c>
      <c r="L266" s="3" t="str">
        <f t="shared" si="16"/>
        <v>2011-01-12</v>
      </c>
      <c r="M266" s="3" t="str">
        <f t="shared" si="17"/>
        <v>2011</v>
      </c>
      <c r="N266" s="3" t="str">
        <f t="shared" si="18"/>
        <v>12</v>
      </c>
      <c r="O266" s="3">
        <f t="shared" si="19"/>
        <v>10</v>
      </c>
    </row>
    <row r="267" spans="1:15" x14ac:dyDescent="0.35">
      <c r="A267" s="1">
        <v>266</v>
      </c>
      <c r="B267" s="2">
        <v>40555</v>
      </c>
      <c r="C267" s="1">
        <v>1</v>
      </c>
      <c r="D267" s="1">
        <v>0</v>
      </c>
      <c r="E267" s="1">
        <v>1</v>
      </c>
      <c r="F267" s="1">
        <v>12</v>
      </c>
      <c r="G267" s="1" t="b">
        <v>0</v>
      </c>
      <c r="H267" s="1">
        <v>3</v>
      </c>
      <c r="I267" s="1">
        <v>1</v>
      </c>
      <c r="J267" s="1">
        <v>0.2</v>
      </c>
      <c r="L267" s="3" t="str">
        <f t="shared" si="16"/>
        <v>2011-01-12</v>
      </c>
      <c r="M267" s="3" t="str">
        <f t="shared" si="17"/>
        <v>2011</v>
      </c>
      <c r="N267" s="3" t="str">
        <f t="shared" si="18"/>
        <v>12</v>
      </c>
      <c r="O267" s="3">
        <f t="shared" si="19"/>
        <v>10</v>
      </c>
    </row>
    <row r="268" spans="1:15" x14ac:dyDescent="0.35">
      <c r="A268" s="1">
        <v>267</v>
      </c>
      <c r="B268" s="2">
        <v>40555</v>
      </c>
      <c r="C268" s="1">
        <v>1</v>
      </c>
      <c r="D268" s="1">
        <v>0</v>
      </c>
      <c r="E268" s="1">
        <v>1</v>
      </c>
      <c r="F268" s="1">
        <v>13</v>
      </c>
      <c r="G268" s="1" t="b">
        <v>0</v>
      </c>
      <c r="H268" s="1">
        <v>3</v>
      </c>
      <c r="I268" s="1">
        <v>1</v>
      </c>
      <c r="J268" s="1">
        <v>0.22</v>
      </c>
      <c r="L268" s="3" t="str">
        <f t="shared" si="16"/>
        <v>2011-01-12</v>
      </c>
      <c r="M268" s="3" t="str">
        <f t="shared" si="17"/>
        <v>2011</v>
      </c>
      <c r="N268" s="3" t="str">
        <f t="shared" si="18"/>
        <v>12</v>
      </c>
      <c r="O268" s="3">
        <f t="shared" si="19"/>
        <v>10</v>
      </c>
    </row>
    <row r="269" spans="1:15" x14ac:dyDescent="0.35">
      <c r="A269" s="1">
        <v>268</v>
      </c>
      <c r="B269" s="2">
        <v>40555</v>
      </c>
      <c r="C269" s="1">
        <v>1</v>
      </c>
      <c r="D269" s="1">
        <v>0</v>
      </c>
      <c r="E269" s="1">
        <v>1</v>
      </c>
      <c r="F269" s="1">
        <v>14</v>
      </c>
      <c r="G269" s="1" t="b">
        <v>0</v>
      </c>
      <c r="H269" s="1">
        <v>3</v>
      </c>
      <c r="I269" s="1">
        <v>1</v>
      </c>
      <c r="J269" s="1">
        <v>0.2</v>
      </c>
      <c r="L269" s="3" t="str">
        <f t="shared" si="16"/>
        <v>2011-01-12</v>
      </c>
      <c r="M269" s="3" t="str">
        <f t="shared" si="17"/>
        <v>2011</v>
      </c>
      <c r="N269" s="3" t="str">
        <f t="shared" si="18"/>
        <v>12</v>
      </c>
      <c r="O269" s="3">
        <f t="shared" si="19"/>
        <v>10</v>
      </c>
    </row>
    <row r="270" spans="1:15" x14ac:dyDescent="0.35">
      <c r="A270" s="1">
        <v>269</v>
      </c>
      <c r="B270" s="2">
        <v>40555</v>
      </c>
      <c r="C270" s="1">
        <v>1</v>
      </c>
      <c r="D270" s="1">
        <v>0</v>
      </c>
      <c r="E270" s="1">
        <v>1</v>
      </c>
      <c r="F270" s="1">
        <v>15</v>
      </c>
      <c r="G270" s="1" t="b">
        <v>0</v>
      </c>
      <c r="H270" s="1">
        <v>3</v>
      </c>
      <c r="I270" s="1">
        <v>1</v>
      </c>
      <c r="J270" s="1">
        <v>0.2</v>
      </c>
      <c r="L270" s="3" t="str">
        <f t="shared" si="16"/>
        <v>2011-01-12</v>
      </c>
      <c r="M270" s="3" t="str">
        <f t="shared" si="17"/>
        <v>2011</v>
      </c>
      <c r="N270" s="3" t="str">
        <f t="shared" si="18"/>
        <v>12</v>
      </c>
      <c r="O270" s="3">
        <f t="shared" si="19"/>
        <v>10</v>
      </c>
    </row>
    <row r="271" spans="1:15" x14ac:dyDescent="0.35">
      <c r="A271" s="1">
        <v>270</v>
      </c>
      <c r="B271" s="2">
        <v>40555</v>
      </c>
      <c r="C271" s="1">
        <v>1</v>
      </c>
      <c r="D271" s="1">
        <v>0</v>
      </c>
      <c r="E271" s="1">
        <v>1</v>
      </c>
      <c r="F271" s="1">
        <v>16</v>
      </c>
      <c r="G271" s="1" t="b">
        <v>0</v>
      </c>
      <c r="H271" s="1">
        <v>3</v>
      </c>
      <c r="I271" s="1">
        <v>1</v>
      </c>
      <c r="J271" s="1">
        <v>0.22</v>
      </c>
      <c r="L271" s="3" t="str">
        <f t="shared" si="16"/>
        <v>2011-01-12</v>
      </c>
      <c r="M271" s="3" t="str">
        <f t="shared" si="17"/>
        <v>2011</v>
      </c>
      <c r="N271" s="3" t="str">
        <f t="shared" si="18"/>
        <v>12</v>
      </c>
      <c r="O271" s="3">
        <f t="shared" si="19"/>
        <v>10</v>
      </c>
    </row>
    <row r="272" spans="1:15" x14ac:dyDescent="0.35">
      <c r="A272" s="1">
        <v>271</v>
      </c>
      <c r="B272" s="2">
        <v>40555</v>
      </c>
      <c r="C272" s="1">
        <v>1</v>
      </c>
      <c r="D272" s="1">
        <v>0</v>
      </c>
      <c r="E272" s="1">
        <v>1</v>
      </c>
      <c r="F272" s="1">
        <v>17</v>
      </c>
      <c r="G272" s="1" t="b">
        <v>0</v>
      </c>
      <c r="H272" s="1">
        <v>3</v>
      </c>
      <c r="I272" s="1">
        <v>1</v>
      </c>
      <c r="J272" s="1">
        <v>0.2</v>
      </c>
      <c r="L272" s="3" t="str">
        <f t="shared" si="16"/>
        <v>2011-01-12</v>
      </c>
      <c r="M272" s="3" t="str">
        <f t="shared" si="17"/>
        <v>2011</v>
      </c>
      <c r="N272" s="3" t="str">
        <f t="shared" si="18"/>
        <v>12</v>
      </c>
      <c r="O272" s="3">
        <f t="shared" si="19"/>
        <v>10</v>
      </c>
    </row>
    <row r="273" spans="1:15" x14ac:dyDescent="0.35">
      <c r="A273" s="1">
        <v>272</v>
      </c>
      <c r="B273" s="2">
        <v>40555</v>
      </c>
      <c r="C273" s="1">
        <v>1</v>
      </c>
      <c r="D273" s="1">
        <v>0</v>
      </c>
      <c r="E273" s="1">
        <v>1</v>
      </c>
      <c r="F273" s="1">
        <v>18</v>
      </c>
      <c r="G273" s="1" t="b">
        <v>0</v>
      </c>
      <c r="H273" s="1">
        <v>3</v>
      </c>
      <c r="I273" s="1">
        <v>1</v>
      </c>
      <c r="J273" s="1">
        <v>0.2</v>
      </c>
      <c r="L273" s="3" t="str">
        <f t="shared" si="16"/>
        <v>2011-01-12</v>
      </c>
      <c r="M273" s="3" t="str">
        <f t="shared" si="17"/>
        <v>2011</v>
      </c>
      <c r="N273" s="3" t="str">
        <f t="shared" si="18"/>
        <v>12</v>
      </c>
      <c r="O273" s="3">
        <f t="shared" si="19"/>
        <v>10</v>
      </c>
    </row>
    <row r="274" spans="1:15" x14ac:dyDescent="0.35">
      <c r="A274" s="1">
        <v>273</v>
      </c>
      <c r="B274" s="2">
        <v>40555</v>
      </c>
      <c r="C274" s="1">
        <v>1</v>
      </c>
      <c r="D274" s="1">
        <v>0</v>
      </c>
      <c r="E274" s="1">
        <v>1</v>
      </c>
      <c r="F274" s="1">
        <v>19</v>
      </c>
      <c r="G274" s="1" t="b">
        <v>0</v>
      </c>
      <c r="H274" s="1">
        <v>3</v>
      </c>
      <c r="I274" s="1">
        <v>1</v>
      </c>
      <c r="J274" s="1">
        <v>0.18</v>
      </c>
      <c r="L274" s="3" t="str">
        <f t="shared" si="16"/>
        <v>2011-01-12</v>
      </c>
      <c r="M274" s="3" t="str">
        <f t="shared" si="17"/>
        <v>2011</v>
      </c>
      <c r="N274" s="3" t="str">
        <f t="shared" si="18"/>
        <v>12</v>
      </c>
      <c r="O274" s="3">
        <f t="shared" si="19"/>
        <v>10</v>
      </c>
    </row>
    <row r="275" spans="1:15" x14ac:dyDescent="0.35">
      <c r="A275" s="1">
        <v>274</v>
      </c>
      <c r="B275" s="2">
        <v>40555</v>
      </c>
      <c r="C275" s="1">
        <v>1</v>
      </c>
      <c r="D275" s="1">
        <v>0</v>
      </c>
      <c r="E275" s="1">
        <v>1</v>
      </c>
      <c r="F275" s="1">
        <v>20</v>
      </c>
      <c r="G275" s="1" t="b">
        <v>0</v>
      </c>
      <c r="H275" s="1">
        <v>3</v>
      </c>
      <c r="I275" s="1">
        <v>1</v>
      </c>
      <c r="J275" s="1">
        <v>0.16</v>
      </c>
      <c r="L275" s="3" t="str">
        <f t="shared" si="16"/>
        <v>2011-01-12</v>
      </c>
      <c r="M275" s="3" t="str">
        <f t="shared" si="17"/>
        <v>2011</v>
      </c>
      <c r="N275" s="3" t="str">
        <f t="shared" si="18"/>
        <v>12</v>
      </c>
      <c r="O275" s="3">
        <f t="shared" si="19"/>
        <v>10</v>
      </c>
    </row>
    <row r="276" spans="1:15" x14ac:dyDescent="0.35">
      <c r="A276" s="1">
        <v>275</v>
      </c>
      <c r="B276" s="2">
        <v>40555</v>
      </c>
      <c r="C276" s="1">
        <v>1</v>
      </c>
      <c r="D276" s="1">
        <v>0</v>
      </c>
      <c r="E276" s="1">
        <v>1</v>
      </c>
      <c r="F276" s="1">
        <v>21</v>
      </c>
      <c r="G276" s="1" t="b">
        <v>0</v>
      </c>
      <c r="H276" s="1">
        <v>3</v>
      </c>
      <c r="I276" s="1">
        <v>1</v>
      </c>
      <c r="J276" s="1">
        <v>0.16</v>
      </c>
      <c r="L276" s="3" t="str">
        <f t="shared" si="16"/>
        <v>2011-01-12</v>
      </c>
      <c r="M276" s="3" t="str">
        <f t="shared" si="17"/>
        <v>2011</v>
      </c>
      <c r="N276" s="3" t="str">
        <f t="shared" si="18"/>
        <v>12</v>
      </c>
      <c r="O276" s="3">
        <f t="shared" si="19"/>
        <v>10</v>
      </c>
    </row>
    <row r="277" spans="1:15" x14ac:dyDescent="0.35">
      <c r="A277" s="1">
        <v>276</v>
      </c>
      <c r="B277" s="2">
        <v>40555</v>
      </c>
      <c r="C277" s="1">
        <v>1</v>
      </c>
      <c r="D277" s="1">
        <v>0</v>
      </c>
      <c r="E277" s="1">
        <v>1</v>
      </c>
      <c r="F277" s="1">
        <v>22</v>
      </c>
      <c r="G277" s="1" t="b">
        <v>0</v>
      </c>
      <c r="H277" s="1">
        <v>3</v>
      </c>
      <c r="I277" s="1">
        <v>1</v>
      </c>
      <c r="J277" s="1">
        <v>0.16</v>
      </c>
      <c r="L277" s="3" t="str">
        <f t="shared" si="16"/>
        <v>2011-01-12</v>
      </c>
      <c r="M277" s="3" t="str">
        <f t="shared" si="17"/>
        <v>2011</v>
      </c>
      <c r="N277" s="3" t="str">
        <f t="shared" si="18"/>
        <v>12</v>
      </c>
      <c r="O277" s="3">
        <f t="shared" si="19"/>
        <v>10</v>
      </c>
    </row>
    <row r="278" spans="1:15" x14ac:dyDescent="0.35">
      <c r="A278" s="1">
        <v>277</v>
      </c>
      <c r="B278" s="2">
        <v>40555</v>
      </c>
      <c r="C278" s="1">
        <v>1</v>
      </c>
      <c r="D278" s="1">
        <v>0</v>
      </c>
      <c r="E278" s="1">
        <v>1</v>
      </c>
      <c r="F278" s="1">
        <v>23</v>
      </c>
      <c r="G278" s="1" t="b">
        <v>0</v>
      </c>
      <c r="H278" s="1">
        <v>3</v>
      </c>
      <c r="I278" s="1">
        <v>1</v>
      </c>
      <c r="J278" s="1">
        <v>0.14000000000000001</v>
      </c>
      <c r="L278" s="3" t="str">
        <f t="shared" si="16"/>
        <v>2011-01-12</v>
      </c>
      <c r="M278" s="3" t="str">
        <f t="shared" si="17"/>
        <v>2011</v>
      </c>
      <c r="N278" s="3" t="str">
        <f t="shared" si="18"/>
        <v>12</v>
      </c>
      <c r="O278" s="3">
        <f t="shared" si="19"/>
        <v>10</v>
      </c>
    </row>
    <row r="279" spans="1:15" x14ac:dyDescent="0.35">
      <c r="A279" s="1">
        <v>278</v>
      </c>
      <c r="B279" s="2">
        <v>40556</v>
      </c>
      <c r="C279" s="1">
        <v>1</v>
      </c>
      <c r="D279" s="1">
        <v>0</v>
      </c>
      <c r="E279" s="1">
        <v>1</v>
      </c>
      <c r="F279" s="1">
        <v>0</v>
      </c>
      <c r="G279" s="1" t="b">
        <v>0</v>
      </c>
      <c r="H279" s="1">
        <v>4</v>
      </c>
      <c r="I279" s="1">
        <v>1</v>
      </c>
      <c r="J279" s="1">
        <v>0.14000000000000001</v>
      </c>
      <c r="L279" s="3" t="str">
        <f t="shared" si="16"/>
        <v>2011-01-13</v>
      </c>
      <c r="M279" s="3" t="str">
        <f t="shared" si="17"/>
        <v>2011</v>
      </c>
      <c r="N279" s="3" t="str">
        <f t="shared" si="18"/>
        <v>13</v>
      </c>
      <c r="O279" s="3">
        <f t="shared" si="19"/>
        <v>10</v>
      </c>
    </row>
    <row r="280" spans="1:15" x14ac:dyDescent="0.35">
      <c r="A280" s="1">
        <v>279</v>
      </c>
      <c r="B280" s="2">
        <v>40556</v>
      </c>
      <c r="C280" s="1">
        <v>1</v>
      </c>
      <c r="D280" s="1">
        <v>0</v>
      </c>
      <c r="E280" s="1">
        <v>1</v>
      </c>
      <c r="F280" s="1">
        <v>1</v>
      </c>
      <c r="G280" s="1" t="b">
        <v>0</v>
      </c>
      <c r="H280" s="1">
        <v>4</v>
      </c>
      <c r="I280" s="1">
        <v>1</v>
      </c>
      <c r="J280" s="1">
        <v>0.14000000000000001</v>
      </c>
      <c r="L280" s="3" t="str">
        <f t="shared" si="16"/>
        <v>2011-01-13</v>
      </c>
      <c r="M280" s="3" t="str">
        <f t="shared" si="17"/>
        <v>2011</v>
      </c>
      <c r="N280" s="3" t="str">
        <f t="shared" si="18"/>
        <v>13</v>
      </c>
      <c r="O280" s="3">
        <f t="shared" si="19"/>
        <v>10</v>
      </c>
    </row>
    <row r="281" spans="1:15" x14ac:dyDescent="0.35">
      <c r="A281" s="1">
        <v>280</v>
      </c>
      <c r="B281" s="2">
        <v>40556</v>
      </c>
      <c r="C281" s="1">
        <v>1</v>
      </c>
      <c r="D281" s="1">
        <v>0</v>
      </c>
      <c r="E281" s="1">
        <v>1</v>
      </c>
      <c r="F281" s="1">
        <v>2</v>
      </c>
      <c r="G281" s="1" t="b">
        <v>0</v>
      </c>
      <c r="H281" s="1">
        <v>4</v>
      </c>
      <c r="I281" s="1">
        <v>1</v>
      </c>
      <c r="J281" s="1">
        <v>0.14000000000000001</v>
      </c>
      <c r="L281" s="3" t="str">
        <f t="shared" si="16"/>
        <v>2011-01-13</v>
      </c>
      <c r="M281" s="3" t="str">
        <f t="shared" si="17"/>
        <v>2011</v>
      </c>
      <c r="N281" s="3" t="str">
        <f t="shared" si="18"/>
        <v>13</v>
      </c>
      <c r="O281" s="3">
        <f t="shared" si="19"/>
        <v>10</v>
      </c>
    </row>
    <row r="282" spans="1:15" x14ac:dyDescent="0.35">
      <c r="A282" s="1">
        <v>281</v>
      </c>
      <c r="B282" s="2">
        <v>40556</v>
      </c>
      <c r="C282" s="1">
        <v>1</v>
      </c>
      <c r="D282" s="1">
        <v>0</v>
      </c>
      <c r="E282" s="1">
        <v>1</v>
      </c>
      <c r="F282" s="1">
        <v>3</v>
      </c>
      <c r="G282" s="1" t="b">
        <v>0</v>
      </c>
      <c r="H282" s="1">
        <v>4</v>
      </c>
      <c r="I282" s="1">
        <v>1</v>
      </c>
      <c r="J282" s="1">
        <v>0.14000000000000001</v>
      </c>
      <c r="L282" s="3" t="str">
        <f t="shared" si="16"/>
        <v>2011-01-13</v>
      </c>
      <c r="M282" s="3" t="str">
        <f t="shared" si="17"/>
        <v>2011</v>
      </c>
      <c r="N282" s="3" t="str">
        <f t="shared" si="18"/>
        <v>13</v>
      </c>
      <c r="O282" s="3">
        <f t="shared" si="19"/>
        <v>10</v>
      </c>
    </row>
    <row r="283" spans="1:15" x14ac:dyDescent="0.35">
      <c r="A283" s="1">
        <v>282</v>
      </c>
      <c r="B283" s="2">
        <v>40556</v>
      </c>
      <c r="C283" s="1">
        <v>1</v>
      </c>
      <c r="D283" s="1">
        <v>0</v>
      </c>
      <c r="E283" s="1">
        <v>1</v>
      </c>
      <c r="F283" s="1">
        <v>4</v>
      </c>
      <c r="G283" s="1" t="b">
        <v>0</v>
      </c>
      <c r="H283" s="1">
        <v>4</v>
      </c>
      <c r="I283" s="1">
        <v>1</v>
      </c>
      <c r="J283" s="1">
        <v>0.14000000000000001</v>
      </c>
      <c r="L283" s="3" t="str">
        <f t="shared" si="16"/>
        <v>2011-01-13</v>
      </c>
      <c r="M283" s="3" t="str">
        <f t="shared" si="17"/>
        <v>2011</v>
      </c>
      <c r="N283" s="3" t="str">
        <f t="shared" si="18"/>
        <v>13</v>
      </c>
      <c r="O283" s="3">
        <f t="shared" si="19"/>
        <v>10</v>
      </c>
    </row>
    <row r="284" spans="1:15" x14ac:dyDescent="0.35">
      <c r="A284" s="1">
        <v>283</v>
      </c>
      <c r="B284" s="2">
        <v>40556</v>
      </c>
      <c r="C284" s="1">
        <v>1</v>
      </c>
      <c r="D284" s="1">
        <v>0</v>
      </c>
      <c r="E284" s="1">
        <v>1</v>
      </c>
      <c r="F284" s="1">
        <v>5</v>
      </c>
      <c r="G284" s="1" t="b">
        <v>0</v>
      </c>
      <c r="H284" s="1">
        <v>4</v>
      </c>
      <c r="I284" s="1">
        <v>1</v>
      </c>
      <c r="J284" s="1">
        <v>0.14000000000000001</v>
      </c>
      <c r="L284" s="3" t="str">
        <f t="shared" si="16"/>
        <v>2011-01-13</v>
      </c>
      <c r="M284" s="3" t="str">
        <f t="shared" si="17"/>
        <v>2011</v>
      </c>
      <c r="N284" s="3" t="str">
        <f t="shared" si="18"/>
        <v>13</v>
      </c>
      <c r="O284" s="3">
        <f t="shared" si="19"/>
        <v>10</v>
      </c>
    </row>
    <row r="285" spans="1:15" x14ac:dyDescent="0.35">
      <c r="A285" s="1">
        <v>284</v>
      </c>
      <c r="B285" s="2">
        <v>40556</v>
      </c>
      <c r="C285" s="1">
        <v>1</v>
      </c>
      <c r="D285" s="1">
        <v>0</v>
      </c>
      <c r="E285" s="1">
        <v>1</v>
      </c>
      <c r="F285" s="1">
        <v>6</v>
      </c>
      <c r="G285" s="1" t="b">
        <v>0</v>
      </c>
      <c r="H285" s="1">
        <v>4</v>
      </c>
      <c r="I285" s="1">
        <v>1</v>
      </c>
      <c r="J285" s="1">
        <v>0.12</v>
      </c>
      <c r="L285" s="3" t="str">
        <f t="shared" si="16"/>
        <v>2011-01-13</v>
      </c>
      <c r="M285" s="3" t="str">
        <f t="shared" si="17"/>
        <v>2011</v>
      </c>
      <c r="N285" s="3" t="str">
        <f t="shared" si="18"/>
        <v>13</v>
      </c>
      <c r="O285" s="3">
        <f t="shared" si="19"/>
        <v>10</v>
      </c>
    </row>
    <row r="286" spans="1:15" x14ac:dyDescent="0.35">
      <c r="A286" s="1">
        <v>285</v>
      </c>
      <c r="B286" s="2">
        <v>40556</v>
      </c>
      <c r="C286" s="1">
        <v>1</v>
      </c>
      <c r="D286" s="1">
        <v>0</v>
      </c>
      <c r="E286" s="1">
        <v>1</v>
      </c>
      <c r="F286" s="1">
        <v>7</v>
      </c>
      <c r="G286" s="1" t="b">
        <v>0</v>
      </c>
      <c r="H286" s="1">
        <v>4</v>
      </c>
      <c r="I286" s="1">
        <v>1</v>
      </c>
      <c r="J286" s="1">
        <v>0.12</v>
      </c>
      <c r="L286" s="3" t="str">
        <f t="shared" si="16"/>
        <v>2011-01-13</v>
      </c>
      <c r="M286" s="3" t="str">
        <f t="shared" si="17"/>
        <v>2011</v>
      </c>
      <c r="N286" s="3" t="str">
        <f t="shared" si="18"/>
        <v>13</v>
      </c>
      <c r="O286" s="3">
        <f t="shared" si="19"/>
        <v>10</v>
      </c>
    </row>
    <row r="287" spans="1:15" x14ac:dyDescent="0.35">
      <c r="A287" s="1">
        <v>286</v>
      </c>
      <c r="B287" s="2">
        <v>40556</v>
      </c>
      <c r="C287" s="1">
        <v>1</v>
      </c>
      <c r="D287" s="1">
        <v>0</v>
      </c>
      <c r="E287" s="1">
        <v>1</v>
      </c>
      <c r="F287" s="1">
        <v>8</v>
      </c>
      <c r="G287" s="1" t="b">
        <v>0</v>
      </c>
      <c r="H287" s="1">
        <v>4</v>
      </c>
      <c r="I287" s="1">
        <v>1</v>
      </c>
      <c r="J287" s="1">
        <v>0.14000000000000001</v>
      </c>
      <c r="L287" s="3" t="str">
        <f t="shared" si="16"/>
        <v>2011-01-13</v>
      </c>
      <c r="M287" s="3" t="str">
        <f t="shared" si="17"/>
        <v>2011</v>
      </c>
      <c r="N287" s="3" t="str">
        <f t="shared" si="18"/>
        <v>13</v>
      </c>
      <c r="O287" s="3">
        <f t="shared" si="19"/>
        <v>10</v>
      </c>
    </row>
    <row r="288" spans="1:15" x14ac:dyDescent="0.35">
      <c r="A288" s="1">
        <v>287</v>
      </c>
      <c r="B288" s="2">
        <v>40556</v>
      </c>
      <c r="C288" s="1">
        <v>1</v>
      </c>
      <c r="D288" s="1">
        <v>0</v>
      </c>
      <c r="E288" s="1">
        <v>1</v>
      </c>
      <c r="F288" s="1">
        <v>9</v>
      </c>
      <c r="G288" s="1" t="b">
        <v>0</v>
      </c>
      <c r="H288" s="1">
        <v>4</v>
      </c>
      <c r="I288" s="1">
        <v>1</v>
      </c>
      <c r="J288" s="1">
        <v>0.14000000000000001</v>
      </c>
      <c r="L288" s="3" t="str">
        <f t="shared" si="16"/>
        <v>2011-01-13</v>
      </c>
      <c r="M288" s="3" t="str">
        <f t="shared" si="17"/>
        <v>2011</v>
      </c>
      <c r="N288" s="3" t="str">
        <f t="shared" si="18"/>
        <v>13</v>
      </c>
      <c r="O288" s="3">
        <f t="shared" si="19"/>
        <v>10</v>
      </c>
    </row>
    <row r="289" spans="1:15" x14ac:dyDescent="0.35">
      <c r="A289" s="1">
        <v>288</v>
      </c>
      <c r="B289" s="2">
        <v>40556</v>
      </c>
      <c r="C289" s="1">
        <v>1</v>
      </c>
      <c r="D289" s="1">
        <v>0</v>
      </c>
      <c r="E289" s="1">
        <v>1</v>
      </c>
      <c r="F289" s="1">
        <v>10</v>
      </c>
      <c r="G289" s="1" t="b">
        <v>0</v>
      </c>
      <c r="H289" s="1">
        <v>4</v>
      </c>
      <c r="I289" s="1">
        <v>2</v>
      </c>
      <c r="J289" s="1">
        <v>0.16</v>
      </c>
      <c r="L289" s="3" t="str">
        <f t="shared" si="16"/>
        <v>2011-01-13</v>
      </c>
      <c r="M289" s="3" t="str">
        <f t="shared" si="17"/>
        <v>2011</v>
      </c>
      <c r="N289" s="3" t="str">
        <f t="shared" si="18"/>
        <v>13</v>
      </c>
      <c r="O289" s="3">
        <f t="shared" si="19"/>
        <v>10</v>
      </c>
    </row>
    <row r="290" spans="1:15" x14ac:dyDescent="0.35">
      <c r="A290" s="1">
        <v>289</v>
      </c>
      <c r="B290" s="2">
        <v>40556</v>
      </c>
      <c r="C290" s="1">
        <v>1</v>
      </c>
      <c r="D290" s="1">
        <v>0</v>
      </c>
      <c r="E290" s="1">
        <v>1</v>
      </c>
      <c r="F290" s="1">
        <v>11</v>
      </c>
      <c r="G290" s="1" t="b">
        <v>0</v>
      </c>
      <c r="H290" s="1">
        <v>4</v>
      </c>
      <c r="I290" s="1">
        <v>2</v>
      </c>
      <c r="J290" s="1">
        <v>0.2</v>
      </c>
      <c r="L290" s="3" t="str">
        <f t="shared" si="16"/>
        <v>2011-01-13</v>
      </c>
      <c r="M290" s="3" t="str">
        <f t="shared" si="17"/>
        <v>2011</v>
      </c>
      <c r="N290" s="3" t="str">
        <f t="shared" si="18"/>
        <v>13</v>
      </c>
      <c r="O290" s="3">
        <f t="shared" si="19"/>
        <v>10</v>
      </c>
    </row>
    <row r="291" spans="1:15" x14ac:dyDescent="0.35">
      <c r="A291" s="1">
        <v>290</v>
      </c>
      <c r="B291" s="2">
        <v>40556</v>
      </c>
      <c r="C291" s="1">
        <v>1</v>
      </c>
      <c r="D291" s="1">
        <v>0</v>
      </c>
      <c r="E291" s="1">
        <v>1</v>
      </c>
      <c r="F291" s="1">
        <v>12</v>
      </c>
      <c r="G291" s="1" t="b">
        <v>0</v>
      </c>
      <c r="H291" s="1">
        <v>4</v>
      </c>
      <c r="I291" s="1">
        <v>1</v>
      </c>
      <c r="J291" s="1">
        <v>0.2</v>
      </c>
      <c r="L291" s="3" t="str">
        <f t="shared" si="16"/>
        <v>2011-01-13</v>
      </c>
      <c r="M291" s="3" t="str">
        <f t="shared" si="17"/>
        <v>2011</v>
      </c>
      <c r="N291" s="3" t="str">
        <f t="shared" si="18"/>
        <v>13</v>
      </c>
      <c r="O291" s="3">
        <f t="shared" si="19"/>
        <v>10</v>
      </c>
    </row>
    <row r="292" spans="1:15" x14ac:dyDescent="0.35">
      <c r="A292" s="1">
        <v>291</v>
      </c>
      <c r="B292" s="2">
        <v>40556</v>
      </c>
      <c r="C292" s="1">
        <v>1</v>
      </c>
      <c r="D292" s="1">
        <v>0</v>
      </c>
      <c r="E292" s="1">
        <v>1</v>
      </c>
      <c r="F292" s="1">
        <v>13</v>
      </c>
      <c r="G292" s="1" t="b">
        <v>0</v>
      </c>
      <c r="H292" s="1">
        <v>4</v>
      </c>
      <c r="I292" s="1">
        <v>1</v>
      </c>
      <c r="J292" s="1">
        <v>0.22</v>
      </c>
      <c r="L292" s="3" t="str">
        <f t="shared" si="16"/>
        <v>2011-01-13</v>
      </c>
      <c r="M292" s="3" t="str">
        <f t="shared" si="17"/>
        <v>2011</v>
      </c>
      <c r="N292" s="3" t="str">
        <f t="shared" si="18"/>
        <v>13</v>
      </c>
      <c r="O292" s="3">
        <f t="shared" si="19"/>
        <v>10</v>
      </c>
    </row>
    <row r="293" spans="1:15" x14ac:dyDescent="0.35">
      <c r="A293" s="1">
        <v>292</v>
      </c>
      <c r="B293" s="2">
        <v>40556</v>
      </c>
      <c r="C293" s="1">
        <v>1</v>
      </c>
      <c r="D293" s="1">
        <v>0</v>
      </c>
      <c r="E293" s="1">
        <v>1</v>
      </c>
      <c r="F293" s="1">
        <v>14</v>
      </c>
      <c r="G293" s="1" t="b">
        <v>0</v>
      </c>
      <c r="H293" s="1">
        <v>4</v>
      </c>
      <c r="I293" s="1">
        <v>1</v>
      </c>
      <c r="J293" s="1">
        <v>0.22</v>
      </c>
      <c r="L293" s="3" t="str">
        <f t="shared" si="16"/>
        <v>2011-01-13</v>
      </c>
      <c r="M293" s="3" t="str">
        <f t="shared" si="17"/>
        <v>2011</v>
      </c>
      <c r="N293" s="3" t="str">
        <f t="shared" si="18"/>
        <v>13</v>
      </c>
      <c r="O293" s="3">
        <f t="shared" si="19"/>
        <v>10</v>
      </c>
    </row>
    <row r="294" spans="1:15" x14ac:dyDescent="0.35">
      <c r="A294" s="1">
        <v>293</v>
      </c>
      <c r="B294" s="2">
        <v>40556</v>
      </c>
      <c r="C294" s="1">
        <v>1</v>
      </c>
      <c r="D294" s="1">
        <v>0</v>
      </c>
      <c r="E294" s="1">
        <v>1</v>
      </c>
      <c r="F294" s="1">
        <v>15</v>
      </c>
      <c r="G294" s="1" t="b">
        <v>0</v>
      </c>
      <c r="H294" s="1">
        <v>4</v>
      </c>
      <c r="I294" s="1">
        <v>1</v>
      </c>
      <c r="J294" s="1">
        <v>0.24</v>
      </c>
      <c r="L294" s="3" t="str">
        <f t="shared" si="16"/>
        <v>2011-01-13</v>
      </c>
      <c r="M294" s="3" t="str">
        <f t="shared" si="17"/>
        <v>2011</v>
      </c>
      <c r="N294" s="3" t="str">
        <f t="shared" si="18"/>
        <v>13</v>
      </c>
      <c r="O294" s="3">
        <f t="shared" si="19"/>
        <v>10</v>
      </c>
    </row>
    <row r="295" spans="1:15" x14ac:dyDescent="0.35">
      <c r="A295" s="1">
        <v>294</v>
      </c>
      <c r="B295" s="2">
        <v>40556</v>
      </c>
      <c r="C295" s="1">
        <v>1</v>
      </c>
      <c r="D295" s="1">
        <v>0</v>
      </c>
      <c r="E295" s="1">
        <v>1</v>
      </c>
      <c r="F295" s="1">
        <v>16</v>
      </c>
      <c r="G295" s="1" t="b">
        <v>0</v>
      </c>
      <c r="H295" s="1">
        <v>4</v>
      </c>
      <c r="I295" s="1">
        <v>1</v>
      </c>
      <c r="J295" s="1">
        <v>0.24</v>
      </c>
      <c r="L295" s="3" t="str">
        <f t="shared" si="16"/>
        <v>2011-01-13</v>
      </c>
      <c r="M295" s="3" t="str">
        <f t="shared" si="17"/>
        <v>2011</v>
      </c>
      <c r="N295" s="3" t="str">
        <f t="shared" si="18"/>
        <v>13</v>
      </c>
      <c r="O295" s="3">
        <f t="shared" si="19"/>
        <v>10</v>
      </c>
    </row>
    <row r="296" spans="1:15" x14ac:dyDescent="0.35">
      <c r="A296" s="1">
        <v>295</v>
      </c>
      <c r="B296" s="2">
        <v>40556</v>
      </c>
      <c r="C296" s="1">
        <v>1</v>
      </c>
      <c r="D296" s="1">
        <v>0</v>
      </c>
      <c r="E296" s="1">
        <v>1</v>
      </c>
      <c r="F296" s="1">
        <v>17</v>
      </c>
      <c r="G296" s="1" t="b">
        <v>0</v>
      </c>
      <c r="H296" s="1">
        <v>4</v>
      </c>
      <c r="I296" s="1">
        <v>1</v>
      </c>
      <c r="J296" s="1">
        <v>0.2</v>
      </c>
      <c r="L296" s="3" t="str">
        <f t="shared" si="16"/>
        <v>2011-01-13</v>
      </c>
      <c r="M296" s="3" t="str">
        <f t="shared" si="17"/>
        <v>2011</v>
      </c>
      <c r="N296" s="3" t="str">
        <f t="shared" si="18"/>
        <v>13</v>
      </c>
      <c r="O296" s="3">
        <f t="shared" si="19"/>
        <v>10</v>
      </c>
    </row>
    <row r="297" spans="1:15" x14ac:dyDescent="0.35">
      <c r="A297" s="1">
        <v>296</v>
      </c>
      <c r="B297" s="2">
        <v>40556</v>
      </c>
      <c r="C297" s="1">
        <v>1</v>
      </c>
      <c r="D297" s="1">
        <v>0</v>
      </c>
      <c r="E297" s="1">
        <v>1</v>
      </c>
      <c r="F297" s="1">
        <v>18</v>
      </c>
      <c r="G297" s="1" t="b">
        <v>0</v>
      </c>
      <c r="H297" s="1">
        <v>4</v>
      </c>
      <c r="I297" s="1">
        <v>1</v>
      </c>
      <c r="J297" s="1">
        <v>0.2</v>
      </c>
      <c r="L297" s="3" t="str">
        <f t="shared" si="16"/>
        <v>2011-01-13</v>
      </c>
      <c r="M297" s="3" t="str">
        <f t="shared" si="17"/>
        <v>2011</v>
      </c>
      <c r="N297" s="3" t="str">
        <f t="shared" si="18"/>
        <v>13</v>
      </c>
      <c r="O297" s="3">
        <f t="shared" si="19"/>
        <v>10</v>
      </c>
    </row>
    <row r="298" spans="1:15" x14ac:dyDescent="0.35">
      <c r="A298" s="1">
        <v>297</v>
      </c>
      <c r="B298" s="2">
        <v>40556</v>
      </c>
      <c r="C298" s="1">
        <v>1</v>
      </c>
      <c r="D298" s="1">
        <v>0</v>
      </c>
      <c r="E298" s="1">
        <v>1</v>
      </c>
      <c r="F298" s="1">
        <v>19</v>
      </c>
      <c r="G298" s="1" t="b">
        <v>0</v>
      </c>
      <c r="H298" s="1">
        <v>4</v>
      </c>
      <c r="I298" s="1">
        <v>1</v>
      </c>
      <c r="J298" s="1">
        <v>0.16</v>
      </c>
      <c r="L298" s="3" t="str">
        <f t="shared" si="16"/>
        <v>2011-01-13</v>
      </c>
      <c r="M298" s="3" t="str">
        <f t="shared" si="17"/>
        <v>2011</v>
      </c>
      <c r="N298" s="3" t="str">
        <f t="shared" si="18"/>
        <v>13</v>
      </c>
      <c r="O298" s="3">
        <f t="shared" si="19"/>
        <v>10</v>
      </c>
    </row>
    <row r="299" spans="1:15" x14ac:dyDescent="0.35">
      <c r="A299" s="1">
        <v>298</v>
      </c>
      <c r="B299" s="2">
        <v>40556</v>
      </c>
      <c r="C299" s="1">
        <v>1</v>
      </c>
      <c r="D299" s="1">
        <v>0</v>
      </c>
      <c r="E299" s="1">
        <v>1</v>
      </c>
      <c r="F299" s="1">
        <v>20</v>
      </c>
      <c r="G299" s="1" t="b">
        <v>0</v>
      </c>
      <c r="H299" s="1">
        <v>4</v>
      </c>
      <c r="I299" s="1">
        <v>1</v>
      </c>
      <c r="J299" s="1">
        <v>0.16</v>
      </c>
      <c r="L299" s="3" t="str">
        <f t="shared" si="16"/>
        <v>2011-01-13</v>
      </c>
      <c r="M299" s="3" t="str">
        <f t="shared" si="17"/>
        <v>2011</v>
      </c>
      <c r="N299" s="3" t="str">
        <f t="shared" si="18"/>
        <v>13</v>
      </c>
      <c r="O299" s="3">
        <f t="shared" si="19"/>
        <v>10</v>
      </c>
    </row>
    <row r="300" spans="1:15" x14ac:dyDescent="0.35">
      <c r="A300" s="1">
        <v>299</v>
      </c>
      <c r="B300" s="2">
        <v>40556</v>
      </c>
      <c r="C300" s="1">
        <v>1</v>
      </c>
      <c r="D300" s="1">
        <v>0</v>
      </c>
      <c r="E300" s="1">
        <v>1</v>
      </c>
      <c r="F300" s="1">
        <v>21</v>
      </c>
      <c r="G300" s="1" t="b">
        <v>0</v>
      </c>
      <c r="H300" s="1">
        <v>4</v>
      </c>
      <c r="I300" s="1">
        <v>1</v>
      </c>
      <c r="J300" s="1">
        <v>0.14000000000000001</v>
      </c>
      <c r="L300" s="3" t="str">
        <f t="shared" si="16"/>
        <v>2011-01-13</v>
      </c>
      <c r="M300" s="3" t="str">
        <f t="shared" si="17"/>
        <v>2011</v>
      </c>
      <c r="N300" s="3" t="str">
        <f t="shared" si="18"/>
        <v>13</v>
      </c>
      <c r="O300" s="3">
        <f t="shared" si="19"/>
        <v>10</v>
      </c>
    </row>
    <row r="301" spans="1:15" x14ac:dyDescent="0.35">
      <c r="A301" s="1">
        <v>300</v>
      </c>
      <c r="B301" s="2">
        <v>40556</v>
      </c>
      <c r="C301" s="1">
        <v>1</v>
      </c>
      <c r="D301" s="1">
        <v>0</v>
      </c>
      <c r="E301" s="1">
        <v>1</v>
      </c>
      <c r="F301" s="1">
        <v>22</v>
      </c>
      <c r="G301" s="1" t="b">
        <v>0</v>
      </c>
      <c r="H301" s="1">
        <v>4</v>
      </c>
      <c r="I301" s="1">
        <v>1</v>
      </c>
      <c r="J301" s="1">
        <v>0.14000000000000001</v>
      </c>
      <c r="L301" s="3" t="str">
        <f t="shared" si="16"/>
        <v>2011-01-13</v>
      </c>
      <c r="M301" s="3" t="str">
        <f t="shared" si="17"/>
        <v>2011</v>
      </c>
      <c r="N301" s="3" t="str">
        <f t="shared" si="18"/>
        <v>13</v>
      </c>
      <c r="O301" s="3">
        <f t="shared" si="19"/>
        <v>10</v>
      </c>
    </row>
    <row r="302" spans="1:15" x14ac:dyDescent="0.35">
      <c r="A302" s="1">
        <v>301</v>
      </c>
      <c r="B302" s="2">
        <v>40556</v>
      </c>
      <c r="C302" s="1">
        <v>1</v>
      </c>
      <c r="D302" s="1">
        <v>0</v>
      </c>
      <c r="E302" s="1">
        <v>1</v>
      </c>
      <c r="F302" s="1">
        <v>23</v>
      </c>
      <c r="G302" s="1" t="b">
        <v>0</v>
      </c>
      <c r="H302" s="1">
        <v>4</v>
      </c>
      <c r="I302" s="1">
        <v>1</v>
      </c>
      <c r="J302" s="1">
        <v>0.12</v>
      </c>
      <c r="L302" s="3" t="str">
        <f t="shared" si="16"/>
        <v>2011-01-13</v>
      </c>
      <c r="M302" s="3" t="str">
        <f t="shared" si="17"/>
        <v>2011</v>
      </c>
      <c r="N302" s="3" t="str">
        <f t="shared" si="18"/>
        <v>13</v>
      </c>
      <c r="O302" s="3">
        <f t="shared" si="19"/>
        <v>10</v>
      </c>
    </row>
    <row r="303" spans="1:15" x14ac:dyDescent="0.35">
      <c r="A303" s="1">
        <v>302</v>
      </c>
      <c r="B303" s="2">
        <v>40557</v>
      </c>
      <c r="C303" s="1">
        <v>1</v>
      </c>
      <c r="D303" s="1">
        <v>0</v>
      </c>
      <c r="E303" s="1">
        <v>1</v>
      </c>
      <c r="F303" s="1">
        <v>0</v>
      </c>
      <c r="G303" s="1" t="b">
        <v>0</v>
      </c>
      <c r="H303" s="1">
        <v>5</v>
      </c>
      <c r="I303" s="1">
        <v>1</v>
      </c>
      <c r="J303" s="1">
        <v>0.12</v>
      </c>
      <c r="L303" s="3" t="str">
        <f t="shared" si="16"/>
        <v>2011-01-14</v>
      </c>
      <c r="M303" s="3" t="str">
        <f t="shared" si="17"/>
        <v>2011</v>
      </c>
      <c r="N303" s="3" t="str">
        <f t="shared" si="18"/>
        <v>14</v>
      </c>
      <c r="O303" s="3">
        <f t="shared" si="19"/>
        <v>10</v>
      </c>
    </row>
    <row r="304" spans="1:15" x14ac:dyDescent="0.35">
      <c r="A304" s="1">
        <v>303</v>
      </c>
      <c r="B304" s="2">
        <v>40557</v>
      </c>
      <c r="C304" s="1">
        <v>1</v>
      </c>
      <c r="D304" s="1">
        <v>0</v>
      </c>
      <c r="E304" s="1">
        <v>1</v>
      </c>
      <c r="F304" s="1">
        <v>1</v>
      </c>
      <c r="G304" s="1" t="b">
        <v>0</v>
      </c>
      <c r="H304" s="1">
        <v>5</v>
      </c>
      <c r="I304" s="1">
        <v>1</v>
      </c>
      <c r="J304" s="1">
        <v>0.1</v>
      </c>
      <c r="L304" s="3" t="str">
        <f t="shared" si="16"/>
        <v>2011-01-14</v>
      </c>
      <c r="M304" s="3" t="str">
        <f t="shared" si="17"/>
        <v>2011</v>
      </c>
      <c r="N304" s="3" t="str">
        <f t="shared" si="18"/>
        <v>14</v>
      </c>
      <c r="O304" s="3">
        <f t="shared" si="19"/>
        <v>10</v>
      </c>
    </row>
    <row r="305" spans="1:15" x14ac:dyDescent="0.35">
      <c r="A305" s="1">
        <v>304</v>
      </c>
      <c r="B305" s="2">
        <v>40557</v>
      </c>
      <c r="C305" s="1">
        <v>1</v>
      </c>
      <c r="D305" s="1">
        <v>0</v>
      </c>
      <c r="E305" s="1">
        <v>1</v>
      </c>
      <c r="F305" s="1">
        <v>2</v>
      </c>
      <c r="G305" s="1" t="b">
        <v>0</v>
      </c>
      <c r="H305" s="1">
        <v>5</v>
      </c>
      <c r="I305" s="1">
        <v>1</v>
      </c>
      <c r="J305" s="1">
        <v>0.1</v>
      </c>
      <c r="L305" s="3" t="str">
        <f t="shared" si="16"/>
        <v>2011-01-14</v>
      </c>
      <c r="M305" s="3" t="str">
        <f t="shared" si="17"/>
        <v>2011</v>
      </c>
      <c r="N305" s="3" t="str">
        <f t="shared" si="18"/>
        <v>14</v>
      </c>
      <c r="O305" s="3">
        <f t="shared" si="19"/>
        <v>10</v>
      </c>
    </row>
    <row r="306" spans="1:15" x14ac:dyDescent="0.35">
      <c r="A306" s="1">
        <v>305</v>
      </c>
      <c r="B306" s="2">
        <v>40557</v>
      </c>
      <c r="C306" s="1">
        <v>1</v>
      </c>
      <c r="D306" s="1">
        <v>0</v>
      </c>
      <c r="E306" s="1">
        <v>1</v>
      </c>
      <c r="F306" s="1">
        <v>3</v>
      </c>
      <c r="G306" s="1" t="b">
        <v>0</v>
      </c>
      <c r="H306" s="1">
        <v>5</v>
      </c>
      <c r="I306" s="1">
        <v>1</v>
      </c>
      <c r="J306" s="1">
        <v>0.1</v>
      </c>
      <c r="L306" s="3" t="str">
        <f t="shared" si="16"/>
        <v>2011-01-14</v>
      </c>
      <c r="M306" s="3" t="str">
        <f t="shared" si="17"/>
        <v>2011</v>
      </c>
      <c r="N306" s="3" t="str">
        <f t="shared" si="18"/>
        <v>14</v>
      </c>
      <c r="O306" s="3">
        <f t="shared" si="19"/>
        <v>10</v>
      </c>
    </row>
    <row r="307" spans="1:15" x14ac:dyDescent="0.35">
      <c r="A307" s="1">
        <v>306</v>
      </c>
      <c r="B307" s="2">
        <v>40557</v>
      </c>
      <c r="C307" s="1">
        <v>1</v>
      </c>
      <c r="D307" s="1">
        <v>0</v>
      </c>
      <c r="E307" s="1">
        <v>1</v>
      </c>
      <c r="F307" s="1">
        <v>5</v>
      </c>
      <c r="G307" s="1" t="b">
        <v>0</v>
      </c>
      <c r="H307" s="1">
        <v>5</v>
      </c>
      <c r="I307" s="1">
        <v>1</v>
      </c>
      <c r="J307" s="1">
        <v>0.1</v>
      </c>
      <c r="L307" s="3" t="str">
        <f t="shared" si="16"/>
        <v>2011-01-14</v>
      </c>
      <c r="M307" s="3" t="str">
        <f t="shared" si="17"/>
        <v>2011</v>
      </c>
      <c r="N307" s="3" t="str">
        <f t="shared" si="18"/>
        <v>14</v>
      </c>
      <c r="O307" s="3">
        <f t="shared" si="19"/>
        <v>10</v>
      </c>
    </row>
    <row r="308" spans="1:15" x14ac:dyDescent="0.35">
      <c r="A308" s="1">
        <v>307</v>
      </c>
      <c r="B308" s="2">
        <v>40557</v>
      </c>
      <c r="C308" s="1">
        <v>1</v>
      </c>
      <c r="D308" s="1">
        <v>0</v>
      </c>
      <c r="E308" s="1">
        <v>1</v>
      </c>
      <c r="F308" s="1">
        <v>6</v>
      </c>
      <c r="G308" s="1" t="b">
        <v>0</v>
      </c>
      <c r="H308" s="1">
        <v>5</v>
      </c>
      <c r="I308" s="1">
        <v>1</v>
      </c>
      <c r="J308" s="1">
        <v>0.1</v>
      </c>
      <c r="L308" s="3" t="str">
        <f t="shared" si="16"/>
        <v>2011-01-14</v>
      </c>
      <c r="M308" s="3" t="str">
        <f t="shared" si="17"/>
        <v>2011</v>
      </c>
      <c r="N308" s="3" t="str">
        <f t="shared" si="18"/>
        <v>14</v>
      </c>
      <c r="O308" s="3">
        <f t="shared" si="19"/>
        <v>10</v>
      </c>
    </row>
    <row r="309" spans="1:15" x14ac:dyDescent="0.35">
      <c r="A309" s="1">
        <v>308</v>
      </c>
      <c r="B309" s="2">
        <v>40557</v>
      </c>
      <c r="C309" s="1">
        <v>1</v>
      </c>
      <c r="D309" s="1">
        <v>0</v>
      </c>
      <c r="E309" s="1">
        <v>1</v>
      </c>
      <c r="F309" s="1">
        <v>7</v>
      </c>
      <c r="G309" s="1" t="b">
        <v>0</v>
      </c>
      <c r="H309" s="1">
        <v>5</v>
      </c>
      <c r="I309" s="1">
        <v>1</v>
      </c>
      <c r="J309" s="1">
        <v>0.1</v>
      </c>
      <c r="L309" s="3" t="str">
        <f t="shared" si="16"/>
        <v>2011-01-14</v>
      </c>
      <c r="M309" s="3" t="str">
        <f t="shared" si="17"/>
        <v>2011</v>
      </c>
      <c r="N309" s="3" t="str">
        <f t="shared" si="18"/>
        <v>14</v>
      </c>
      <c r="O309" s="3">
        <f t="shared" si="19"/>
        <v>10</v>
      </c>
    </row>
    <row r="310" spans="1:15" x14ac:dyDescent="0.35">
      <c r="A310" s="1">
        <v>309</v>
      </c>
      <c r="B310" s="2">
        <v>40557</v>
      </c>
      <c r="C310" s="1">
        <v>1</v>
      </c>
      <c r="D310" s="1">
        <v>0</v>
      </c>
      <c r="E310" s="1">
        <v>1</v>
      </c>
      <c r="F310" s="1">
        <v>8</v>
      </c>
      <c r="G310" s="1" t="b">
        <v>0</v>
      </c>
      <c r="H310" s="1">
        <v>5</v>
      </c>
      <c r="I310" s="1">
        <v>1</v>
      </c>
      <c r="J310" s="1">
        <v>0.12</v>
      </c>
      <c r="L310" s="3" t="str">
        <f t="shared" si="16"/>
        <v>2011-01-14</v>
      </c>
      <c r="M310" s="3" t="str">
        <f t="shared" si="17"/>
        <v>2011</v>
      </c>
      <c r="N310" s="3" t="str">
        <f t="shared" si="18"/>
        <v>14</v>
      </c>
      <c r="O310" s="3">
        <f t="shared" si="19"/>
        <v>10</v>
      </c>
    </row>
    <row r="311" spans="1:15" x14ac:dyDescent="0.35">
      <c r="A311" s="1">
        <v>310</v>
      </c>
      <c r="B311" s="2">
        <v>40557</v>
      </c>
      <c r="C311" s="1">
        <v>1</v>
      </c>
      <c r="D311" s="1">
        <v>0</v>
      </c>
      <c r="E311" s="1">
        <v>1</v>
      </c>
      <c r="F311" s="1">
        <v>9</v>
      </c>
      <c r="G311" s="1" t="b">
        <v>0</v>
      </c>
      <c r="H311" s="1">
        <v>5</v>
      </c>
      <c r="I311" s="1">
        <v>1</v>
      </c>
      <c r="J311" s="1">
        <v>0.14000000000000001</v>
      </c>
      <c r="L311" s="3" t="str">
        <f t="shared" si="16"/>
        <v>2011-01-14</v>
      </c>
      <c r="M311" s="3" t="str">
        <f t="shared" si="17"/>
        <v>2011</v>
      </c>
      <c r="N311" s="3" t="str">
        <f t="shared" si="18"/>
        <v>14</v>
      </c>
      <c r="O311" s="3">
        <f t="shared" si="19"/>
        <v>10</v>
      </c>
    </row>
    <row r="312" spans="1:15" x14ac:dyDescent="0.35">
      <c r="A312" s="1">
        <v>311</v>
      </c>
      <c r="B312" s="2">
        <v>40557</v>
      </c>
      <c r="C312" s="1">
        <v>1</v>
      </c>
      <c r="D312" s="1">
        <v>0</v>
      </c>
      <c r="E312" s="1">
        <v>1</v>
      </c>
      <c r="F312" s="1">
        <v>10</v>
      </c>
      <c r="G312" s="1" t="b">
        <v>0</v>
      </c>
      <c r="H312" s="1">
        <v>5</v>
      </c>
      <c r="I312" s="1">
        <v>1</v>
      </c>
      <c r="J312" s="1">
        <v>0.18</v>
      </c>
      <c r="L312" s="3" t="str">
        <f t="shared" si="16"/>
        <v>2011-01-14</v>
      </c>
      <c r="M312" s="3" t="str">
        <f t="shared" si="17"/>
        <v>2011</v>
      </c>
      <c r="N312" s="3" t="str">
        <f t="shared" si="18"/>
        <v>14</v>
      </c>
      <c r="O312" s="3">
        <f t="shared" si="19"/>
        <v>10</v>
      </c>
    </row>
    <row r="313" spans="1:15" x14ac:dyDescent="0.35">
      <c r="A313" s="1">
        <v>312</v>
      </c>
      <c r="B313" s="2">
        <v>40557</v>
      </c>
      <c r="C313" s="1">
        <v>1</v>
      </c>
      <c r="D313" s="1">
        <v>0</v>
      </c>
      <c r="E313" s="1">
        <v>1</v>
      </c>
      <c r="F313" s="1">
        <v>11</v>
      </c>
      <c r="G313" s="1" t="b">
        <v>0</v>
      </c>
      <c r="H313" s="1">
        <v>5</v>
      </c>
      <c r="I313" s="1">
        <v>1</v>
      </c>
      <c r="J313" s="1">
        <v>0.18</v>
      </c>
      <c r="L313" s="3" t="str">
        <f t="shared" si="16"/>
        <v>2011-01-14</v>
      </c>
      <c r="M313" s="3" t="str">
        <f t="shared" si="17"/>
        <v>2011</v>
      </c>
      <c r="N313" s="3" t="str">
        <f t="shared" si="18"/>
        <v>14</v>
      </c>
      <c r="O313" s="3">
        <f t="shared" si="19"/>
        <v>10</v>
      </c>
    </row>
    <row r="314" spans="1:15" x14ac:dyDescent="0.35">
      <c r="A314" s="1">
        <v>313</v>
      </c>
      <c r="B314" s="2">
        <v>40557</v>
      </c>
      <c r="C314" s="1">
        <v>1</v>
      </c>
      <c r="D314" s="1">
        <v>0</v>
      </c>
      <c r="E314" s="1">
        <v>1</v>
      </c>
      <c r="F314" s="1">
        <v>12</v>
      </c>
      <c r="G314" s="1" t="b">
        <v>0</v>
      </c>
      <c r="H314" s="1">
        <v>5</v>
      </c>
      <c r="I314" s="1">
        <v>1</v>
      </c>
      <c r="J314" s="1">
        <v>0.2</v>
      </c>
      <c r="L314" s="3" t="str">
        <f t="shared" si="16"/>
        <v>2011-01-14</v>
      </c>
      <c r="M314" s="3" t="str">
        <f t="shared" si="17"/>
        <v>2011</v>
      </c>
      <c r="N314" s="3" t="str">
        <f t="shared" si="18"/>
        <v>14</v>
      </c>
      <c r="O314" s="3">
        <f t="shared" si="19"/>
        <v>10</v>
      </c>
    </row>
    <row r="315" spans="1:15" x14ac:dyDescent="0.35">
      <c r="A315" s="1">
        <v>314</v>
      </c>
      <c r="B315" s="2">
        <v>40557</v>
      </c>
      <c r="C315" s="1">
        <v>1</v>
      </c>
      <c r="D315" s="1">
        <v>0</v>
      </c>
      <c r="E315" s="1">
        <v>1</v>
      </c>
      <c r="F315" s="1">
        <v>13</v>
      </c>
      <c r="G315" s="1" t="b">
        <v>0</v>
      </c>
      <c r="H315" s="1">
        <v>5</v>
      </c>
      <c r="I315" s="1">
        <v>1</v>
      </c>
      <c r="J315" s="1">
        <v>0.22</v>
      </c>
      <c r="L315" s="3" t="str">
        <f t="shared" si="16"/>
        <v>2011-01-14</v>
      </c>
      <c r="M315" s="3" t="str">
        <f t="shared" si="17"/>
        <v>2011</v>
      </c>
      <c r="N315" s="3" t="str">
        <f t="shared" si="18"/>
        <v>14</v>
      </c>
      <c r="O315" s="3">
        <f t="shared" si="19"/>
        <v>10</v>
      </c>
    </row>
    <row r="316" spans="1:15" x14ac:dyDescent="0.35">
      <c r="A316" s="1">
        <v>315</v>
      </c>
      <c r="B316" s="2">
        <v>40557</v>
      </c>
      <c r="C316" s="1">
        <v>1</v>
      </c>
      <c r="D316" s="1">
        <v>0</v>
      </c>
      <c r="E316" s="1">
        <v>1</v>
      </c>
      <c r="F316" s="1">
        <v>14</v>
      </c>
      <c r="G316" s="1" t="b">
        <v>0</v>
      </c>
      <c r="H316" s="1">
        <v>5</v>
      </c>
      <c r="I316" s="1">
        <v>1</v>
      </c>
      <c r="J316" s="1">
        <v>0.22</v>
      </c>
      <c r="L316" s="3" t="str">
        <f t="shared" si="16"/>
        <v>2011-01-14</v>
      </c>
      <c r="M316" s="3" t="str">
        <f t="shared" si="17"/>
        <v>2011</v>
      </c>
      <c r="N316" s="3" t="str">
        <f t="shared" si="18"/>
        <v>14</v>
      </c>
      <c r="O316" s="3">
        <f t="shared" si="19"/>
        <v>10</v>
      </c>
    </row>
    <row r="317" spans="1:15" x14ac:dyDescent="0.35">
      <c r="A317" s="1">
        <v>316</v>
      </c>
      <c r="B317" s="2">
        <v>40557</v>
      </c>
      <c r="C317" s="1">
        <v>1</v>
      </c>
      <c r="D317" s="1">
        <v>0</v>
      </c>
      <c r="E317" s="1">
        <v>1</v>
      </c>
      <c r="F317" s="1">
        <v>15</v>
      </c>
      <c r="G317" s="1" t="b">
        <v>0</v>
      </c>
      <c r="H317" s="1">
        <v>5</v>
      </c>
      <c r="I317" s="1">
        <v>1</v>
      </c>
      <c r="J317" s="1">
        <v>0.24</v>
      </c>
      <c r="L317" s="3" t="str">
        <f t="shared" si="16"/>
        <v>2011-01-14</v>
      </c>
      <c r="M317" s="3" t="str">
        <f t="shared" si="17"/>
        <v>2011</v>
      </c>
      <c r="N317" s="3" t="str">
        <f t="shared" si="18"/>
        <v>14</v>
      </c>
      <c r="O317" s="3">
        <f t="shared" si="19"/>
        <v>10</v>
      </c>
    </row>
    <row r="318" spans="1:15" x14ac:dyDescent="0.35">
      <c r="A318" s="1">
        <v>317</v>
      </c>
      <c r="B318" s="2">
        <v>40557</v>
      </c>
      <c r="C318" s="1">
        <v>1</v>
      </c>
      <c r="D318" s="1">
        <v>0</v>
      </c>
      <c r="E318" s="1">
        <v>1</v>
      </c>
      <c r="F318" s="1">
        <v>16</v>
      </c>
      <c r="G318" s="1" t="b">
        <v>0</v>
      </c>
      <c r="H318" s="1">
        <v>5</v>
      </c>
      <c r="I318" s="1">
        <v>1</v>
      </c>
      <c r="J318" s="1">
        <v>0.22</v>
      </c>
      <c r="L318" s="3" t="str">
        <f t="shared" si="16"/>
        <v>2011-01-14</v>
      </c>
      <c r="M318" s="3" t="str">
        <f t="shared" si="17"/>
        <v>2011</v>
      </c>
      <c r="N318" s="3" t="str">
        <f t="shared" si="18"/>
        <v>14</v>
      </c>
      <c r="O318" s="3">
        <f t="shared" si="19"/>
        <v>10</v>
      </c>
    </row>
    <row r="319" spans="1:15" x14ac:dyDescent="0.35">
      <c r="A319" s="1">
        <v>318</v>
      </c>
      <c r="B319" s="2">
        <v>40557</v>
      </c>
      <c r="C319" s="1">
        <v>1</v>
      </c>
      <c r="D319" s="1">
        <v>0</v>
      </c>
      <c r="E319" s="1">
        <v>1</v>
      </c>
      <c r="F319" s="1">
        <v>17</v>
      </c>
      <c r="G319" s="1" t="b">
        <v>0</v>
      </c>
      <c r="H319" s="1">
        <v>5</v>
      </c>
      <c r="I319" s="1">
        <v>1</v>
      </c>
      <c r="J319" s="1">
        <v>0.22</v>
      </c>
      <c r="L319" s="3" t="str">
        <f t="shared" si="16"/>
        <v>2011-01-14</v>
      </c>
      <c r="M319" s="3" t="str">
        <f t="shared" si="17"/>
        <v>2011</v>
      </c>
      <c r="N319" s="3" t="str">
        <f t="shared" si="18"/>
        <v>14</v>
      </c>
      <c r="O319" s="3">
        <f t="shared" si="19"/>
        <v>10</v>
      </c>
    </row>
    <row r="320" spans="1:15" x14ac:dyDescent="0.35">
      <c r="A320" s="1">
        <v>319</v>
      </c>
      <c r="B320" s="2">
        <v>40557</v>
      </c>
      <c r="C320" s="1">
        <v>1</v>
      </c>
      <c r="D320" s="1">
        <v>0</v>
      </c>
      <c r="E320" s="1">
        <v>1</v>
      </c>
      <c r="F320" s="1">
        <v>18</v>
      </c>
      <c r="G320" s="1" t="b">
        <v>0</v>
      </c>
      <c r="H320" s="1">
        <v>5</v>
      </c>
      <c r="I320" s="1">
        <v>1</v>
      </c>
      <c r="J320" s="1">
        <v>0.2</v>
      </c>
      <c r="L320" s="3" t="str">
        <f t="shared" si="16"/>
        <v>2011-01-14</v>
      </c>
      <c r="M320" s="3" t="str">
        <f t="shared" si="17"/>
        <v>2011</v>
      </c>
      <c r="N320" s="3" t="str">
        <f t="shared" si="18"/>
        <v>14</v>
      </c>
      <c r="O320" s="3">
        <f t="shared" si="19"/>
        <v>10</v>
      </c>
    </row>
    <row r="321" spans="1:15" x14ac:dyDescent="0.35">
      <c r="A321" s="1">
        <v>320</v>
      </c>
      <c r="B321" s="2">
        <v>40557</v>
      </c>
      <c r="C321" s="1">
        <v>1</v>
      </c>
      <c r="D321" s="1">
        <v>0</v>
      </c>
      <c r="E321" s="1">
        <v>1</v>
      </c>
      <c r="F321" s="1">
        <v>19</v>
      </c>
      <c r="G321" s="1" t="b">
        <v>0</v>
      </c>
      <c r="H321" s="1">
        <v>5</v>
      </c>
      <c r="I321" s="1">
        <v>1</v>
      </c>
      <c r="J321" s="1">
        <v>0.16</v>
      </c>
      <c r="L321" s="3" t="str">
        <f t="shared" si="16"/>
        <v>2011-01-14</v>
      </c>
      <c r="M321" s="3" t="str">
        <f t="shared" si="17"/>
        <v>2011</v>
      </c>
      <c r="N321" s="3" t="str">
        <f t="shared" si="18"/>
        <v>14</v>
      </c>
      <c r="O321" s="3">
        <f t="shared" si="19"/>
        <v>10</v>
      </c>
    </row>
    <row r="322" spans="1:15" x14ac:dyDescent="0.35">
      <c r="A322" s="1">
        <v>321</v>
      </c>
      <c r="B322" s="2">
        <v>40557</v>
      </c>
      <c r="C322" s="1">
        <v>1</v>
      </c>
      <c r="D322" s="1">
        <v>0</v>
      </c>
      <c r="E322" s="1">
        <v>1</v>
      </c>
      <c r="F322" s="1">
        <v>20</v>
      </c>
      <c r="G322" s="1" t="b">
        <v>0</v>
      </c>
      <c r="H322" s="1">
        <v>5</v>
      </c>
      <c r="I322" s="1">
        <v>1</v>
      </c>
      <c r="J322" s="1">
        <v>0.18</v>
      </c>
      <c r="L322" s="3" t="str">
        <f t="shared" si="16"/>
        <v>2011-01-14</v>
      </c>
      <c r="M322" s="3" t="str">
        <f t="shared" si="17"/>
        <v>2011</v>
      </c>
      <c r="N322" s="3" t="str">
        <f t="shared" si="18"/>
        <v>14</v>
      </c>
      <c r="O322" s="3">
        <f t="shared" si="19"/>
        <v>10</v>
      </c>
    </row>
    <row r="323" spans="1:15" x14ac:dyDescent="0.35">
      <c r="A323" s="1">
        <v>322</v>
      </c>
      <c r="B323" s="2">
        <v>40557</v>
      </c>
      <c r="C323" s="1">
        <v>1</v>
      </c>
      <c r="D323" s="1">
        <v>0</v>
      </c>
      <c r="E323" s="1">
        <v>1</v>
      </c>
      <c r="F323" s="1">
        <v>21</v>
      </c>
      <c r="G323" s="1" t="b">
        <v>0</v>
      </c>
      <c r="H323" s="1">
        <v>5</v>
      </c>
      <c r="I323" s="1">
        <v>1</v>
      </c>
      <c r="J323" s="1">
        <v>0.16</v>
      </c>
      <c r="L323" s="3" t="str">
        <f t="shared" ref="L323:L386" si="20">TEXT(B323,"yyyy-mm-dd")</f>
        <v>2011-01-14</v>
      </c>
      <c r="M323" s="3" t="str">
        <f t="shared" ref="M323:M386" si="21">LEFT(L323,4)</f>
        <v>2011</v>
      </c>
      <c r="N323" s="3" t="str">
        <f t="shared" ref="N323:N386" si="22">RIGHT(L323,2)</f>
        <v>14</v>
      </c>
      <c r="O323" s="3">
        <f t="shared" ref="O323:O386" si="23">LEN(L323)</f>
        <v>10</v>
      </c>
    </row>
    <row r="324" spans="1:15" x14ac:dyDescent="0.35">
      <c r="A324" s="1">
        <v>323</v>
      </c>
      <c r="B324" s="2">
        <v>40557</v>
      </c>
      <c r="C324" s="1">
        <v>1</v>
      </c>
      <c r="D324" s="1">
        <v>0</v>
      </c>
      <c r="E324" s="1">
        <v>1</v>
      </c>
      <c r="F324" s="1">
        <v>22</v>
      </c>
      <c r="G324" s="1" t="b">
        <v>0</v>
      </c>
      <c r="H324" s="1">
        <v>5</v>
      </c>
      <c r="I324" s="1">
        <v>2</v>
      </c>
      <c r="J324" s="1">
        <v>0.16</v>
      </c>
      <c r="L324" s="3" t="str">
        <f t="shared" si="20"/>
        <v>2011-01-14</v>
      </c>
      <c r="M324" s="3" t="str">
        <f t="shared" si="21"/>
        <v>2011</v>
      </c>
      <c r="N324" s="3" t="str">
        <f t="shared" si="22"/>
        <v>14</v>
      </c>
      <c r="O324" s="3">
        <f t="shared" si="23"/>
        <v>10</v>
      </c>
    </row>
    <row r="325" spans="1:15" x14ac:dyDescent="0.35">
      <c r="A325" s="1">
        <v>324</v>
      </c>
      <c r="B325" s="2">
        <v>40557</v>
      </c>
      <c r="C325" s="1">
        <v>1</v>
      </c>
      <c r="D325" s="1">
        <v>0</v>
      </c>
      <c r="E325" s="1">
        <v>1</v>
      </c>
      <c r="F325" s="1">
        <v>23</v>
      </c>
      <c r="G325" s="1" t="b">
        <v>0</v>
      </c>
      <c r="H325" s="1">
        <v>5</v>
      </c>
      <c r="I325" s="1">
        <v>2</v>
      </c>
      <c r="J325" s="1">
        <v>0.18</v>
      </c>
      <c r="L325" s="3" t="str">
        <f t="shared" si="20"/>
        <v>2011-01-14</v>
      </c>
      <c r="M325" s="3" t="str">
        <f t="shared" si="21"/>
        <v>2011</v>
      </c>
      <c r="N325" s="3" t="str">
        <f t="shared" si="22"/>
        <v>14</v>
      </c>
      <c r="O325" s="3">
        <f t="shared" si="23"/>
        <v>10</v>
      </c>
    </row>
    <row r="326" spans="1:15" x14ac:dyDescent="0.35">
      <c r="A326" s="1">
        <v>325</v>
      </c>
      <c r="B326" s="2">
        <v>40558</v>
      </c>
      <c r="C326" s="1">
        <v>1</v>
      </c>
      <c r="D326" s="1">
        <v>0</v>
      </c>
      <c r="E326" s="1">
        <v>1</v>
      </c>
      <c r="F326" s="1">
        <v>0</v>
      </c>
      <c r="G326" s="1" t="b">
        <v>0</v>
      </c>
      <c r="H326" s="1">
        <v>6</v>
      </c>
      <c r="I326" s="1">
        <v>1</v>
      </c>
      <c r="J326" s="1">
        <v>0.18</v>
      </c>
      <c r="L326" s="3" t="str">
        <f t="shared" si="20"/>
        <v>2011-01-15</v>
      </c>
      <c r="M326" s="3" t="str">
        <f t="shared" si="21"/>
        <v>2011</v>
      </c>
      <c r="N326" s="3" t="str">
        <f t="shared" si="22"/>
        <v>15</v>
      </c>
      <c r="O326" s="3">
        <f t="shared" si="23"/>
        <v>10</v>
      </c>
    </row>
    <row r="327" spans="1:15" x14ac:dyDescent="0.35">
      <c r="A327" s="1">
        <v>326</v>
      </c>
      <c r="B327" s="2">
        <v>40558</v>
      </c>
      <c r="C327" s="1">
        <v>1</v>
      </c>
      <c r="D327" s="1">
        <v>0</v>
      </c>
      <c r="E327" s="1">
        <v>1</v>
      </c>
      <c r="F327" s="1">
        <v>1</v>
      </c>
      <c r="G327" s="1" t="b">
        <v>0</v>
      </c>
      <c r="H327" s="1">
        <v>6</v>
      </c>
      <c r="I327" s="1">
        <v>2</v>
      </c>
      <c r="J327" s="1">
        <v>0.16</v>
      </c>
      <c r="L327" s="3" t="str">
        <f t="shared" si="20"/>
        <v>2011-01-15</v>
      </c>
      <c r="M327" s="3" t="str">
        <f t="shared" si="21"/>
        <v>2011</v>
      </c>
      <c r="N327" s="3" t="str">
        <f t="shared" si="22"/>
        <v>15</v>
      </c>
      <c r="O327" s="3">
        <f t="shared" si="23"/>
        <v>10</v>
      </c>
    </row>
    <row r="328" spans="1:15" x14ac:dyDescent="0.35">
      <c r="A328" s="1">
        <v>327</v>
      </c>
      <c r="B328" s="2">
        <v>40558</v>
      </c>
      <c r="C328" s="1">
        <v>1</v>
      </c>
      <c r="D328" s="1">
        <v>0</v>
      </c>
      <c r="E328" s="1">
        <v>1</v>
      </c>
      <c r="F328" s="1">
        <v>2</v>
      </c>
      <c r="G328" s="1" t="b">
        <v>0</v>
      </c>
      <c r="H328" s="1">
        <v>6</v>
      </c>
      <c r="I328" s="1">
        <v>2</v>
      </c>
      <c r="J328" s="1">
        <v>0.16</v>
      </c>
      <c r="L328" s="3" t="str">
        <f t="shared" si="20"/>
        <v>2011-01-15</v>
      </c>
      <c r="M328" s="3" t="str">
        <f t="shared" si="21"/>
        <v>2011</v>
      </c>
      <c r="N328" s="3" t="str">
        <f t="shared" si="22"/>
        <v>15</v>
      </c>
      <c r="O328" s="3">
        <f t="shared" si="23"/>
        <v>10</v>
      </c>
    </row>
    <row r="329" spans="1:15" x14ac:dyDescent="0.35">
      <c r="A329" s="1">
        <v>328</v>
      </c>
      <c r="B329" s="2">
        <v>40558</v>
      </c>
      <c r="C329" s="1">
        <v>1</v>
      </c>
      <c r="D329" s="1">
        <v>0</v>
      </c>
      <c r="E329" s="1">
        <v>1</v>
      </c>
      <c r="F329" s="1">
        <v>3</v>
      </c>
      <c r="G329" s="1" t="b">
        <v>0</v>
      </c>
      <c r="H329" s="1">
        <v>6</v>
      </c>
      <c r="I329" s="1">
        <v>2</v>
      </c>
      <c r="J329" s="1">
        <v>0.16</v>
      </c>
      <c r="L329" s="3" t="str">
        <f t="shared" si="20"/>
        <v>2011-01-15</v>
      </c>
      <c r="M329" s="3" t="str">
        <f t="shared" si="21"/>
        <v>2011</v>
      </c>
      <c r="N329" s="3" t="str">
        <f t="shared" si="22"/>
        <v>15</v>
      </c>
      <c r="O329" s="3">
        <f t="shared" si="23"/>
        <v>10</v>
      </c>
    </row>
    <row r="330" spans="1:15" x14ac:dyDescent="0.35">
      <c r="A330" s="1">
        <v>329</v>
      </c>
      <c r="B330" s="2">
        <v>40558</v>
      </c>
      <c r="C330" s="1">
        <v>1</v>
      </c>
      <c r="D330" s="1">
        <v>0</v>
      </c>
      <c r="E330" s="1">
        <v>1</v>
      </c>
      <c r="F330" s="1">
        <v>4</v>
      </c>
      <c r="G330" s="1" t="b">
        <v>0</v>
      </c>
      <c r="H330" s="1">
        <v>6</v>
      </c>
      <c r="I330" s="1">
        <v>2</v>
      </c>
      <c r="J330" s="1">
        <v>0.16</v>
      </c>
      <c r="L330" s="3" t="str">
        <f t="shared" si="20"/>
        <v>2011-01-15</v>
      </c>
      <c r="M330" s="3" t="str">
        <f t="shared" si="21"/>
        <v>2011</v>
      </c>
      <c r="N330" s="3" t="str">
        <f t="shared" si="22"/>
        <v>15</v>
      </c>
      <c r="O330" s="3">
        <f t="shared" si="23"/>
        <v>10</v>
      </c>
    </row>
    <row r="331" spans="1:15" x14ac:dyDescent="0.35">
      <c r="A331" s="1">
        <v>330</v>
      </c>
      <c r="B331" s="2">
        <v>40558</v>
      </c>
      <c r="C331" s="1">
        <v>1</v>
      </c>
      <c r="D331" s="1">
        <v>0</v>
      </c>
      <c r="E331" s="1">
        <v>1</v>
      </c>
      <c r="F331" s="1">
        <v>5</v>
      </c>
      <c r="G331" s="1" t="b">
        <v>0</v>
      </c>
      <c r="H331" s="1">
        <v>6</v>
      </c>
      <c r="I331" s="1">
        <v>1</v>
      </c>
      <c r="J331" s="1">
        <v>0.16</v>
      </c>
      <c r="L331" s="3" t="str">
        <f t="shared" si="20"/>
        <v>2011-01-15</v>
      </c>
      <c r="M331" s="3" t="str">
        <f t="shared" si="21"/>
        <v>2011</v>
      </c>
      <c r="N331" s="3" t="str">
        <f t="shared" si="22"/>
        <v>15</v>
      </c>
      <c r="O331" s="3">
        <f t="shared" si="23"/>
        <v>10</v>
      </c>
    </row>
    <row r="332" spans="1:15" x14ac:dyDescent="0.35">
      <c r="A332" s="1">
        <v>331</v>
      </c>
      <c r="B332" s="2">
        <v>40558</v>
      </c>
      <c r="C332" s="1">
        <v>1</v>
      </c>
      <c r="D332" s="1">
        <v>0</v>
      </c>
      <c r="E332" s="1">
        <v>1</v>
      </c>
      <c r="F332" s="1">
        <v>6</v>
      </c>
      <c r="G332" s="1" t="b">
        <v>0</v>
      </c>
      <c r="H332" s="1">
        <v>6</v>
      </c>
      <c r="I332" s="1">
        <v>1</v>
      </c>
      <c r="J332" s="1">
        <v>0.14000000000000001</v>
      </c>
      <c r="L332" s="3" t="str">
        <f t="shared" si="20"/>
        <v>2011-01-15</v>
      </c>
      <c r="M332" s="3" t="str">
        <f t="shared" si="21"/>
        <v>2011</v>
      </c>
      <c r="N332" s="3" t="str">
        <f t="shared" si="22"/>
        <v>15</v>
      </c>
      <c r="O332" s="3">
        <f t="shared" si="23"/>
        <v>10</v>
      </c>
    </row>
    <row r="333" spans="1:15" x14ac:dyDescent="0.35">
      <c r="A333" s="1">
        <v>332</v>
      </c>
      <c r="B333" s="2">
        <v>40558</v>
      </c>
      <c r="C333" s="1">
        <v>1</v>
      </c>
      <c r="D333" s="1">
        <v>0</v>
      </c>
      <c r="E333" s="1">
        <v>1</v>
      </c>
      <c r="F333" s="1">
        <v>7</v>
      </c>
      <c r="G333" s="1" t="b">
        <v>0</v>
      </c>
      <c r="H333" s="1">
        <v>6</v>
      </c>
      <c r="I333" s="1">
        <v>1</v>
      </c>
      <c r="J333" s="1">
        <v>0.14000000000000001</v>
      </c>
      <c r="L333" s="3" t="str">
        <f t="shared" si="20"/>
        <v>2011-01-15</v>
      </c>
      <c r="M333" s="3" t="str">
        <f t="shared" si="21"/>
        <v>2011</v>
      </c>
      <c r="N333" s="3" t="str">
        <f t="shared" si="22"/>
        <v>15</v>
      </c>
      <c r="O333" s="3">
        <f t="shared" si="23"/>
        <v>10</v>
      </c>
    </row>
    <row r="334" spans="1:15" x14ac:dyDescent="0.35">
      <c r="A334" s="1">
        <v>333</v>
      </c>
      <c r="B334" s="2">
        <v>40558</v>
      </c>
      <c r="C334" s="1">
        <v>1</v>
      </c>
      <c r="D334" s="1">
        <v>0</v>
      </c>
      <c r="E334" s="1">
        <v>1</v>
      </c>
      <c r="F334" s="1">
        <v>8</v>
      </c>
      <c r="G334" s="1" t="b">
        <v>0</v>
      </c>
      <c r="H334" s="1">
        <v>6</v>
      </c>
      <c r="I334" s="1">
        <v>1</v>
      </c>
      <c r="J334" s="1">
        <v>0.14000000000000001</v>
      </c>
      <c r="L334" s="3" t="str">
        <f t="shared" si="20"/>
        <v>2011-01-15</v>
      </c>
      <c r="M334" s="3" t="str">
        <f t="shared" si="21"/>
        <v>2011</v>
      </c>
      <c r="N334" s="3" t="str">
        <f t="shared" si="22"/>
        <v>15</v>
      </c>
      <c r="O334" s="3">
        <f t="shared" si="23"/>
        <v>10</v>
      </c>
    </row>
    <row r="335" spans="1:15" x14ac:dyDescent="0.35">
      <c r="A335" s="1">
        <v>334</v>
      </c>
      <c r="B335" s="2">
        <v>40558</v>
      </c>
      <c r="C335" s="1">
        <v>1</v>
      </c>
      <c r="D335" s="1">
        <v>0</v>
      </c>
      <c r="E335" s="1">
        <v>1</v>
      </c>
      <c r="F335" s="1">
        <v>9</v>
      </c>
      <c r="G335" s="1" t="b">
        <v>0</v>
      </c>
      <c r="H335" s="1">
        <v>6</v>
      </c>
      <c r="I335" s="1">
        <v>1</v>
      </c>
      <c r="J335" s="1">
        <v>0.16</v>
      </c>
      <c r="L335" s="3" t="str">
        <f t="shared" si="20"/>
        <v>2011-01-15</v>
      </c>
      <c r="M335" s="3" t="str">
        <f t="shared" si="21"/>
        <v>2011</v>
      </c>
      <c r="N335" s="3" t="str">
        <f t="shared" si="22"/>
        <v>15</v>
      </c>
      <c r="O335" s="3">
        <f t="shared" si="23"/>
        <v>10</v>
      </c>
    </row>
    <row r="336" spans="1:15" x14ac:dyDescent="0.35">
      <c r="A336" s="1">
        <v>335</v>
      </c>
      <c r="B336" s="2">
        <v>40558</v>
      </c>
      <c r="C336" s="1">
        <v>1</v>
      </c>
      <c r="D336" s="1">
        <v>0</v>
      </c>
      <c r="E336" s="1">
        <v>1</v>
      </c>
      <c r="F336" s="1">
        <v>10</v>
      </c>
      <c r="G336" s="1" t="b">
        <v>0</v>
      </c>
      <c r="H336" s="1">
        <v>6</v>
      </c>
      <c r="I336" s="1">
        <v>1</v>
      </c>
      <c r="J336" s="1">
        <v>0.18</v>
      </c>
      <c r="L336" s="3" t="str">
        <f t="shared" si="20"/>
        <v>2011-01-15</v>
      </c>
      <c r="M336" s="3" t="str">
        <f t="shared" si="21"/>
        <v>2011</v>
      </c>
      <c r="N336" s="3" t="str">
        <f t="shared" si="22"/>
        <v>15</v>
      </c>
      <c r="O336" s="3">
        <f t="shared" si="23"/>
        <v>10</v>
      </c>
    </row>
    <row r="337" spans="1:15" x14ac:dyDescent="0.35">
      <c r="A337" s="1">
        <v>336</v>
      </c>
      <c r="B337" s="2">
        <v>40558</v>
      </c>
      <c r="C337" s="1">
        <v>1</v>
      </c>
      <c r="D337" s="1">
        <v>0</v>
      </c>
      <c r="E337" s="1">
        <v>1</v>
      </c>
      <c r="F337" s="1">
        <v>11</v>
      </c>
      <c r="G337" s="1" t="b">
        <v>0</v>
      </c>
      <c r="H337" s="1">
        <v>6</v>
      </c>
      <c r="I337" s="1">
        <v>1</v>
      </c>
      <c r="J337" s="1">
        <v>0.2</v>
      </c>
      <c r="L337" s="3" t="str">
        <f t="shared" si="20"/>
        <v>2011-01-15</v>
      </c>
      <c r="M337" s="3" t="str">
        <f t="shared" si="21"/>
        <v>2011</v>
      </c>
      <c r="N337" s="3" t="str">
        <f t="shared" si="22"/>
        <v>15</v>
      </c>
      <c r="O337" s="3">
        <f t="shared" si="23"/>
        <v>10</v>
      </c>
    </row>
    <row r="338" spans="1:15" x14ac:dyDescent="0.35">
      <c r="A338" s="1">
        <v>337</v>
      </c>
      <c r="B338" s="2">
        <v>40558</v>
      </c>
      <c r="C338" s="1">
        <v>1</v>
      </c>
      <c r="D338" s="1">
        <v>0</v>
      </c>
      <c r="E338" s="1">
        <v>1</v>
      </c>
      <c r="F338" s="1">
        <v>12</v>
      </c>
      <c r="G338" s="1" t="b">
        <v>0</v>
      </c>
      <c r="H338" s="1">
        <v>6</v>
      </c>
      <c r="I338" s="1">
        <v>1</v>
      </c>
      <c r="J338" s="1">
        <v>0.24</v>
      </c>
      <c r="L338" s="3" t="str">
        <f t="shared" si="20"/>
        <v>2011-01-15</v>
      </c>
      <c r="M338" s="3" t="str">
        <f t="shared" si="21"/>
        <v>2011</v>
      </c>
      <c r="N338" s="3" t="str">
        <f t="shared" si="22"/>
        <v>15</v>
      </c>
      <c r="O338" s="3">
        <f t="shared" si="23"/>
        <v>10</v>
      </c>
    </row>
    <row r="339" spans="1:15" x14ac:dyDescent="0.35">
      <c r="A339" s="1">
        <v>338</v>
      </c>
      <c r="B339" s="2">
        <v>40558</v>
      </c>
      <c r="C339" s="1">
        <v>1</v>
      </c>
      <c r="D339" s="1">
        <v>0</v>
      </c>
      <c r="E339" s="1">
        <v>1</v>
      </c>
      <c r="F339" s="1">
        <v>13</v>
      </c>
      <c r="G339" s="1" t="b">
        <v>0</v>
      </c>
      <c r="H339" s="1">
        <v>6</v>
      </c>
      <c r="I339" s="1">
        <v>1</v>
      </c>
      <c r="J339" s="1">
        <v>0.28000000000000003</v>
      </c>
      <c r="L339" s="3" t="str">
        <f t="shared" si="20"/>
        <v>2011-01-15</v>
      </c>
      <c r="M339" s="3" t="str">
        <f t="shared" si="21"/>
        <v>2011</v>
      </c>
      <c r="N339" s="3" t="str">
        <f t="shared" si="22"/>
        <v>15</v>
      </c>
      <c r="O339" s="3">
        <f t="shared" si="23"/>
        <v>10</v>
      </c>
    </row>
    <row r="340" spans="1:15" x14ac:dyDescent="0.35">
      <c r="A340" s="1">
        <v>339</v>
      </c>
      <c r="B340" s="2">
        <v>40558</v>
      </c>
      <c r="C340" s="1">
        <v>1</v>
      </c>
      <c r="D340" s="1">
        <v>0</v>
      </c>
      <c r="E340" s="1">
        <v>1</v>
      </c>
      <c r="F340" s="1">
        <v>14</v>
      </c>
      <c r="G340" s="1" t="b">
        <v>0</v>
      </c>
      <c r="H340" s="1">
        <v>6</v>
      </c>
      <c r="I340" s="1">
        <v>1</v>
      </c>
      <c r="J340" s="1">
        <v>0.3</v>
      </c>
      <c r="L340" s="3" t="str">
        <f t="shared" si="20"/>
        <v>2011-01-15</v>
      </c>
      <c r="M340" s="3" t="str">
        <f t="shared" si="21"/>
        <v>2011</v>
      </c>
      <c r="N340" s="3" t="str">
        <f t="shared" si="22"/>
        <v>15</v>
      </c>
      <c r="O340" s="3">
        <f t="shared" si="23"/>
        <v>10</v>
      </c>
    </row>
    <row r="341" spans="1:15" x14ac:dyDescent="0.35">
      <c r="A341" s="1">
        <v>340</v>
      </c>
      <c r="B341" s="2">
        <v>40558</v>
      </c>
      <c r="C341" s="1">
        <v>1</v>
      </c>
      <c r="D341" s="1">
        <v>0</v>
      </c>
      <c r="E341" s="1">
        <v>1</v>
      </c>
      <c r="F341" s="1">
        <v>15</v>
      </c>
      <c r="G341" s="1" t="b">
        <v>0</v>
      </c>
      <c r="H341" s="1">
        <v>6</v>
      </c>
      <c r="I341" s="1">
        <v>2</v>
      </c>
      <c r="J341" s="1">
        <v>0.32</v>
      </c>
      <c r="L341" s="3" t="str">
        <f t="shared" si="20"/>
        <v>2011-01-15</v>
      </c>
      <c r="M341" s="3" t="str">
        <f t="shared" si="21"/>
        <v>2011</v>
      </c>
      <c r="N341" s="3" t="str">
        <f t="shared" si="22"/>
        <v>15</v>
      </c>
      <c r="O341" s="3">
        <f t="shared" si="23"/>
        <v>10</v>
      </c>
    </row>
    <row r="342" spans="1:15" x14ac:dyDescent="0.35">
      <c r="A342" s="1">
        <v>341</v>
      </c>
      <c r="B342" s="2">
        <v>40558</v>
      </c>
      <c r="C342" s="1">
        <v>1</v>
      </c>
      <c r="D342" s="1">
        <v>0</v>
      </c>
      <c r="E342" s="1">
        <v>1</v>
      </c>
      <c r="F342" s="1">
        <v>16</v>
      </c>
      <c r="G342" s="1" t="b">
        <v>0</v>
      </c>
      <c r="H342" s="1">
        <v>6</v>
      </c>
      <c r="I342" s="1">
        <v>2</v>
      </c>
      <c r="J342" s="1">
        <v>0.34</v>
      </c>
      <c r="L342" s="3" t="str">
        <f t="shared" si="20"/>
        <v>2011-01-15</v>
      </c>
      <c r="M342" s="3" t="str">
        <f t="shared" si="21"/>
        <v>2011</v>
      </c>
      <c r="N342" s="3" t="str">
        <f t="shared" si="22"/>
        <v>15</v>
      </c>
      <c r="O342" s="3">
        <f t="shared" si="23"/>
        <v>10</v>
      </c>
    </row>
    <row r="343" spans="1:15" x14ac:dyDescent="0.35">
      <c r="A343" s="1">
        <v>342</v>
      </c>
      <c r="B343" s="2">
        <v>40558</v>
      </c>
      <c r="C343" s="1">
        <v>1</v>
      </c>
      <c r="D343" s="1">
        <v>0</v>
      </c>
      <c r="E343" s="1">
        <v>1</v>
      </c>
      <c r="F343" s="1">
        <v>17</v>
      </c>
      <c r="G343" s="1" t="b">
        <v>0</v>
      </c>
      <c r="H343" s="1">
        <v>6</v>
      </c>
      <c r="I343" s="1">
        <v>2</v>
      </c>
      <c r="J343" s="1">
        <v>0.32</v>
      </c>
      <c r="L343" s="3" t="str">
        <f t="shared" si="20"/>
        <v>2011-01-15</v>
      </c>
      <c r="M343" s="3" t="str">
        <f t="shared" si="21"/>
        <v>2011</v>
      </c>
      <c r="N343" s="3" t="str">
        <f t="shared" si="22"/>
        <v>15</v>
      </c>
      <c r="O343" s="3">
        <f t="shared" si="23"/>
        <v>10</v>
      </c>
    </row>
    <row r="344" spans="1:15" x14ac:dyDescent="0.35">
      <c r="A344" s="1">
        <v>343</v>
      </c>
      <c r="B344" s="2">
        <v>40558</v>
      </c>
      <c r="C344" s="1">
        <v>1</v>
      </c>
      <c r="D344" s="1">
        <v>0</v>
      </c>
      <c r="E344" s="1">
        <v>1</v>
      </c>
      <c r="F344" s="1">
        <v>18</v>
      </c>
      <c r="G344" s="1" t="b">
        <v>0</v>
      </c>
      <c r="H344" s="1">
        <v>6</v>
      </c>
      <c r="I344" s="1">
        <v>2</v>
      </c>
      <c r="J344" s="1">
        <v>0.3</v>
      </c>
      <c r="L344" s="3" t="str">
        <f t="shared" si="20"/>
        <v>2011-01-15</v>
      </c>
      <c r="M344" s="3" t="str">
        <f t="shared" si="21"/>
        <v>2011</v>
      </c>
      <c r="N344" s="3" t="str">
        <f t="shared" si="22"/>
        <v>15</v>
      </c>
      <c r="O344" s="3">
        <f t="shared" si="23"/>
        <v>10</v>
      </c>
    </row>
    <row r="345" spans="1:15" x14ac:dyDescent="0.35">
      <c r="A345" s="1">
        <v>344</v>
      </c>
      <c r="B345" s="2">
        <v>40558</v>
      </c>
      <c r="C345" s="1">
        <v>1</v>
      </c>
      <c r="D345" s="1">
        <v>0</v>
      </c>
      <c r="E345" s="1">
        <v>1</v>
      </c>
      <c r="F345" s="1">
        <v>19</v>
      </c>
      <c r="G345" s="1" t="b">
        <v>0</v>
      </c>
      <c r="H345" s="1">
        <v>6</v>
      </c>
      <c r="I345" s="1">
        <v>2</v>
      </c>
      <c r="J345" s="1">
        <v>0.32</v>
      </c>
      <c r="L345" s="3" t="str">
        <f t="shared" si="20"/>
        <v>2011-01-15</v>
      </c>
      <c r="M345" s="3" t="str">
        <f t="shared" si="21"/>
        <v>2011</v>
      </c>
      <c r="N345" s="3" t="str">
        <f t="shared" si="22"/>
        <v>15</v>
      </c>
      <c r="O345" s="3">
        <f t="shared" si="23"/>
        <v>10</v>
      </c>
    </row>
    <row r="346" spans="1:15" x14ac:dyDescent="0.35">
      <c r="A346" s="1">
        <v>345</v>
      </c>
      <c r="B346" s="2">
        <v>40558</v>
      </c>
      <c r="C346" s="1">
        <v>1</v>
      </c>
      <c r="D346" s="1">
        <v>0</v>
      </c>
      <c r="E346" s="1">
        <v>1</v>
      </c>
      <c r="F346" s="1">
        <v>20</v>
      </c>
      <c r="G346" s="1" t="b">
        <v>0</v>
      </c>
      <c r="H346" s="1">
        <v>6</v>
      </c>
      <c r="I346" s="1">
        <v>2</v>
      </c>
      <c r="J346" s="1">
        <v>0.32</v>
      </c>
      <c r="L346" s="3" t="str">
        <f t="shared" si="20"/>
        <v>2011-01-15</v>
      </c>
      <c r="M346" s="3" t="str">
        <f t="shared" si="21"/>
        <v>2011</v>
      </c>
      <c r="N346" s="3" t="str">
        <f t="shared" si="22"/>
        <v>15</v>
      </c>
      <c r="O346" s="3">
        <f t="shared" si="23"/>
        <v>10</v>
      </c>
    </row>
    <row r="347" spans="1:15" x14ac:dyDescent="0.35">
      <c r="A347" s="1">
        <v>346</v>
      </c>
      <c r="B347" s="2">
        <v>40558</v>
      </c>
      <c r="C347" s="1">
        <v>1</v>
      </c>
      <c r="D347" s="1">
        <v>0</v>
      </c>
      <c r="E347" s="1">
        <v>1</v>
      </c>
      <c r="F347" s="1">
        <v>21</v>
      </c>
      <c r="G347" s="1" t="b">
        <v>0</v>
      </c>
      <c r="H347" s="1">
        <v>6</v>
      </c>
      <c r="I347" s="1">
        <v>2</v>
      </c>
      <c r="J347" s="1">
        <v>0.32</v>
      </c>
      <c r="L347" s="3" t="str">
        <f t="shared" si="20"/>
        <v>2011-01-15</v>
      </c>
      <c r="M347" s="3" t="str">
        <f t="shared" si="21"/>
        <v>2011</v>
      </c>
      <c r="N347" s="3" t="str">
        <f t="shared" si="22"/>
        <v>15</v>
      </c>
      <c r="O347" s="3">
        <f t="shared" si="23"/>
        <v>10</v>
      </c>
    </row>
    <row r="348" spans="1:15" x14ac:dyDescent="0.35">
      <c r="A348" s="1">
        <v>347</v>
      </c>
      <c r="B348" s="2">
        <v>40558</v>
      </c>
      <c r="C348" s="1">
        <v>1</v>
      </c>
      <c r="D348" s="1">
        <v>0</v>
      </c>
      <c r="E348" s="1">
        <v>1</v>
      </c>
      <c r="F348" s="1">
        <v>22</v>
      </c>
      <c r="G348" s="1" t="b">
        <v>0</v>
      </c>
      <c r="H348" s="1">
        <v>6</v>
      </c>
      <c r="I348" s="1">
        <v>2</v>
      </c>
      <c r="J348" s="1">
        <v>0.3</v>
      </c>
      <c r="L348" s="3" t="str">
        <f t="shared" si="20"/>
        <v>2011-01-15</v>
      </c>
      <c r="M348" s="3" t="str">
        <f t="shared" si="21"/>
        <v>2011</v>
      </c>
      <c r="N348" s="3" t="str">
        <f t="shared" si="22"/>
        <v>15</v>
      </c>
      <c r="O348" s="3">
        <f t="shared" si="23"/>
        <v>10</v>
      </c>
    </row>
    <row r="349" spans="1:15" x14ac:dyDescent="0.35">
      <c r="A349" s="1">
        <v>348</v>
      </c>
      <c r="B349" s="2">
        <v>40558</v>
      </c>
      <c r="C349" s="1">
        <v>1</v>
      </c>
      <c r="D349" s="1">
        <v>0</v>
      </c>
      <c r="E349" s="1">
        <v>1</v>
      </c>
      <c r="F349" s="1">
        <v>23</v>
      </c>
      <c r="G349" s="1" t="b">
        <v>0</v>
      </c>
      <c r="H349" s="1">
        <v>6</v>
      </c>
      <c r="I349" s="1">
        <v>1</v>
      </c>
      <c r="J349" s="1">
        <v>0.3</v>
      </c>
      <c r="L349" s="3" t="str">
        <f t="shared" si="20"/>
        <v>2011-01-15</v>
      </c>
      <c r="M349" s="3" t="str">
        <f t="shared" si="21"/>
        <v>2011</v>
      </c>
      <c r="N349" s="3" t="str">
        <f t="shared" si="22"/>
        <v>15</v>
      </c>
      <c r="O349" s="3">
        <f t="shared" si="23"/>
        <v>10</v>
      </c>
    </row>
    <row r="350" spans="1:15" x14ac:dyDescent="0.35">
      <c r="A350" s="1">
        <v>349</v>
      </c>
      <c r="B350" s="2">
        <v>40559</v>
      </c>
      <c r="C350" s="1">
        <v>1</v>
      </c>
      <c r="D350" s="1">
        <v>0</v>
      </c>
      <c r="E350" s="1">
        <v>1</v>
      </c>
      <c r="F350" s="1">
        <v>0</v>
      </c>
      <c r="G350" s="1" t="b">
        <v>0</v>
      </c>
      <c r="H350" s="1">
        <v>0</v>
      </c>
      <c r="I350" s="1">
        <v>1</v>
      </c>
      <c r="J350" s="1">
        <v>0.26</v>
      </c>
      <c r="L350" s="3" t="str">
        <f t="shared" si="20"/>
        <v>2011-01-16</v>
      </c>
      <c r="M350" s="3" t="str">
        <f t="shared" si="21"/>
        <v>2011</v>
      </c>
      <c r="N350" s="3" t="str">
        <f t="shared" si="22"/>
        <v>16</v>
      </c>
      <c r="O350" s="3">
        <f t="shared" si="23"/>
        <v>10</v>
      </c>
    </row>
    <row r="351" spans="1:15" x14ac:dyDescent="0.35">
      <c r="A351" s="1">
        <v>350</v>
      </c>
      <c r="B351" s="2">
        <v>40559</v>
      </c>
      <c r="C351" s="1">
        <v>1</v>
      </c>
      <c r="D351" s="1">
        <v>0</v>
      </c>
      <c r="E351" s="1">
        <v>1</v>
      </c>
      <c r="F351" s="1">
        <v>1</v>
      </c>
      <c r="G351" s="1" t="b">
        <v>0</v>
      </c>
      <c r="H351" s="1">
        <v>0</v>
      </c>
      <c r="I351" s="1">
        <v>1</v>
      </c>
      <c r="J351" s="1">
        <v>0.26</v>
      </c>
      <c r="L351" s="3" t="str">
        <f t="shared" si="20"/>
        <v>2011-01-16</v>
      </c>
      <c r="M351" s="3" t="str">
        <f t="shared" si="21"/>
        <v>2011</v>
      </c>
      <c r="N351" s="3" t="str">
        <f t="shared" si="22"/>
        <v>16</v>
      </c>
      <c r="O351" s="3">
        <f t="shared" si="23"/>
        <v>10</v>
      </c>
    </row>
    <row r="352" spans="1:15" x14ac:dyDescent="0.35">
      <c r="A352" s="1">
        <v>351</v>
      </c>
      <c r="B352" s="2">
        <v>40559</v>
      </c>
      <c r="C352" s="1">
        <v>1</v>
      </c>
      <c r="D352" s="1">
        <v>0</v>
      </c>
      <c r="E352" s="1">
        <v>1</v>
      </c>
      <c r="F352" s="1">
        <v>2</v>
      </c>
      <c r="G352" s="1" t="b">
        <v>0</v>
      </c>
      <c r="H352" s="1">
        <v>0</v>
      </c>
      <c r="I352" s="1">
        <v>1</v>
      </c>
      <c r="J352" s="1">
        <v>0.26</v>
      </c>
      <c r="L352" s="3" t="str">
        <f t="shared" si="20"/>
        <v>2011-01-16</v>
      </c>
      <c r="M352" s="3" t="str">
        <f t="shared" si="21"/>
        <v>2011</v>
      </c>
      <c r="N352" s="3" t="str">
        <f t="shared" si="22"/>
        <v>16</v>
      </c>
      <c r="O352" s="3">
        <f t="shared" si="23"/>
        <v>10</v>
      </c>
    </row>
    <row r="353" spans="1:15" x14ac:dyDescent="0.35">
      <c r="A353" s="1">
        <v>352</v>
      </c>
      <c r="B353" s="2">
        <v>40559</v>
      </c>
      <c r="C353" s="1">
        <v>1</v>
      </c>
      <c r="D353" s="1">
        <v>0</v>
      </c>
      <c r="E353" s="1">
        <v>1</v>
      </c>
      <c r="F353" s="1">
        <v>3</v>
      </c>
      <c r="G353" s="1" t="b">
        <v>0</v>
      </c>
      <c r="H353" s="1">
        <v>0</v>
      </c>
      <c r="I353" s="1">
        <v>1</v>
      </c>
      <c r="J353" s="1">
        <v>0.22</v>
      </c>
      <c r="L353" s="3" t="str">
        <f t="shared" si="20"/>
        <v>2011-01-16</v>
      </c>
      <c r="M353" s="3" t="str">
        <f t="shared" si="21"/>
        <v>2011</v>
      </c>
      <c r="N353" s="3" t="str">
        <f t="shared" si="22"/>
        <v>16</v>
      </c>
      <c r="O353" s="3">
        <f t="shared" si="23"/>
        <v>10</v>
      </c>
    </row>
    <row r="354" spans="1:15" x14ac:dyDescent="0.35">
      <c r="A354" s="1">
        <v>353</v>
      </c>
      <c r="B354" s="2">
        <v>40559</v>
      </c>
      <c r="C354" s="1">
        <v>1</v>
      </c>
      <c r="D354" s="1">
        <v>0</v>
      </c>
      <c r="E354" s="1">
        <v>1</v>
      </c>
      <c r="F354" s="1">
        <v>4</v>
      </c>
      <c r="G354" s="1" t="b">
        <v>0</v>
      </c>
      <c r="H354" s="1">
        <v>0</v>
      </c>
      <c r="I354" s="1">
        <v>1</v>
      </c>
      <c r="J354" s="1">
        <v>0.26</v>
      </c>
      <c r="L354" s="3" t="str">
        <f t="shared" si="20"/>
        <v>2011-01-16</v>
      </c>
      <c r="M354" s="3" t="str">
        <f t="shared" si="21"/>
        <v>2011</v>
      </c>
      <c r="N354" s="3" t="str">
        <f t="shared" si="22"/>
        <v>16</v>
      </c>
      <c r="O354" s="3">
        <f t="shared" si="23"/>
        <v>10</v>
      </c>
    </row>
    <row r="355" spans="1:15" x14ac:dyDescent="0.35">
      <c r="A355" s="1">
        <v>354</v>
      </c>
      <c r="B355" s="2">
        <v>40559</v>
      </c>
      <c r="C355" s="1">
        <v>1</v>
      </c>
      <c r="D355" s="1">
        <v>0</v>
      </c>
      <c r="E355" s="1">
        <v>1</v>
      </c>
      <c r="F355" s="1">
        <v>5</v>
      </c>
      <c r="G355" s="1" t="b">
        <v>0</v>
      </c>
      <c r="H355" s="1">
        <v>0</v>
      </c>
      <c r="I355" s="1">
        <v>2</v>
      </c>
      <c r="J355" s="1">
        <v>0.26</v>
      </c>
      <c r="L355" s="3" t="str">
        <f t="shared" si="20"/>
        <v>2011-01-16</v>
      </c>
      <c r="M355" s="3" t="str">
        <f t="shared" si="21"/>
        <v>2011</v>
      </c>
      <c r="N355" s="3" t="str">
        <f t="shared" si="22"/>
        <v>16</v>
      </c>
      <c r="O355" s="3">
        <f t="shared" si="23"/>
        <v>10</v>
      </c>
    </row>
    <row r="356" spans="1:15" x14ac:dyDescent="0.35">
      <c r="A356" s="1">
        <v>355</v>
      </c>
      <c r="B356" s="2">
        <v>40559</v>
      </c>
      <c r="C356" s="1">
        <v>1</v>
      </c>
      <c r="D356" s="1">
        <v>0</v>
      </c>
      <c r="E356" s="1">
        <v>1</v>
      </c>
      <c r="F356" s="1">
        <v>6</v>
      </c>
      <c r="G356" s="1" t="b">
        <v>0</v>
      </c>
      <c r="H356" s="1">
        <v>0</v>
      </c>
      <c r="I356" s="1">
        <v>2</v>
      </c>
      <c r="J356" s="1">
        <v>0.26</v>
      </c>
      <c r="L356" s="3" t="str">
        <f t="shared" si="20"/>
        <v>2011-01-16</v>
      </c>
      <c r="M356" s="3" t="str">
        <f t="shared" si="21"/>
        <v>2011</v>
      </c>
      <c r="N356" s="3" t="str">
        <f t="shared" si="22"/>
        <v>16</v>
      </c>
      <c r="O356" s="3">
        <f t="shared" si="23"/>
        <v>10</v>
      </c>
    </row>
    <row r="357" spans="1:15" x14ac:dyDescent="0.35">
      <c r="A357" s="1">
        <v>356</v>
      </c>
      <c r="B357" s="2">
        <v>40559</v>
      </c>
      <c r="C357" s="1">
        <v>1</v>
      </c>
      <c r="D357" s="1">
        <v>0</v>
      </c>
      <c r="E357" s="1">
        <v>1</v>
      </c>
      <c r="F357" s="1">
        <v>7</v>
      </c>
      <c r="G357" s="1" t="b">
        <v>0</v>
      </c>
      <c r="H357" s="1">
        <v>0</v>
      </c>
      <c r="I357" s="1">
        <v>2</v>
      </c>
      <c r="J357" s="1">
        <v>0.24</v>
      </c>
      <c r="L357" s="3" t="str">
        <f t="shared" si="20"/>
        <v>2011-01-16</v>
      </c>
      <c r="M357" s="3" t="str">
        <f t="shared" si="21"/>
        <v>2011</v>
      </c>
      <c r="N357" s="3" t="str">
        <f t="shared" si="22"/>
        <v>16</v>
      </c>
      <c r="O357" s="3">
        <f t="shared" si="23"/>
        <v>10</v>
      </c>
    </row>
    <row r="358" spans="1:15" x14ac:dyDescent="0.35">
      <c r="A358" s="1">
        <v>357</v>
      </c>
      <c r="B358" s="2">
        <v>40559</v>
      </c>
      <c r="C358" s="1">
        <v>1</v>
      </c>
      <c r="D358" s="1">
        <v>0</v>
      </c>
      <c r="E358" s="1">
        <v>1</v>
      </c>
      <c r="F358" s="1">
        <v>8</v>
      </c>
      <c r="G358" s="1" t="b">
        <v>0</v>
      </c>
      <c r="H358" s="1">
        <v>0</v>
      </c>
      <c r="I358" s="1">
        <v>1</v>
      </c>
      <c r="J358" s="1">
        <v>0.22</v>
      </c>
      <c r="L358" s="3" t="str">
        <f t="shared" si="20"/>
        <v>2011-01-16</v>
      </c>
      <c r="M358" s="3" t="str">
        <f t="shared" si="21"/>
        <v>2011</v>
      </c>
      <c r="N358" s="3" t="str">
        <f t="shared" si="22"/>
        <v>16</v>
      </c>
      <c r="O358" s="3">
        <f t="shared" si="23"/>
        <v>10</v>
      </c>
    </row>
    <row r="359" spans="1:15" x14ac:dyDescent="0.35">
      <c r="A359" s="1">
        <v>358</v>
      </c>
      <c r="B359" s="2">
        <v>40559</v>
      </c>
      <c r="C359" s="1">
        <v>1</v>
      </c>
      <c r="D359" s="1">
        <v>0</v>
      </c>
      <c r="E359" s="1">
        <v>1</v>
      </c>
      <c r="F359" s="1">
        <v>9</v>
      </c>
      <c r="G359" s="1" t="b">
        <v>0</v>
      </c>
      <c r="H359" s="1">
        <v>0</v>
      </c>
      <c r="I359" s="1">
        <v>1</v>
      </c>
      <c r="J359" s="1">
        <v>0.22</v>
      </c>
      <c r="L359" s="3" t="str">
        <f t="shared" si="20"/>
        <v>2011-01-16</v>
      </c>
      <c r="M359" s="3" t="str">
        <f t="shared" si="21"/>
        <v>2011</v>
      </c>
      <c r="N359" s="3" t="str">
        <f t="shared" si="22"/>
        <v>16</v>
      </c>
      <c r="O359" s="3">
        <f t="shared" si="23"/>
        <v>10</v>
      </c>
    </row>
    <row r="360" spans="1:15" x14ac:dyDescent="0.35">
      <c r="A360" s="1">
        <v>359</v>
      </c>
      <c r="B360" s="2">
        <v>40559</v>
      </c>
      <c r="C360" s="1">
        <v>1</v>
      </c>
      <c r="D360" s="1">
        <v>0</v>
      </c>
      <c r="E360" s="1">
        <v>1</v>
      </c>
      <c r="F360" s="1">
        <v>10</v>
      </c>
      <c r="G360" s="1" t="b">
        <v>0</v>
      </c>
      <c r="H360" s="1">
        <v>0</v>
      </c>
      <c r="I360" s="1">
        <v>1</v>
      </c>
      <c r="J360" s="1">
        <v>0.22</v>
      </c>
      <c r="L360" s="3" t="str">
        <f t="shared" si="20"/>
        <v>2011-01-16</v>
      </c>
      <c r="M360" s="3" t="str">
        <f t="shared" si="21"/>
        <v>2011</v>
      </c>
      <c r="N360" s="3" t="str">
        <f t="shared" si="22"/>
        <v>16</v>
      </c>
      <c r="O360" s="3">
        <f t="shared" si="23"/>
        <v>10</v>
      </c>
    </row>
    <row r="361" spans="1:15" x14ac:dyDescent="0.35">
      <c r="A361" s="1">
        <v>360</v>
      </c>
      <c r="B361" s="2">
        <v>40559</v>
      </c>
      <c r="C361" s="1">
        <v>1</v>
      </c>
      <c r="D361" s="1">
        <v>0</v>
      </c>
      <c r="E361" s="1">
        <v>1</v>
      </c>
      <c r="F361" s="1">
        <v>11</v>
      </c>
      <c r="G361" s="1" t="b">
        <v>0</v>
      </c>
      <c r="H361" s="1">
        <v>0</v>
      </c>
      <c r="I361" s="1">
        <v>1</v>
      </c>
      <c r="J361" s="1">
        <v>0.24</v>
      </c>
      <c r="L361" s="3" t="str">
        <f t="shared" si="20"/>
        <v>2011-01-16</v>
      </c>
      <c r="M361" s="3" t="str">
        <f t="shared" si="21"/>
        <v>2011</v>
      </c>
      <c r="N361" s="3" t="str">
        <f t="shared" si="22"/>
        <v>16</v>
      </c>
      <c r="O361" s="3">
        <f t="shared" si="23"/>
        <v>10</v>
      </c>
    </row>
    <row r="362" spans="1:15" x14ac:dyDescent="0.35">
      <c r="A362" s="1">
        <v>361</v>
      </c>
      <c r="B362" s="2">
        <v>40559</v>
      </c>
      <c r="C362" s="1">
        <v>1</v>
      </c>
      <c r="D362" s="1">
        <v>0</v>
      </c>
      <c r="E362" s="1">
        <v>1</v>
      </c>
      <c r="F362" s="1">
        <v>12</v>
      </c>
      <c r="G362" s="1" t="b">
        <v>0</v>
      </c>
      <c r="H362" s="1">
        <v>0</v>
      </c>
      <c r="I362" s="1">
        <v>1</v>
      </c>
      <c r="J362" s="1">
        <v>0.24</v>
      </c>
      <c r="L362" s="3" t="str">
        <f t="shared" si="20"/>
        <v>2011-01-16</v>
      </c>
      <c r="M362" s="3" t="str">
        <f t="shared" si="21"/>
        <v>2011</v>
      </c>
      <c r="N362" s="3" t="str">
        <f t="shared" si="22"/>
        <v>16</v>
      </c>
      <c r="O362" s="3">
        <f t="shared" si="23"/>
        <v>10</v>
      </c>
    </row>
    <row r="363" spans="1:15" x14ac:dyDescent="0.35">
      <c r="A363" s="1">
        <v>362</v>
      </c>
      <c r="B363" s="2">
        <v>40559</v>
      </c>
      <c r="C363" s="1">
        <v>1</v>
      </c>
      <c r="D363" s="1">
        <v>0</v>
      </c>
      <c r="E363" s="1">
        <v>1</v>
      </c>
      <c r="F363" s="1">
        <v>13</v>
      </c>
      <c r="G363" s="1" t="b">
        <v>0</v>
      </c>
      <c r="H363" s="1">
        <v>0</v>
      </c>
      <c r="I363" s="1">
        <v>1</v>
      </c>
      <c r="J363" s="1">
        <v>0.26</v>
      </c>
      <c r="L363" s="3" t="str">
        <f t="shared" si="20"/>
        <v>2011-01-16</v>
      </c>
      <c r="M363" s="3" t="str">
        <f t="shared" si="21"/>
        <v>2011</v>
      </c>
      <c r="N363" s="3" t="str">
        <f t="shared" si="22"/>
        <v>16</v>
      </c>
      <c r="O363" s="3">
        <f t="shared" si="23"/>
        <v>10</v>
      </c>
    </row>
    <row r="364" spans="1:15" x14ac:dyDescent="0.35">
      <c r="A364" s="1">
        <v>363</v>
      </c>
      <c r="B364" s="2">
        <v>40559</v>
      </c>
      <c r="C364" s="1">
        <v>1</v>
      </c>
      <c r="D364" s="1">
        <v>0</v>
      </c>
      <c r="E364" s="1">
        <v>1</v>
      </c>
      <c r="F364" s="1">
        <v>14</v>
      </c>
      <c r="G364" s="1" t="b">
        <v>0</v>
      </c>
      <c r="H364" s="1">
        <v>0</v>
      </c>
      <c r="I364" s="1">
        <v>1</v>
      </c>
      <c r="J364" s="1">
        <v>0.28000000000000003</v>
      </c>
      <c r="L364" s="3" t="str">
        <f t="shared" si="20"/>
        <v>2011-01-16</v>
      </c>
      <c r="M364" s="3" t="str">
        <f t="shared" si="21"/>
        <v>2011</v>
      </c>
      <c r="N364" s="3" t="str">
        <f t="shared" si="22"/>
        <v>16</v>
      </c>
      <c r="O364" s="3">
        <f t="shared" si="23"/>
        <v>10</v>
      </c>
    </row>
    <row r="365" spans="1:15" x14ac:dyDescent="0.35">
      <c r="A365" s="1">
        <v>364</v>
      </c>
      <c r="B365" s="2">
        <v>40559</v>
      </c>
      <c r="C365" s="1">
        <v>1</v>
      </c>
      <c r="D365" s="1">
        <v>0</v>
      </c>
      <c r="E365" s="1">
        <v>1</v>
      </c>
      <c r="F365" s="1">
        <v>15</v>
      </c>
      <c r="G365" s="1" t="b">
        <v>0</v>
      </c>
      <c r="H365" s="1">
        <v>0</v>
      </c>
      <c r="I365" s="1">
        <v>1</v>
      </c>
      <c r="J365" s="1">
        <v>0.26</v>
      </c>
      <c r="L365" s="3" t="str">
        <f t="shared" si="20"/>
        <v>2011-01-16</v>
      </c>
      <c r="M365" s="3" t="str">
        <f t="shared" si="21"/>
        <v>2011</v>
      </c>
      <c r="N365" s="3" t="str">
        <f t="shared" si="22"/>
        <v>16</v>
      </c>
      <c r="O365" s="3">
        <f t="shared" si="23"/>
        <v>10</v>
      </c>
    </row>
    <row r="366" spans="1:15" x14ac:dyDescent="0.35">
      <c r="A366" s="1">
        <v>365</v>
      </c>
      <c r="B366" s="2">
        <v>40559</v>
      </c>
      <c r="C366" s="1">
        <v>1</v>
      </c>
      <c r="D366" s="1">
        <v>0</v>
      </c>
      <c r="E366" s="1">
        <v>1</v>
      </c>
      <c r="F366" s="1">
        <v>16</v>
      </c>
      <c r="G366" s="1" t="b">
        <v>0</v>
      </c>
      <c r="H366" s="1">
        <v>0</v>
      </c>
      <c r="I366" s="1">
        <v>1</v>
      </c>
      <c r="J366" s="1">
        <v>0.24</v>
      </c>
      <c r="L366" s="3" t="str">
        <f t="shared" si="20"/>
        <v>2011-01-16</v>
      </c>
      <c r="M366" s="3" t="str">
        <f t="shared" si="21"/>
        <v>2011</v>
      </c>
      <c r="N366" s="3" t="str">
        <f t="shared" si="22"/>
        <v>16</v>
      </c>
      <c r="O366" s="3">
        <f t="shared" si="23"/>
        <v>10</v>
      </c>
    </row>
    <row r="367" spans="1:15" x14ac:dyDescent="0.35">
      <c r="A367" s="1">
        <v>366</v>
      </c>
      <c r="B367" s="2">
        <v>40559</v>
      </c>
      <c r="C367" s="1">
        <v>1</v>
      </c>
      <c r="D367" s="1">
        <v>0</v>
      </c>
      <c r="E367" s="1">
        <v>1</v>
      </c>
      <c r="F367" s="1">
        <v>17</v>
      </c>
      <c r="G367" s="1" t="b">
        <v>0</v>
      </c>
      <c r="H367" s="1">
        <v>0</v>
      </c>
      <c r="I367" s="1">
        <v>1</v>
      </c>
      <c r="J367" s="1">
        <v>0.22</v>
      </c>
      <c r="L367" s="3" t="str">
        <f t="shared" si="20"/>
        <v>2011-01-16</v>
      </c>
      <c r="M367" s="3" t="str">
        <f t="shared" si="21"/>
        <v>2011</v>
      </c>
      <c r="N367" s="3" t="str">
        <f t="shared" si="22"/>
        <v>16</v>
      </c>
      <c r="O367" s="3">
        <f t="shared" si="23"/>
        <v>10</v>
      </c>
    </row>
    <row r="368" spans="1:15" x14ac:dyDescent="0.35">
      <c r="A368" s="1">
        <v>367</v>
      </c>
      <c r="B368" s="2">
        <v>40559</v>
      </c>
      <c r="C368" s="1">
        <v>1</v>
      </c>
      <c r="D368" s="1">
        <v>0</v>
      </c>
      <c r="E368" s="1">
        <v>1</v>
      </c>
      <c r="F368" s="1">
        <v>18</v>
      </c>
      <c r="G368" s="1" t="b">
        <v>0</v>
      </c>
      <c r="H368" s="1">
        <v>0</v>
      </c>
      <c r="I368" s="1">
        <v>1</v>
      </c>
      <c r="J368" s="1">
        <v>0.2</v>
      </c>
      <c r="L368" s="3" t="str">
        <f t="shared" si="20"/>
        <v>2011-01-16</v>
      </c>
      <c r="M368" s="3" t="str">
        <f t="shared" si="21"/>
        <v>2011</v>
      </c>
      <c r="N368" s="3" t="str">
        <f t="shared" si="22"/>
        <v>16</v>
      </c>
      <c r="O368" s="3">
        <f t="shared" si="23"/>
        <v>10</v>
      </c>
    </row>
    <row r="369" spans="1:15" x14ac:dyDescent="0.35">
      <c r="A369" s="1">
        <v>368</v>
      </c>
      <c r="B369" s="2">
        <v>40559</v>
      </c>
      <c r="C369" s="1">
        <v>1</v>
      </c>
      <c r="D369" s="1">
        <v>0</v>
      </c>
      <c r="E369" s="1">
        <v>1</v>
      </c>
      <c r="F369" s="1">
        <v>19</v>
      </c>
      <c r="G369" s="1" t="b">
        <v>0</v>
      </c>
      <c r="H369" s="1">
        <v>0</v>
      </c>
      <c r="I369" s="1">
        <v>1</v>
      </c>
      <c r="J369" s="1">
        <v>0.18</v>
      </c>
      <c r="L369" s="3" t="str">
        <f t="shared" si="20"/>
        <v>2011-01-16</v>
      </c>
      <c r="M369" s="3" t="str">
        <f t="shared" si="21"/>
        <v>2011</v>
      </c>
      <c r="N369" s="3" t="str">
        <f t="shared" si="22"/>
        <v>16</v>
      </c>
      <c r="O369" s="3">
        <f t="shared" si="23"/>
        <v>10</v>
      </c>
    </row>
    <row r="370" spans="1:15" x14ac:dyDescent="0.35">
      <c r="A370" s="1">
        <v>369</v>
      </c>
      <c r="B370" s="2">
        <v>40559</v>
      </c>
      <c r="C370" s="1">
        <v>1</v>
      </c>
      <c r="D370" s="1">
        <v>0</v>
      </c>
      <c r="E370" s="1">
        <v>1</v>
      </c>
      <c r="F370" s="1">
        <v>20</v>
      </c>
      <c r="G370" s="1" t="b">
        <v>0</v>
      </c>
      <c r="H370" s="1">
        <v>0</v>
      </c>
      <c r="I370" s="1">
        <v>1</v>
      </c>
      <c r="J370" s="1">
        <v>0.18</v>
      </c>
      <c r="L370" s="3" t="str">
        <f t="shared" si="20"/>
        <v>2011-01-16</v>
      </c>
      <c r="M370" s="3" t="str">
        <f t="shared" si="21"/>
        <v>2011</v>
      </c>
      <c r="N370" s="3" t="str">
        <f t="shared" si="22"/>
        <v>16</v>
      </c>
      <c r="O370" s="3">
        <f t="shared" si="23"/>
        <v>10</v>
      </c>
    </row>
    <row r="371" spans="1:15" x14ac:dyDescent="0.35">
      <c r="A371" s="1">
        <v>370</v>
      </c>
      <c r="B371" s="2">
        <v>40559</v>
      </c>
      <c r="C371" s="1">
        <v>1</v>
      </c>
      <c r="D371" s="1">
        <v>0</v>
      </c>
      <c r="E371" s="1">
        <v>1</v>
      </c>
      <c r="F371" s="1">
        <v>21</v>
      </c>
      <c r="G371" s="1" t="b">
        <v>0</v>
      </c>
      <c r="H371" s="1">
        <v>0</v>
      </c>
      <c r="I371" s="1">
        <v>1</v>
      </c>
      <c r="J371" s="1">
        <v>0.18</v>
      </c>
      <c r="L371" s="3" t="str">
        <f t="shared" si="20"/>
        <v>2011-01-16</v>
      </c>
      <c r="M371" s="3" t="str">
        <f t="shared" si="21"/>
        <v>2011</v>
      </c>
      <c r="N371" s="3" t="str">
        <f t="shared" si="22"/>
        <v>16</v>
      </c>
      <c r="O371" s="3">
        <f t="shared" si="23"/>
        <v>10</v>
      </c>
    </row>
    <row r="372" spans="1:15" x14ac:dyDescent="0.35">
      <c r="A372" s="1">
        <v>371</v>
      </c>
      <c r="B372" s="2">
        <v>40559</v>
      </c>
      <c r="C372" s="1">
        <v>1</v>
      </c>
      <c r="D372" s="1">
        <v>0</v>
      </c>
      <c r="E372" s="1">
        <v>1</v>
      </c>
      <c r="F372" s="1">
        <v>22</v>
      </c>
      <c r="G372" s="1" t="b">
        <v>0</v>
      </c>
      <c r="H372" s="1">
        <v>0</v>
      </c>
      <c r="I372" s="1">
        <v>2</v>
      </c>
      <c r="J372" s="1">
        <v>0.2</v>
      </c>
      <c r="L372" s="3" t="str">
        <f t="shared" si="20"/>
        <v>2011-01-16</v>
      </c>
      <c r="M372" s="3" t="str">
        <f t="shared" si="21"/>
        <v>2011</v>
      </c>
      <c r="N372" s="3" t="str">
        <f t="shared" si="22"/>
        <v>16</v>
      </c>
      <c r="O372" s="3">
        <f t="shared" si="23"/>
        <v>10</v>
      </c>
    </row>
    <row r="373" spans="1:15" x14ac:dyDescent="0.35">
      <c r="A373" s="1">
        <v>372</v>
      </c>
      <c r="B373" s="2">
        <v>40559</v>
      </c>
      <c r="C373" s="1">
        <v>1</v>
      </c>
      <c r="D373" s="1">
        <v>0</v>
      </c>
      <c r="E373" s="1">
        <v>1</v>
      </c>
      <c r="F373" s="1">
        <v>23</v>
      </c>
      <c r="G373" s="1" t="b">
        <v>0</v>
      </c>
      <c r="H373" s="1">
        <v>0</v>
      </c>
      <c r="I373" s="1">
        <v>2</v>
      </c>
      <c r="J373" s="1">
        <v>0.2</v>
      </c>
      <c r="L373" s="3" t="str">
        <f t="shared" si="20"/>
        <v>2011-01-16</v>
      </c>
      <c r="M373" s="3" t="str">
        <f t="shared" si="21"/>
        <v>2011</v>
      </c>
      <c r="N373" s="3" t="str">
        <f t="shared" si="22"/>
        <v>16</v>
      </c>
      <c r="O373" s="3">
        <f t="shared" si="23"/>
        <v>10</v>
      </c>
    </row>
    <row r="374" spans="1:15" x14ac:dyDescent="0.35">
      <c r="A374" s="1">
        <v>373</v>
      </c>
      <c r="B374" s="2">
        <v>40560</v>
      </c>
      <c r="C374" s="1">
        <v>1</v>
      </c>
      <c r="D374" s="1">
        <v>0</v>
      </c>
      <c r="E374" s="1">
        <v>1</v>
      </c>
      <c r="F374" s="1">
        <v>0</v>
      </c>
      <c r="G374" s="1" t="b">
        <v>1</v>
      </c>
      <c r="H374" s="1">
        <v>1</v>
      </c>
      <c r="I374" s="1">
        <v>2</v>
      </c>
      <c r="J374" s="1">
        <v>0.2</v>
      </c>
      <c r="L374" s="3" t="str">
        <f t="shared" si="20"/>
        <v>2011-01-17</v>
      </c>
      <c r="M374" s="3" t="str">
        <f t="shared" si="21"/>
        <v>2011</v>
      </c>
      <c r="N374" s="3" t="str">
        <f t="shared" si="22"/>
        <v>17</v>
      </c>
      <c r="O374" s="3">
        <f t="shared" si="23"/>
        <v>10</v>
      </c>
    </row>
    <row r="375" spans="1:15" x14ac:dyDescent="0.35">
      <c r="A375" s="1">
        <v>374</v>
      </c>
      <c r="B375" s="2">
        <v>40560</v>
      </c>
      <c r="C375" s="1">
        <v>1</v>
      </c>
      <c r="D375" s="1">
        <v>0</v>
      </c>
      <c r="E375" s="1">
        <v>1</v>
      </c>
      <c r="F375" s="1">
        <v>1</v>
      </c>
      <c r="G375" s="1" t="b">
        <v>1</v>
      </c>
      <c r="H375" s="1">
        <v>1</v>
      </c>
      <c r="I375" s="1">
        <v>2</v>
      </c>
      <c r="J375" s="1">
        <v>0.2</v>
      </c>
      <c r="L375" s="3" t="str">
        <f t="shared" si="20"/>
        <v>2011-01-17</v>
      </c>
      <c r="M375" s="3" t="str">
        <f t="shared" si="21"/>
        <v>2011</v>
      </c>
      <c r="N375" s="3" t="str">
        <f t="shared" si="22"/>
        <v>17</v>
      </c>
      <c r="O375" s="3">
        <f t="shared" si="23"/>
        <v>10</v>
      </c>
    </row>
    <row r="376" spans="1:15" x14ac:dyDescent="0.35">
      <c r="A376" s="1">
        <v>375</v>
      </c>
      <c r="B376" s="2">
        <v>40560</v>
      </c>
      <c r="C376" s="1">
        <v>1</v>
      </c>
      <c r="D376" s="1">
        <v>0</v>
      </c>
      <c r="E376" s="1">
        <v>1</v>
      </c>
      <c r="F376" s="1">
        <v>2</v>
      </c>
      <c r="G376" s="1" t="b">
        <v>1</v>
      </c>
      <c r="H376" s="1">
        <v>1</v>
      </c>
      <c r="I376" s="1">
        <v>2</v>
      </c>
      <c r="J376" s="1">
        <v>0.18</v>
      </c>
      <c r="L376" s="3" t="str">
        <f t="shared" si="20"/>
        <v>2011-01-17</v>
      </c>
      <c r="M376" s="3" t="str">
        <f t="shared" si="21"/>
        <v>2011</v>
      </c>
      <c r="N376" s="3" t="str">
        <f t="shared" si="22"/>
        <v>17</v>
      </c>
      <c r="O376" s="3">
        <f t="shared" si="23"/>
        <v>10</v>
      </c>
    </row>
    <row r="377" spans="1:15" x14ac:dyDescent="0.35">
      <c r="A377" s="1">
        <v>376</v>
      </c>
      <c r="B377" s="2">
        <v>40560</v>
      </c>
      <c r="C377" s="1">
        <v>1</v>
      </c>
      <c r="D377" s="1">
        <v>0</v>
      </c>
      <c r="E377" s="1">
        <v>1</v>
      </c>
      <c r="F377" s="1">
        <v>3</v>
      </c>
      <c r="G377" s="1" t="b">
        <v>1</v>
      </c>
      <c r="H377" s="1">
        <v>1</v>
      </c>
      <c r="I377" s="1">
        <v>2</v>
      </c>
      <c r="J377" s="1">
        <v>0.18</v>
      </c>
      <c r="L377" s="3" t="str">
        <f t="shared" si="20"/>
        <v>2011-01-17</v>
      </c>
      <c r="M377" s="3" t="str">
        <f t="shared" si="21"/>
        <v>2011</v>
      </c>
      <c r="N377" s="3" t="str">
        <f t="shared" si="22"/>
        <v>17</v>
      </c>
      <c r="O377" s="3">
        <f t="shared" si="23"/>
        <v>10</v>
      </c>
    </row>
    <row r="378" spans="1:15" x14ac:dyDescent="0.35">
      <c r="A378" s="1">
        <v>377</v>
      </c>
      <c r="B378" s="2">
        <v>40560</v>
      </c>
      <c r="C378" s="1">
        <v>1</v>
      </c>
      <c r="D378" s="1">
        <v>0</v>
      </c>
      <c r="E378" s="1">
        <v>1</v>
      </c>
      <c r="F378" s="1">
        <v>4</v>
      </c>
      <c r="G378" s="1" t="b">
        <v>1</v>
      </c>
      <c r="H378" s="1">
        <v>1</v>
      </c>
      <c r="I378" s="1">
        <v>2</v>
      </c>
      <c r="J378" s="1">
        <v>0.18</v>
      </c>
      <c r="L378" s="3" t="str">
        <f t="shared" si="20"/>
        <v>2011-01-17</v>
      </c>
      <c r="M378" s="3" t="str">
        <f t="shared" si="21"/>
        <v>2011</v>
      </c>
      <c r="N378" s="3" t="str">
        <f t="shared" si="22"/>
        <v>17</v>
      </c>
      <c r="O378" s="3">
        <f t="shared" si="23"/>
        <v>10</v>
      </c>
    </row>
    <row r="379" spans="1:15" x14ac:dyDescent="0.35">
      <c r="A379" s="1">
        <v>378</v>
      </c>
      <c r="B379" s="2">
        <v>40560</v>
      </c>
      <c r="C379" s="1">
        <v>1</v>
      </c>
      <c r="D379" s="1">
        <v>0</v>
      </c>
      <c r="E379" s="1">
        <v>1</v>
      </c>
      <c r="F379" s="1">
        <v>5</v>
      </c>
      <c r="G379" s="1" t="b">
        <v>1</v>
      </c>
      <c r="H379" s="1">
        <v>1</v>
      </c>
      <c r="I379" s="1">
        <v>2</v>
      </c>
      <c r="J379" s="1">
        <v>0.18</v>
      </c>
      <c r="L379" s="3" t="str">
        <f t="shared" si="20"/>
        <v>2011-01-17</v>
      </c>
      <c r="M379" s="3" t="str">
        <f t="shared" si="21"/>
        <v>2011</v>
      </c>
      <c r="N379" s="3" t="str">
        <f t="shared" si="22"/>
        <v>17</v>
      </c>
      <c r="O379" s="3">
        <f t="shared" si="23"/>
        <v>10</v>
      </c>
    </row>
    <row r="380" spans="1:15" x14ac:dyDescent="0.35">
      <c r="A380" s="1">
        <v>379</v>
      </c>
      <c r="B380" s="2">
        <v>40560</v>
      </c>
      <c r="C380" s="1">
        <v>1</v>
      </c>
      <c r="D380" s="1">
        <v>0</v>
      </c>
      <c r="E380" s="1">
        <v>1</v>
      </c>
      <c r="F380" s="1">
        <v>6</v>
      </c>
      <c r="G380" s="1" t="b">
        <v>1</v>
      </c>
      <c r="H380" s="1">
        <v>1</v>
      </c>
      <c r="I380" s="1">
        <v>2</v>
      </c>
      <c r="J380" s="1">
        <v>0.18</v>
      </c>
      <c r="L380" s="3" t="str">
        <f t="shared" si="20"/>
        <v>2011-01-17</v>
      </c>
      <c r="M380" s="3" t="str">
        <f t="shared" si="21"/>
        <v>2011</v>
      </c>
      <c r="N380" s="3" t="str">
        <f t="shared" si="22"/>
        <v>17</v>
      </c>
      <c r="O380" s="3">
        <f t="shared" si="23"/>
        <v>10</v>
      </c>
    </row>
    <row r="381" spans="1:15" x14ac:dyDescent="0.35">
      <c r="A381" s="1">
        <v>380</v>
      </c>
      <c r="B381" s="2">
        <v>40560</v>
      </c>
      <c r="C381" s="1">
        <v>1</v>
      </c>
      <c r="D381" s="1">
        <v>0</v>
      </c>
      <c r="E381" s="1">
        <v>1</v>
      </c>
      <c r="F381" s="1">
        <v>7</v>
      </c>
      <c r="G381" s="1" t="b">
        <v>1</v>
      </c>
      <c r="H381" s="1">
        <v>1</v>
      </c>
      <c r="I381" s="1">
        <v>2</v>
      </c>
      <c r="J381" s="1">
        <v>0.16</v>
      </c>
      <c r="L381" s="3" t="str">
        <f t="shared" si="20"/>
        <v>2011-01-17</v>
      </c>
      <c r="M381" s="3" t="str">
        <f t="shared" si="21"/>
        <v>2011</v>
      </c>
      <c r="N381" s="3" t="str">
        <f t="shared" si="22"/>
        <v>17</v>
      </c>
      <c r="O381" s="3">
        <f t="shared" si="23"/>
        <v>10</v>
      </c>
    </row>
    <row r="382" spans="1:15" x14ac:dyDescent="0.35">
      <c r="A382" s="1">
        <v>381</v>
      </c>
      <c r="B382" s="2">
        <v>40560</v>
      </c>
      <c r="C382" s="1">
        <v>1</v>
      </c>
      <c r="D382" s="1">
        <v>0</v>
      </c>
      <c r="E382" s="1">
        <v>1</v>
      </c>
      <c r="F382" s="1">
        <v>8</v>
      </c>
      <c r="G382" s="1" t="b">
        <v>1</v>
      </c>
      <c r="H382" s="1">
        <v>1</v>
      </c>
      <c r="I382" s="1">
        <v>2</v>
      </c>
      <c r="J382" s="1">
        <v>0.16</v>
      </c>
      <c r="L382" s="3" t="str">
        <f t="shared" si="20"/>
        <v>2011-01-17</v>
      </c>
      <c r="M382" s="3" t="str">
        <f t="shared" si="21"/>
        <v>2011</v>
      </c>
      <c r="N382" s="3" t="str">
        <f t="shared" si="22"/>
        <v>17</v>
      </c>
      <c r="O382" s="3">
        <f t="shared" si="23"/>
        <v>10</v>
      </c>
    </row>
    <row r="383" spans="1:15" x14ac:dyDescent="0.35">
      <c r="A383" s="1">
        <v>382</v>
      </c>
      <c r="B383" s="2">
        <v>40560</v>
      </c>
      <c r="C383" s="1">
        <v>1</v>
      </c>
      <c r="D383" s="1">
        <v>0</v>
      </c>
      <c r="E383" s="1">
        <v>1</v>
      </c>
      <c r="F383" s="1">
        <v>9</v>
      </c>
      <c r="G383" s="1" t="b">
        <v>1</v>
      </c>
      <c r="H383" s="1">
        <v>1</v>
      </c>
      <c r="I383" s="1">
        <v>2</v>
      </c>
      <c r="J383" s="1">
        <v>0.16</v>
      </c>
      <c r="L383" s="3" t="str">
        <f t="shared" si="20"/>
        <v>2011-01-17</v>
      </c>
      <c r="M383" s="3" t="str">
        <f t="shared" si="21"/>
        <v>2011</v>
      </c>
      <c r="N383" s="3" t="str">
        <f t="shared" si="22"/>
        <v>17</v>
      </c>
      <c r="O383" s="3">
        <f t="shared" si="23"/>
        <v>10</v>
      </c>
    </row>
    <row r="384" spans="1:15" x14ac:dyDescent="0.35">
      <c r="A384" s="1">
        <v>383</v>
      </c>
      <c r="B384" s="2">
        <v>40560</v>
      </c>
      <c r="C384" s="1">
        <v>1</v>
      </c>
      <c r="D384" s="1">
        <v>0</v>
      </c>
      <c r="E384" s="1">
        <v>1</v>
      </c>
      <c r="F384" s="1">
        <v>10</v>
      </c>
      <c r="G384" s="1" t="b">
        <v>1</v>
      </c>
      <c r="H384" s="1">
        <v>1</v>
      </c>
      <c r="I384" s="1">
        <v>2</v>
      </c>
      <c r="J384" s="1">
        <v>0.16</v>
      </c>
      <c r="L384" s="3" t="str">
        <f t="shared" si="20"/>
        <v>2011-01-17</v>
      </c>
      <c r="M384" s="3" t="str">
        <f t="shared" si="21"/>
        <v>2011</v>
      </c>
      <c r="N384" s="3" t="str">
        <f t="shared" si="22"/>
        <v>17</v>
      </c>
      <c r="O384" s="3">
        <f t="shared" si="23"/>
        <v>10</v>
      </c>
    </row>
    <row r="385" spans="1:15" x14ac:dyDescent="0.35">
      <c r="A385" s="1">
        <v>384</v>
      </c>
      <c r="B385" s="2">
        <v>40560</v>
      </c>
      <c r="C385" s="1">
        <v>1</v>
      </c>
      <c r="D385" s="1">
        <v>0</v>
      </c>
      <c r="E385" s="1">
        <v>1</v>
      </c>
      <c r="F385" s="1">
        <v>11</v>
      </c>
      <c r="G385" s="1" t="b">
        <v>1</v>
      </c>
      <c r="H385" s="1">
        <v>1</v>
      </c>
      <c r="I385" s="1">
        <v>2</v>
      </c>
      <c r="J385" s="1">
        <v>0.16</v>
      </c>
      <c r="L385" s="3" t="str">
        <f t="shared" si="20"/>
        <v>2011-01-17</v>
      </c>
      <c r="M385" s="3" t="str">
        <f t="shared" si="21"/>
        <v>2011</v>
      </c>
      <c r="N385" s="3" t="str">
        <f t="shared" si="22"/>
        <v>17</v>
      </c>
      <c r="O385" s="3">
        <f t="shared" si="23"/>
        <v>10</v>
      </c>
    </row>
    <row r="386" spans="1:15" x14ac:dyDescent="0.35">
      <c r="A386" s="1">
        <v>385</v>
      </c>
      <c r="B386" s="2">
        <v>40560</v>
      </c>
      <c r="C386" s="1">
        <v>1</v>
      </c>
      <c r="D386" s="1">
        <v>0</v>
      </c>
      <c r="E386" s="1">
        <v>1</v>
      </c>
      <c r="F386" s="1">
        <v>12</v>
      </c>
      <c r="G386" s="1" t="b">
        <v>1</v>
      </c>
      <c r="H386" s="1">
        <v>1</v>
      </c>
      <c r="I386" s="1">
        <v>2</v>
      </c>
      <c r="J386" s="1">
        <v>0.18</v>
      </c>
      <c r="L386" s="3" t="str">
        <f t="shared" si="20"/>
        <v>2011-01-17</v>
      </c>
      <c r="M386" s="3" t="str">
        <f t="shared" si="21"/>
        <v>2011</v>
      </c>
      <c r="N386" s="3" t="str">
        <f t="shared" si="22"/>
        <v>17</v>
      </c>
      <c r="O386" s="3">
        <f t="shared" si="23"/>
        <v>10</v>
      </c>
    </row>
    <row r="387" spans="1:15" x14ac:dyDescent="0.35">
      <c r="A387" s="1">
        <v>386</v>
      </c>
      <c r="B387" s="2">
        <v>40560</v>
      </c>
      <c r="C387" s="1">
        <v>1</v>
      </c>
      <c r="D387" s="1">
        <v>0</v>
      </c>
      <c r="E387" s="1">
        <v>1</v>
      </c>
      <c r="F387" s="1">
        <v>13</v>
      </c>
      <c r="G387" s="1" t="b">
        <v>1</v>
      </c>
      <c r="H387" s="1">
        <v>1</v>
      </c>
      <c r="I387" s="1">
        <v>2</v>
      </c>
      <c r="J387" s="1">
        <v>0.18</v>
      </c>
      <c r="L387" s="3" t="str">
        <f t="shared" ref="L387:L450" si="24">TEXT(B387,"yyyy-mm-dd")</f>
        <v>2011-01-17</v>
      </c>
      <c r="M387" s="3" t="str">
        <f t="shared" ref="M387:M450" si="25">LEFT(L387,4)</f>
        <v>2011</v>
      </c>
      <c r="N387" s="3" t="str">
        <f t="shared" ref="N387:N450" si="26">RIGHT(L387,2)</f>
        <v>17</v>
      </c>
      <c r="O387" s="3">
        <f t="shared" ref="O387:O450" si="27">LEN(L387)</f>
        <v>10</v>
      </c>
    </row>
    <row r="388" spans="1:15" x14ac:dyDescent="0.35">
      <c r="A388" s="1">
        <v>387</v>
      </c>
      <c r="B388" s="2">
        <v>40560</v>
      </c>
      <c r="C388" s="1">
        <v>1</v>
      </c>
      <c r="D388" s="1">
        <v>0</v>
      </c>
      <c r="E388" s="1">
        <v>1</v>
      </c>
      <c r="F388" s="1">
        <v>14</v>
      </c>
      <c r="G388" s="1" t="b">
        <v>1</v>
      </c>
      <c r="H388" s="1">
        <v>1</v>
      </c>
      <c r="I388" s="1">
        <v>2</v>
      </c>
      <c r="J388" s="1">
        <v>0.18</v>
      </c>
      <c r="L388" s="3" t="str">
        <f t="shared" si="24"/>
        <v>2011-01-17</v>
      </c>
      <c r="M388" s="3" t="str">
        <f t="shared" si="25"/>
        <v>2011</v>
      </c>
      <c r="N388" s="3" t="str">
        <f t="shared" si="26"/>
        <v>17</v>
      </c>
      <c r="O388" s="3">
        <f t="shared" si="27"/>
        <v>10</v>
      </c>
    </row>
    <row r="389" spans="1:15" x14ac:dyDescent="0.35">
      <c r="A389" s="1">
        <v>388</v>
      </c>
      <c r="B389" s="2">
        <v>40560</v>
      </c>
      <c r="C389" s="1">
        <v>1</v>
      </c>
      <c r="D389" s="1">
        <v>0</v>
      </c>
      <c r="E389" s="1">
        <v>1</v>
      </c>
      <c r="F389" s="1">
        <v>15</v>
      </c>
      <c r="G389" s="1" t="b">
        <v>1</v>
      </c>
      <c r="H389" s="1">
        <v>1</v>
      </c>
      <c r="I389" s="1">
        <v>2</v>
      </c>
      <c r="J389" s="1">
        <v>0.2</v>
      </c>
      <c r="L389" s="3" t="str">
        <f t="shared" si="24"/>
        <v>2011-01-17</v>
      </c>
      <c r="M389" s="3" t="str">
        <f t="shared" si="25"/>
        <v>2011</v>
      </c>
      <c r="N389" s="3" t="str">
        <f t="shared" si="26"/>
        <v>17</v>
      </c>
      <c r="O389" s="3">
        <f t="shared" si="27"/>
        <v>10</v>
      </c>
    </row>
    <row r="390" spans="1:15" x14ac:dyDescent="0.35">
      <c r="A390" s="1">
        <v>389</v>
      </c>
      <c r="B390" s="2">
        <v>40560</v>
      </c>
      <c r="C390" s="1">
        <v>1</v>
      </c>
      <c r="D390" s="1">
        <v>0</v>
      </c>
      <c r="E390" s="1">
        <v>1</v>
      </c>
      <c r="F390" s="1">
        <v>16</v>
      </c>
      <c r="G390" s="1" t="b">
        <v>1</v>
      </c>
      <c r="H390" s="1">
        <v>1</v>
      </c>
      <c r="I390" s="1">
        <v>2</v>
      </c>
      <c r="J390" s="1">
        <v>0.2</v>
      </c>
      <c r="L390" s="3" t="str">
        <f t="shared" si="24"/>
        <v>2011-01-17</v>
      </c>
      <c r="M390" s="3" t="str">
        <f t="shared" si="25"/>
        <v>2011</v>
      </c>
      <c r="N390" s="3" t="str">
        <f t="shared" si="26"/>
        <v>17</v>
      </c>
      <c r="O390" s="3">
        <f t="shared" si="27"/>
        <v>10</v>
      </c>
    </row>
    <row r="391" spans="1:15" x14ac:dyDescent="0.35">
      <c r="A391" s="1">
        <v>390</v>
      </c>
      <c r="B391" s="2">
        <v>40560</v>
      </c>
      <c r="C391" s="1">
        <v>1</v>
      </c>
      <c r="D391" s="1">
        <v>0</v>
      </c>
      <c r="E391" s="1">
        <v>1</v>
      </c>
      <c r="F391" s="1">
        <v>17</v>
      </c>
      <c r="G391" s="1" t="b">
        <v>1</v>
      </c>
      <c r="H391" s="1">
        <v>1</v>
      </c>
      <c r="I391" s="1">
        <v>1</v>
      </c>
      <c r="J391" s="1">
        <v>0.2</v>
      </c>
      <c r="L391" s="3" t="str">
        <f t="shared" si="24"/>
        <v>2011-01-17</v>
      </c>
      <c r="M391" s="3" t="str">
        <f t="shared" si="25"/>
        <v>2011</v>
      </c>
      <c r="N391" s="3" t="str">
        <f t="shared" si="26"/>
        <v>17</v>
      </c>
      <c r="O391" s="3">
        <f t="shared" si="27"/>
        <v>10</v>
      </c>
    </row>
    <row r="392" spans="1:15" x14ac:dyDescent="0.35">
      <c r="A392" s="1">
        <v>391</v>
      </c>
      <c r="B392" s="2">
        <v>40560</v>
      </c>
      <c r="C392" s="1">
        <v>1</v>
      </c>
      <c r="D392" s="1">
        <v>0</v>
      </c>
      <c r="E392" s="1">
        <v>1</v>
      </c>
      <c r="F392" s="1">
        <v>18</v>
      </c>
      <c r="G392" s="1" t="b">
        <v>1</v>
      </c>
      <c r="H392" s="1">
        <v>1</v>
      </c>
      <c r="I392" s="1">
        <v>2</v>
      </c>
      <c r="J392" s="1">
        <v>0.18</v>
      </c>
      <c r="L392" s="3" t="str">
        <f t="shared" si="24"/>
        <v>2011-01-17</v>
      </c>
      <c r="M392" s="3" t="str">
        <f t="shared" si="25"/>
        <v>2011</v>
      </c>
      <c r="N392" s="3" t="str">
        <f t="shared" si="26"/>
        <v>17</v>
      </c>
      <c r="O392" s="3">
        <f t="shared" si="27"/>
        <v>10</v>
      </c>
    </row>
    <row r="393" spans="1:15" x14ac:dyDescent="0.35">
      <c r="A393" s="1">
        <v>392</v>
      </c>
      <c r="B393" s="2">
        <v>40560</v>
      </c>
      <c r="C393" s="1">
        <v>1</v>
      </c>
      <c r="D393" s="1">
        <v>0</v>
      </c>
      <c r="E393" s="1">
        <v>1</v>
      </c>
      <c r="F393" s="1">
        <v>19</v>
      </c>
      <c r="G393" s="1" t="b">
        <v>1</v>
      </c>
      <c r="H393" s="1">
        <v>1</v>
      </c>
      <c r="I393" s="1">
        <v>3</v>
      </c>
      <c r="J393" s="1">
        <v>0.18</v>
      </c>
      <c r="L393" s="3" t="str">
        <f t="shared" si="24"/>
        <v>2011-01-17</v>
      </c>
      <c r="M393" s="3" t="str">
        <f t="shared" si="25"/>
        <v>2011</v>
      </c>
      <c r="N393" s="3" t="str">
        <f t="shared" si="26"/>
        <v>17</v>
      </c>
      <c r="O393" s="3">
        <f t="shared" si="27"/>
        <v>10</v>
      </c>
    </row>
    <row r="394" spans="1:15" x14ac:dyDescent="0.35">
      <c r="A394" s="1">
        <v>393</v>
      </c>
      <c r="B394" s="2">
        <v>40560</v>
      </c>
      <c r="C394" s="1">
        <v>1</v>
      </c>
      <c r="D394" s="1">
        <v>0</v>
      </c>
      <c r="E394" s="1">
        <v>1</v>
      </c>
      <c r="F394" s="1">
        <v>20</v>
      </c>
      <c r="G394" s="1" t="b">
        <v>1</v>
      </c>
      <c r="H394" s="1">
        <v>1</v>
      </c>
      <c r="I394" s="1">
        <v>3</v>
      </c>
      <c r="J394" s="1">
        <v>0.16</v>
      </c>
      <c r="L394" s="3" t="str">
        <f t="shared" si="24"/>
        <v>2011-01-17</v>
      </c>
      <c r="M394" s="3" t="str">
        <f t="shared" si="25"/>
        <v>2011</v>
      </c>
      <c r="N394" s="3" t="str">
        <f t="shared" si="26"/>
        <v>17</v>
      </c>
      <c r="O394" s="3">
        <f t="shared" si="27"/>
        <v>10</v>
      </c>
    </row>
    <row r="395" spans="1:15" x14ac:dyDescent="0.35">
      <c r="A395" s="1">
        <v>394</v>
      </c>
      <c r="B395" s="2">
        <v>40560</v>
      </c>
      <c r="C395" s="1">
        <v>1</v>
      </c>
      <c r="D395" s="1">
        <v>0</v>
      </c>
      <c r="E395" s="1">
        <v>1</v>
      </c>
      <c r="F395" s="1">
        <v>21</v>
      </c>
      <c r="G395" s="1" t="b">
        <v>1</v>
      </c>
      <c r="H395" s="1">
        <v>1</v>
      </c>
      <c r="I395" s="1">
        <v>3</v>
      </c>
      <c r="J395" s="1">
        <v>0.16</v>
      </c>
      <c r="L395" s="3" t="str">
        <f t="shared" si="24"/>
        <v>2011-01-17</v>
      </c>
      <c r="M395" s="3" t="str">
        <f t="shared" si="25"/>
        <v>2011</v>
      </c>
      <c r="N395" s="3" t="str">
        <f t="shared" si="26"/>
        <v>17</v>
      </c>
      <c r="O395" s="3">
        <f t="shared" si="27"/>
        <v>10</v>
      </c>
    </row>
    <row r="396" spans="1:15" x14ac:dyDescent="0.35">
      <c r="A396" s="1">
        <v>395</v>
      </c>
      <c r="B396" s="2">
        <v>40560</v>
      </c>
      <c r="C396" s="1">
        <v>1</v>
      </c>
      <c r="D396" s="1">
        <v>0</v>
      </c>
      <c r="E396" s="1">
        <v>1</v>
      </c>
      <c r="F396" s="1">
        <v>22</v>
      </c>
      <c r="G396" s="1" t="b">
        <v>1</v>
      </c>
      <c r="H396" s="1">
        <v>1</v>
      </c>
      <c r="I396" s="1">
        <v>3</v>
      </c>
      <c r="J396" s="1">
        <v>0.14000000000000001</v>
      </c>
      <c r="L396" s="3" t="str">
        <f t="shared" si="24"/>
        <v>2011-01-17</v>
      </c>
      <c r="M396" s="3" t="str">
        <f t="shared" si="25"/>
        <v>2011</v>
      </c>
      <c r="N396" s="3" t="str">
        <f t="shared" si="26"/>
        <v>17</v>
      </c>
      <c r="O396" s="3">
        <f t="shared" si="27"/>
        <v>10</v>
      </c>
    </row>
    <row r="397" spans="1:15" x14ac:dyDescent="0.35">
      <c r="A397" s="1">
        <v>396</v>
      </c>
      <c r="B397" s="2">
        <v>40560</v>
      </c>
      <c r="C397" s="1">
        <v>1</v>
      </c>
      <c r="D397" s="1">
        <v>0</v>
      </c>
      <c r="E397" s="1">
        <v>1</v>
      </c>
      <c r="F397" s="1">
        <v>23</v>
      </c>
      <c r="G397" s="1" t="b">
        <v>1</v>
      </c>
      <c r="H397" s="1">
        <v>1</v>
      </c>
      <c r="I397" s="1">
        <v>3</v>
      </c>
      <c r="J397" s="1">
        <v>0.16</v>
      </c>
      <c r="L397" s="3" t="str">
        <f t="shared" si="24"/>
        <v>2011-01-17</v>
      </c>
      <c r="M397" s="3" t="str">
        <f t="shared" si="25"/>
        <v>2011</v>
      </c>
      <c r="N397" s="3" t="str">
        <f t="shared" si="26"/>
        <v>17</v>
      </c>
      <c r="O397" s="3">
        <f t="shared" si="27"/>
        <v>10</v>
      </c>
    </row>
    <row r="398" spans="1:15" x14ac:dyDescent="0.35">
      <c r="A398" s="1">
        <v>397</v>
      </c>
      <c r="B398" s="2">
        <v>40561</v>
      </c>
      <c r="C398" s="1">
        <v>1</v>
      </c>
      <c r="D398" s="1">
        <v>0</v>
      </c>
      <c r="E398" s="1">
        <v>1</v>
      </c>
      <c r="F398" s="1">
        <v>12</v>
      </c>
      <c r="G398" s="1" t="b">
        <v>0</v>
      </c>
      <c r="H398" s="1">
        <v>2</v>
      </c>
      <c r="I398" s="1">
        <v>2</v>
      </c>
      <c r="J398" s="1">
        <v>0.2</v>
      </c>
      <c r="L398" s="3" t="str">
        <f t="shared" si="24"/>
        <v>2011-01-18</v>
      </c>
      <c r="M398" s="3" t="str">
        <f t="shared" si="25"/>
        <v>2011</v>
      </c>
      <c r="N398" s="3" t="str">
        <f t="shared" si="26"/>
        <v>18</v>
      </c>
      <c r="O398" s="3">
        <f t="shared" si="27"/>
        <v>10</v>
      </c>
    </row>
    <row r="399" spans="1:15" x14ac:dyDescent="0.35">
      <c r="A399" s="1">
        <v>398</v>
      </c>
      <c r="B399" s="2">
        <v>40561</v>
      </c>
      <c r="C399" s="1">
        <v>1</v>
      </c>
      <c r="D399" s="1">
        <v>0</v>
      </c>
      <c r="E399" s="1">
        <v>1</v>
      </c>
      <c r="F399" s="1">
        <v>13</v>
      </c>
      <c r="G399" s="1" t="b">
        <v>0</v>
      </c>
      <c r="H399" s="1">
        <v>2</v>
      </c>
      <c r="I399" s="1">
        <v>2</v>
      </c>
      <c r="J399" s="1">
        <v>0.2</v>
      </c>
      <c r="L399" s="3" t="str">
        <f t="shared" si="24"/>
        <v>2011-01-18</v>
      </c>
      <c r="M399" s="3" t="str">
        <f t="shared" si="25"/>
        <v>2011</v>
      </c>
      <c r="N399" s="3" t="str">
        <f t="shared" si="26"/>
        <v>18</v>
      </c>
      <c r="O399" s="3">
        <f t="shared" si="27"/>
        <v>10</v>
      </c>
    </row>
    <row r="400" spans="1:15" x14ac:dyDescent="0.35">
      <c r="A400" s="1">
        <v>399</v>
      </c>
      <c r="B400" s="2">
        <v>40561</v>
      </c>
      <c r="C400" s="1">
        <v>1</v>
      </c>
      <c r="D400" s="1">
        <v>0</v>
      </c>
      <c r="E400" s="1">
        <v>1</v>
      </c>
      <c r="F400" s="1">
        <v>14</v>
      </c>
      <c r="G400" s="1" t="b">
        <v>0</v>
      </c>
      <c r="H400" s="1">
        <v>2</v>
      </c>
      <c r="I400" s="1">
        <v>2</v>
      </c>
      <c r="J400" s="1">
        <v>0.22</v>
      </c>
      <c r="L400" s="3" t="str">
        <f t="shared" si="24"/>
        <v>2011-01-18</v>
      </c>
      <c r="M400" s="3" t="str">
        <f t="shared" si="25"/>
        <v>2011</v>
      </c>
      <c r="N400" s="3" t="str">
        <f t="shared" si="26"/>
        <v>18</v>
      </c>
      <c r="O400" s="3">
        <f t="shared" si="27"/>
        <v>10</v>
      </c>
    </row>
    <row r="401" spans="1:15" x14ac:dyDescent="0.35">
      <c r="A401" s="1">
        <v>400</v>
      </c>
      <c r="B401" s="2">
        <v>40561</v>
      </c>
      <c r="C401" s="1">
        <v>1</v>
      </c>
      <c r="D401" s="1">
        <v>0</v>
      </c>
      <c r="E401" s="1">
        <v>1</v>
      </c>
      <c r="F401" s="1">
        <v>15</v>
      </c>
      <c r="G401" s="1" t="b">
        <v>0</v>
      </c>
      <c r="H401" s="1">
        <v>2</v>
      </c>
      <c r="I401" s="1">
        <v>2</v>
      </c>
      <c r="J401" s="1">
        <v>0.22</v>
      </c>
      <c r="L401" s="3" t="str">
        <f t="shared" si="24"/>
        <v>2011-01-18</v>
      </c>
      <c r="M401" s="3" t="str">
        <f t="shared" si="25"/>
        <v>2011</v>
      </c>
      <c r="N401" s="3" t="str">
        <f t="shared" si="26"/>
        <v>18</v>
      </c>
      <c r="O401" s="3">
        <f t="shared" si="27"/>
        <v>10</v>
      </c>
    </row>
    <row r="402" spans="1:15" x14ac:dyDescent="0.35">
      <c r="A402" s="1">
        <v>401</v>
      </c>
      <c r="B402" s="2">
        <v>40561</v>
      </c>
      <c r="C402" s="1">
        <v>1</v>
      </c>
      <c r="D402" s="1">
        <v>0</v>
      </c>
      <c r="E402" s="1">
        <v>1</v>
      </c>
      <c r="F402" s="1">
        <v>16</v>
      </c>
      <c r="G402" s="1" t="b">
        <v>0</v>
      </c>
      <c r="H402" s="1">
        <v>2</v>
      </c>
      <c r="I402" s="1">
        <v>2</v>
      </c>
      <c r="J402" s="1">
        <v>0.22</v>
      </c>
      <c r="L402" s="3" t="str">
        <f t="shared" si="24"/>
        <v>2011-01-18</v>
      </c>
      <c r="M402" s="3" t="str">
        <f t="shared" si="25"/>
        <v>2011</v>
      </c>
      <c r="N402" s="3" t="str">
        <f t="shared" si="26"/>
        <v>18</v>
      </c>
      <c r="O402" s="3">
        <f t="shared" si="27"/>
        <v>10</v>
      </c>
    </row>
    <row r="403" spans="1:15" x14ac:dyDescent="0.35">
      <c r="A403" s="1">
        <v>402</v>
      </c>
      <c r="B403" s="2">
        <v>40561</v>
      </c>
      <c r="C403" s="1">
        <v>1</v>
      </c>
      <c r="D403" s="1">
        <v>0</v>
      </c>
      <c r="E403" s="1">
        <v>1</v>
      </c>
      <c r="F403" s="1">
        <v>17</v>
      </c>
      <c r="G403" s="1" t="b">
        <v>0</v>
      </c>
      <c r="H403" s="1">
        <v>2</v>
      </c>
      <c r="I403" s="1">
        <v>2</v>
      </c>
      <c r="J403" s="1">
        <v>0.22</v>
      </c>
      <c r="L403" s="3" t="str">
        <f t="shared" si="24"/>
        <v>2011-01-18</v>
      </c>
      <c r="M403" s="3" t="str">
        <f t="shared" si="25"/>
        <v>2011</v>
      </c>
      <c r="N403" s="3" t="str">
        <f t="shared" si="26"/>
        <v>18</v>
      </c>
      <c r="O403" s="3">
        <f t="shared" si="27"/>
        <v>10</v>
      </c>
    </row>
    <row r="404" spans="1:15" x14ac:dyDescent="0.35">
      <c r="A404" s="1">
        <v>403</v>
      </c>
      <c r="B404" s="2">
        <v>40561</v>
      </c>
      <c r="C404" s="1">
        <v>1</v>
      </c>
      <c r="D404" s="1">
        <v>0</v>
      </c>
      <c r="E404" s="1">
        <v>1</v>
      </c>
      <c r="F404" s="1">
        <v>18</v>
      </c>
      <c r="G404" s="1" t="b">
        <v>0</v>
      </c>
      <c r="H404" s="1">
        <v>2</v>
      </c>
      <c r="I404" s="1">
        <v>2</v>
      </c>
      <c r="J404" s="1">
        <v>0.22</v>
      </c>
      <c r="L404" s="3" t="str">
        <f t="shared" si="24"/>
        <v>2011-01-18</v>
      </c>
      <c r="M404" s="3" t="str">
        <f t="shared" si="25"/>
        <v>2011</v>
      </c>
      <c r="N404" s="3" t="str">
        <f t="shared" si="26"/>
        <v>18</v>
      </c>
      <c r="O404" s="3">
        <f t="shared" si="27"/>
        <v>10</v>
      </c>
    </row>
    <row r="405" spans="1:15" x14ac:dyDescent="0.35">
      <c r="A405" s="1">
        <v>404</v>
      </c>
      <c r="B405" s="2">
        <v>40561</v>
      </c>
      <c r="C405" s="1">
        <v>1</v>
      </c>
      <c r="D405" s="1">
        <v>0</v>
      </c>
      <c r="E405" s="1">
        <v>1</v>
      </c>
      <c r="F405" s="1">
        <v>19</v>
      </c>
      <c r="G405" s="1" t="b">
        <v>0</v>
      </c>
      <c r="H405" s="1">
        <v>2</v>
      </c>
      <c r="I405" s="1">
        <v>2</v>
      </c>
      <c r="J405" s="1">
        <v>0.22</v>
      </c>
      <c r="L405" s="3" t="str">
        <f t="shared" si="24"/>
        <v>2011-01-18</v>
      </c>
      <c r="M405" s="3" t="str">
        <f t="shared" si="25"/>
        <v>2011</v>
      </c>
      <c r="N405" s="3" t="str">
        <f t="shared" si="26"/>
        <v>18</v>
      </c>
      <c r="O405" s="3">
        <f t="shared" si="27"/>
        <v>10</v>
      </c>
    </row>
    <row r="406" spans="1:15" x14ac:dyDescent="0.35">
      <c r="A406" s="1">
        <v>405</v>
      </c>
      <c r="B406" s="2">
        <v>40561</v>
      </c>
      <c r="C406" s="1">
        <v>1</v>
      </c>
      <c r="D406" s="1">
        <v>0</v>
      </c>
      <c r="E406" s="1">
        <v>1</v>
      </c>
      <c r="F406" s="1">
        <v>20</v>
      </c>
      <c r="G406" s="1" t="b">
        <v>0</v>
      </c>
      <c r="H406" s="1">
        <v>2</v>
      </c>
      <c r="I406" s="1">
        <v>2</v>
      </c>
      <c r="J406" s="1">
        <v>0.22</v>
      </c>
      <c r="L406" s="3" t="str">
        <f t="shared" si="24"/>
        <v>2011-01-18</v>
      </c>
      <c r="M406" s="3" t="str">
        <f t="shared" si="25"/>
        <v>2011</v>
      </c>
      <c r="N406" s="3" t="str">
        <f t="shared" si="26"/>
        <v>18</v>
      </c>
      <c r="O406" s="3">
        <f t="shared" si="27"/>
        <v>10</v>
      </c>
    </row>
    <row r="407" spans="1:15" x14ac:dyDescent="0.35">
      <c r="A407" s="1">
        <v>406</v>
      </c>
      <c r="B407" s="2">
        <v>40561</v>
      </c>
      <c r="C407" s="1">
        <v>1</v>
      </c>
      <c r="D407" s="1">
        <v>0</v>
      </c>
      <c r="E407" s="1">
        <v>1</v>
      </c>
      <c r="F407" s="1">
        <v>21</v>
      </c>
      <c r="G407" s="1" t="b">
        <v>0</v>
      </c>
      <c r="H407" s="1">
        <v>2</v>
      </c>
      <c r="I407" s="1">
        <v>2</v>
      </c>
      <c r="J407" s="1">
        <v>0.22</v>
      </c>
      <c r="L407" s="3" t="str">
        <f t="shared" si="24"/>
        <v>2011-01-18</v>
      </c>
      <c r="M407" s="3" t="str">
        <f t="shared" si="25"/>
        <v>2011</v>
      </c>
      <c r="N407" s="3" t="str">
        <f t="shared" si="26"/>
        <v>18</v>
      </c>
      <c r="O407" s="3">
        <f t="shared" si="27"/>
        <v>10</v>
      </c>
    </row>
    <row r="408" spans="1:15" x14ac:dyDescent="0.35">
      <c r="A408" s="1">
        <v>407</v>
      </c>
      <c r="B408" s="2">
        <v>40561</v>
      </c>
      <c r="C408" s="1">
        <v>1</v>
      </c>
      <c r="D408" s="1">
        <v>0</v>
      </c>
      <c r="E408" s="1">
        <v>1</v>
      </c>
      <c r="F408" s="1">
        <v>22</v>
      </c>
      <c r="G408" s="1" t="b">
        <v>0</v>
      </c>
      <c r="H408" s="1">
        <v>2</v>
      </c>
      <c r="I408" s="1">
        <v>2</v>
      </c>
      <c r="J408" s="1">
        <v>0.22</v>
      </c>
      <c r="L408" s="3" t="str">
        <f t="shared" si="24"/>
        <v>2011-01-18</v>
      </c>
      <c r="M408" s="3" t="str">
        <f t="shared" si="25"/>
        <v>2011</v>
      </c>
      <c r="N408" s="3" t="str">
        <f t="shared" si="26"/>
        <v>18</v>
      </c>
      <c r="O408" s="3">
        <f t="shared" si="27"/>
        <v>10</v>
      </c>
    </row>
    <row r="409" spans="1:15" x14ac:dyDescent="0.35">
      <c r="A409" s="1">
        <v>408</v>
      </c>
      <c r="B409" s="2">
        <v>40561</v>
      </c>
      <c r="C409" s="1">
        <v>1</v>
      </c>
      <c r="D409" s="1">
        <v>0</v>
      </c>
      <c r="E409" s="1">
        <v>1</v>
      </c>
      <c r="F409" s="1">
        <v>23</v>
      </c>
      <c r="G409" s="1" t="b">
        <v>0</v>
      </c>
      <c r="H409" s="1">
        <v>2</v>
      </c>
      <c r="I409" s="1">
        <v>2</v>
      </c>
      <c r="J409" s="1">
        <v>0.22</v>
      </c>
      <c r="L409" s="3" t="str">
        <f t="shared" si="24"/>
        <v>2011-01-18</v>
      </c>
      <c r="M409" s="3" t="str">
        <f t="shared" si="25"/>
        <v>2011</v>
      </c>
      <c r="N409" s="3" t="str">
        <f t="shared" si="26"/>
        <v>18</v>
      </c>
      <c r="O409" s="3">
        <f t="shared" si="27"/>
        <v>10</v>
      </c>
    </row>
    <row r="410" spans="1:15" x14ac:dyDescent="0.35">
      <c r="A410" s="1">
        <v>409</v>
      </c>
      <c r="B410" s="2">
        <v>40562</v>
      </c>
      <c r="C410" s="1">
        <v>1</v>
      </c>
      <c r="D410" s="1">
        <v>0</v>
      </c>
      <c r="E410" s="1">
        <v>1</v>
      </c>
      <c r="F410" s="1">
        <v>0</v>
      </c>
      <c r="G410" s="1" t="b">
        <v>0</v>
      </c>
      <c r="H410" s="1">
        <v>3</v>
      </c>
      <c r="I410" s="1">
        <v>2</v>
      </c>
      <c r="J410" s="1">
        <v>0.22</v>
      </c>
      <c r="L410" s="3" t="str">
        <f t="shared" si="24"/>
        <v>2011-01-19</v>
      </c>
      <c r="M410" s="3" t="str">
        <f t="shared" si="25"/>
        <v>2011</v>
      </c>
      <c r="N410" s="3" t="str">
        <f t="shared" si="26"/>
        <v>19</v>
      </c>
      <c r="O410" s="3">
        <f t="shared" si="27"/>
        <v>10</v>
      </c>
    </row>
    <row r="411" spans="1:15" x14ac:dyDescent="0.35">
      <c r="A411" s="1">
        <v>410</v>
      </c>
      <c r="B411" s="2">
        <v>40562</v>
      </c>
      <c r="C411" s="1">
        <v>1</v>
      </c>
      <c r="D411" s="1">
        <v>0</v>
      </c>
      <c r="E411" s="1">
        <v>1</v>
      </c>
      <c r="F411" s="1">
        <v>1</v>
      </c>
      <c r="G411" s="1" t="b">
        <v>0</v>
      </c>
      <c r="H411" s="1">
        <v>3</v>
      </c>
      <c r="I411" s="1">
        <v>3</v>
      </c>
      <c r="J411" s="1">
        <v>0.22</v>
      </c>
      <c r="L411" s="3" t="str">
        <f t="shared" si="24"/>
        <v>2011-01-19</v>
      </c>
      <c r="M411" s="3" t="str">
        <f t="shared" si="25"/>
        <v>2011</v>
      </c>
      <c r="N411" s="3" t="str">
        <f t="shared" si="26"/>
        <v>19</v>
      </c>
      <c r="O411" s="3">
        <f t="shared" si="27"/>
        <v>10</v>
      </c>
    </row>
    <row r="412" spans="1:15" x14ac:dyDescent="0.35">
      <c r="A412" s="1">
        <v>411</v>
      </c>
      <c r="B412" s="2">
        <v>40562</v>
      </c>
      <c r="C412" s="1">
        <v>1</v>
      </c>
      <c r="D412" s="1">
        <v>0</v>
      </c>
      <c r="E412" s="1">
        <v>1</v>
      </c>
      <c r="F412" s="1">
        <v>2</v>
      </c>
      <c r="G412" s="1" t="b">
        <v>0</v>
      </c>
      <c r="H412" s="1">
        <v>3</v>
      </c>
      <c r="I412" s="1">
        <v>3</v>
      </c>
      <c r="J412" s="1">
        <v>0.22</v>
      </c>
      <c r="L412" s="3" t="str">
        <f t="shared" si="24"/>
        <v>2011-01-19</v>
      </c>
      <c r="M412" s="3" t="str">
        <f t="shared" si="25"/>
        <v>2011</v>
      </c>
      <c r="N412" s="3" t="str">
        <f t="shared" si="26"/>
        <v>19</v>
      </c>
      <c r="O412" s="3">
        <f t="shared" si="27"/>
        <v>10</v>
      </c>
    </row>
    <row r="413" spans="1:15" x14ac:dyDescent="0.35">
      <c r="A413" s="1">
        <v>412</v>
      </c>
      <c r="B413" s="2">
        <v>40562</v>
      </c>
      <c r="C413" s="1">
        <v>1</v>
      </c>
      <c r="D413" s="1">
        <v>0</v>
      </c>
      <c r="E413" s="1">
        <v>1</v>
      </c>
      <c r="F413" s="1">
        <v>4</v>
      </c>
      <c r="G413" s="1" t="b">
        <v>0</v>
      </c>
      <c r="H413" s="1">
        <v>3</v>
      </c>
      <c r="I413" s="1">
        <v>3</v>
      </c>
      <c r="J413" s="1">
        <v>0.22</v>
      </c>
      <c r="L413" s="3" t="str">
        <f t="shared" si="24"/>
        <v>2011-01-19</v>
      </c>
      <c r="M413" s="3" t="str">
        <f t="shared" si="25"/>
        <v>2011</v>
      </c>
      <c r="N413" s="3" t="str">
        <f t="shared" si="26"/>
        <v>19</v>
      </c>
      <c r="O413" s="3">
        <f t="shared" si="27"/>
        <v>10</v>
      </c>
    </row>
    <row r="414" spans="1:15" x14ac:dyDescent="0.35">
      <c r="A414" s="1">
        <v>413</v>
      </c>
      <c r="B414" s="2">
        <v>40562</v>
      </c>
      <c r="C414" s="1">
        <v>1</v>
      </c>
      <c r="D414" s="1">
        <v>0</v>
      </c>
      <c r="E414" s="1">
        <v>1</v>
      </c>
      <c r="F414" s="1">
        <v>5</v>
      </c>
      <c r="G414" s="1" t="b">
        <v>0</v>
      </c>
      <c r="H414" s="1">
        <v>3</v>
      </c>
      <c r="I414" s="1">
        <v>2</v>
      </c>
      <c r="J414" s="1">
        <v>0.22</v>
      </c>
      <c r="L414" s="3" t="str">
        <f t="shared" si="24"/>
        <v>2011-01-19</v>
      </c>
      <c r="M414" s="3" t="str">
        <f t="shared" si="25"/>
        <v>2011</v>
      </c>
      <c r="N414" s="3" t="str">
        <f t="shared" si="26"/>
        <v>19</v>
      </c>
      <c r="O414" s="3">
        <f t="shared" si="27"/>
        <v>10</v>
      </c>
    </row>
    <row r="415" spans="1:15" x14ac:dyDescent="0.35">
      <c r="A415" s="1">
        <v>414</v>
      </c>
      <c r="B415" s="2">
        <v>40562</v>
      </c>
      <c r="C415" s="1">
        <v>1</v>
      </c>
      <c r="D415" s="1">
        <v>0</v>
      </c>
      <c r="E415" s="1">
        <v>1</v>
      </c>
      <c r="F415" s="1">
        <v>6</v>
      </c>
      <c r="G415" s="1" t="b">
        <v>0</v>
      </c>
      <c r="H415" s="1">
        <v>3</v>
      </c>
      <c r="I415" s="1">
        <v>2</v>
      </c>
      <c r="J415" s="1">
        <v>0.22</v>
      </c>
      <c r="L415" s="3" t="str">
        <f t="shared" si="24"/>
        <v>2011-01-19</v>
      </c>
      <c r="M415" s="3" t="str">
        <f t="shared" si="25"/>
        <v>2011</v>
      </c>
      <c r="N415" s="3" t="str">
        <f t="shared" si="26"/>
        <v>19</v>
      </c>
      <c r="O415" s="3">
        <f t="shared" si="27"/>
        <v>10</v>
      </c>
    </row>
    <row r="416" spans="1:15" x14ac:dyDescent="0.35">
      <c r="A416" s="1">
        <v>415</v>
      </c>
      <c r="B416" s="2">
        <v>40562</v>
      </c>
      <c r="C416" s="1">
        <v>1</v>
      </c>
      <c r="D416" s="1">
        <v>0</v>
      </c>
      <c r="E416" s="1">
        <v>1</v>
      </c>
      <c r="F416" s="1">
        <v>7</v>
      </c>
      <c r="G416" s="1" t="b">
        <v>0</v>
      </c>
      <c r="H416" s="1">
        <v>3</v>
      </c>
      <c r="I416" s="1">
        <v>2</v>
      </c>
      <c r="J416" s="1">
        <v>0.24</v>
      </c>
      <c r="L416" s="3" t="str">
        <f t="shared" si="24"/>
        <v>2011-01-19</v>
      </c>
      <c r="M416" s="3" t="str">
        <f t="shared" si="25"/>
        <v>2011</v>
      </c>
      <c r="N416" s="3" t="str">
        <f t="shared" si="26"/>
        <v>19</v>
      </c>
      <c r="O416" s="3">
        <f t="shared" si="27"/>
        <v>10</v>
      </c>
    </row>
    <row r="417" spans="1:15" x14ac:dyDescent="0.35">
      <c r="A417" s="1">
        <v>416</v>
      </c>
      <c r="B417" s="2">
        <v>40562</v>
      </c>
      <c r="C417" s="1">
        <v>1</v>
      </c>
      <c r="D417" s="1">
        <v>0</v>
      </c>
      <c r="E417" s="1">
        <v>1</v>
      </c>
      <c r="F417" s="1">
        <v>8</v>
      </c>
      <c r="G417" s="1" t="b">
        <v>0</v>
      </c>
      <c r="H417" s="1">
        <v>3</v>
      </c>
      <c r="I417" s="1">
        <v>2</v>
      </c>
      <c r="J417" s="1">
        <v>0.24</v>
      </c>
      <c r="L417" s="3" t="str">
        <f t="shared" si="24"/>
        <v>2011-01-19</v>
      </c>
      <c r="M417" s="3" t="str">
        <f t="shared" si="25"/>
        <v>2011</v>
      </c>
      <c r="N417" s="3" t="str">
        <f t="shared" si="26"/>
        <v>19</v>
      </c>
      <c r="O417" s="3">
        <f t="shared" si="27"/>
        <v>10</v>
      </c>
    </row>
    <row r="418" spans="1:15" x14ac:dyDescent="0.35">
      <c r="A418" s="1">
        <v>417</v>
      </c>
      <c r="B418" s="2">
        <v>40562</v>
      </c>
      <c r="C418" s="1">
        <v>1</v>
      </c>
      <c r="D418" s="1">
        <v>0</v>
      </c>
      <c r="E418" s="1">
        <v>1</v>
      </c>
      <c r="F418" s="1">
        <v>9</v>
      </c>
      <c r="G418" s="1" t="b">
        <v>0</v>
      </c>
      <c r="H418" s="1">
        <v>3</v>
      </c>
      <c r="I418" s="1">
        <v>2</v>
      </c>
      <c r="J418" s="1">
        <v>0.24</v>
      </c>
      <c r="L418" s="3" t="str">
        <f t="shared" si="24"/>
        <v>2011-01-19</v>
      </c>
      <c r="M418" s="3" t="str">
        <f t="shared" si="25"/>
        <v>2011</v>
      </c>
      <c r="N418" s="3" t="str">
        <f t="shared" si="26"/>
        <v>19</v>
      </c>
      <c r="O418" s="3">
        <f t="shared" si="27"/>
        <v>10</v>
      </c>
    </row>
    <row r="419" spans="1:15" x14ac:dyDescent="0.35">
      <c r="A419" s="1">
        <v>418</v>
      </c>
      <c r="B419" s="2">
        <v>40562</v>
      </c>
      <c r="C419" s="1">
        <v>1</v>
      </c>
      <c r="D419" s="1">
        <v>0</v>
      </c>
      <c r="E419" s="1">
        <v>1</v>
      </c>
      <c r="F419" s="1">
        <v>10</v>
      </c>
      <c r="G419" s="1" t="b">
        <v>0</v>
      </c>
      <c r="H419" s="1">
        <v>3</v>
      </c>
      <c r="I419" s="1">
        <v>2</v>
      </c>
      <c r="J419" s="1">
        <v>0.26</v>
      </c>
      <c r="L419" s="3" t="str">
        <f t="shared" si="24"/>
        <v>2011-01-19</v>
      </c>
      <c r="M419" s="3" t="str">
        <f t="shared" si="25"/>
        <v>2011</v>
      </c>
      <c r="N419" s="3" t="str">
        <f t="shared" si="26"/>
        <v>19</v>
      </c>
      <c r="O419" s="3">
        <f t="shared" si="27"/>
        <v>10</v>
      </c>
    </row>
    <row r="420" spans="1:15" x14ac:dyDescent="0.35">
      <c r="A420" s="1">
        <v>419</v>
      </c>
      <c r="B420" s="2">
        <v>40562</v>
      </c>
      <c r="C420" s="1">
        <v>1</v>
      </c>
      <c r="D420" s="1">
        <v>0</v>
      </c>
      <c r="E420" s="1">
        <v>1</v>
      </c>
      <c r="F420" s="1">
        <v>11</v>
      </c>
      <c r="G420" s="1" t="b">
        <v>0</v>
      </c>
      <c r="H420" s="1">
        <v>3</v>
      </c>
      <c r="I420" s="1">
        <v>2</v>
      </c>
      <c r="J420" s="1">
        <v>0.28000000000000003</v>
      </c>
      <c r="L420" s="3" t="str">
        <f t="shared" si="24"/>
        <v>2011-01-19</v>
      </c>
      <c r="M420" s="3" t="str">
        <f t="shared" si="25"/>
        <v>2011</v>
      </c>
      <c r="N420" s="3" t="str">
        <f t="shared" si="26"/>
        <v>19</v>
      </c>
      <c r="O420" s="3">
        <f t="shared" si="27"/>
        <v>10</v>
      </c>
    </row>
    <row r="421" spans="1:15" x14ac:dyDescent="0.35">
      <c r="A421" s="1">
        <v>420</v>
      </c>
      <c r="B421" s="2">
        <v>40562</v>
      </c>
      <c r="C421" s="1">
        <v>1</v>
      </c>
      <c r="D421" s="1">
        <v>0</v>
      </c>
      <c r="E421" s="1">
        <v>1</v>
      </c>
      <c r="F421" s="1">
        <v>12</v>
      </c>
      <c r="G421" s="1" t="b">
        <v>0</v>
      </c>
      <c r="H421" s="1">
        <v>3</v>
      </c>
      <c r="I421" s="1">
        <v>2</v>
      </c>
      <c r="J421" s="1">
        <v>0.3</v>
      </c>
      <c r="L421" s="3" t="str">
        <f t="shared" si="24"/>
        <v>2011-01-19</v>
      </c>
      <c r="M421" s="3" t="str">
        <f t="shared" si="25"/>
        <v>2011</v>
      </c>
      <c r="N421" s="3" t="str">
        <f t="shared" si="26"/>
        <v>19</v>
      </c>
      <c r="O421" s="3">
        <f t="shared" si="27"/>
        <v>10</v>
      </c>
    </row>
    <row r="422" spans="1:15" x14ac:dyDescent="0.35">
      <c r="A422" s="1">
        <v>421</v>
      </c>
      <c r="B422" s="2">
        <v>40562</v>
      </c>
      <c r="C422" s="1">
        <v>1</v>
      </c>
      <c r="D422" s="1">
        <v>0</v>
      </c>
      <c r="E422" s="1">
        <v>1</v>
      </c>
      <c r="F422" s="1">
        <v>13</v>
      </c>
      <c r="G422" s="1" t="b">
        <v>0</v>
      </c>
      <c r="H422" s="1">
        <v>3</v>
      </c>
      <c r="I422" s="1">
        <v>1</v>
      </c>
      <c r="J422" s="1">
        <v>0.4</v>
      </c>
      <c r="L422" s="3" t="str">
        <f t="shared" si="24"/>
        <v>2011-01-19</v>
      </c>
      <c r="M422" s="3" t="str">
        <f t="shared" si="25"/>
        <v>2011</v>
      </c>
      <c r="N422" s="3" t="str">
        <f t="shared" si="26"/>
        <v>19</v>
      </c>
      <c r="O422" s="3">
        <f t="shared" si="27"/>
        <v>10</v>
      </c>
    </row>
    <row r="423" spans="1:15" x14ac:dyDescent="0.35">
      <c r="A423" s="1">
        <v>422</v>
      </c>
      <c r="B423" s="2">
        <v>40562</v>
      </c>
      <c r="C423" s="1">
        <v>1</v>
      </c>
      <c r="D423" s="1">
        <v>0</v>
      </c>
      <c r="E423" s="1">
        <v>1</v>
      </c>
      <c r="F423" s="1">
        <v>14</v>
      </c>
      <c r="G423" s="1" t="b">
        <v>0</v>
      </c>
      <c r="H423" s="1">
        <v>3</v>
      </c>
      <c r="I423" s="1">
        <v>1</v>
      </c>
      <c r="J423" s="1">
        <v>0.4</v>
      </c>
      <c r="L423" s="3" t="str">
        <f t="shared" si="24"/>
        <v>2011-01-19</v>
      </c>
      <c r="M423" s="3" t="str">
        <f t="shared" si="25"/>
        <v>2011</v>
      </c>
      <c r="N423" s="3" t="str">
        <f t="shared" si="26"/>
        <v>19</v>
      </c>
      <c r="O423" s="3">
        <f t="shared" si="27"/>
        <v>10</v>
      </c>
    </row>
    <row r="424" spans="1:15" x14ac:dyDescent="0.35">
      <c r="A424" s="1">
        <v>423</v>
      </c>
      <c r="B424" s="2">
        <v>40562</v>
      </c>
      <c r="C424" s="1">
        <v>1</v>
      </c>
      <c r="D424" s="1">
        <v>0</v>
      </c>
      <c r="E424" s="1">
        <v>1</v>
      </c>
      <c r="F424" s="1">
        <v>15</v>
      </c>
      <c r="G424" s="1" t="b">
        <v>0</v>
      </c>
      <c r="H424" s="1">
        <v>3</v>
      </c>
      <c r="I424" s="1">
        <v>1</v>
      </c>
      <c r="J424" s="1">
        <v>0.4</v>
      </c>
      <c r="L424" s="3" t="str">
        <f t="shared" si="24"/>
        <v>2011-01-19</v>
      </c>
      <c r="M424" s="3" t="str">
        <f t="shared" si="25"/>
        <v>2011</v>
      </c>
      <c r="N424" s="3" t="str">
        <f t="shared" si="26"/>
        <v>19</v>
      </c>
      <c r="O424" s="3">
        <f t="shared" si="27"/>
        <v>10</v>
      </c>
    </row>
    <row r="425" spans="1:15" x14ac:dyDescent="0.35">
      <c r="A425" s="1">
        <v>424</v>
      </c>
      <c r="B425" s="2">
        <v>40562</v>
      </c>
      <c r="C425" s="1">
        <v>1</v>
      </c>
      <c r="D425" s="1">
        <v>0</v>
      </c>
      <c r="E425" s="1">
        <v>1</v>
      </c>
      <c r="F425" s="1">
        <v>16</v>
      </c>
      <c r="G425" s="1" t="b">
        <v>0</v>
      </c>
      <c r="H425" s="1">
        <v>3</v>
      </c>
      <c r="I425" s="1">
        <v>1</v>
      </c>
      <c r="J425" s="1">
        <v>0.38</v>
      </c>
      <c r="L425" s="3" t="str">
        <f t="shared" si="24"/>
        <v>2011-01-19</v>
      </c>
      <c r="M425" s="3" t="str">
        <f t="shared" si="25"/>
        <v>2011</v>
      </c>
      <c r="N425" s="3" t="str">
        <f t="shared" si="26"/>
        <v>19</v>
      </c>
      <c r="O425" s="3">
        <f t="shared" si="27"/>
        <v>10</v>
      </c>
    </row>
    <row r="426" spans="1:15" x14ac:dyDescent="0.35">
      <c r="A426" s="1">
        <v>425</v>
      </c>
      <c r="B426" s="2">
        <v>40562</v>
      </c>
      <c r="C426" s="1">
        <v>1</v>
      </c>
      <c r="D426" s="1">
        <v>0</v>
      </c>
      <c r="E426" s="1">
        <v>1</v>
      </c>
      <c r="F426" s="1">
        <v>17</v>
      </c>
      <c r="G426" s="1" t="b">
        <v>0</v>
      </c>
      <c r="H426" s="1">
        <v>3</v>
      </c>
      <c r="I426" s="1">
        <v>1</v>
      </c>
      <c r="J426" s="1">
        <v>0.36</v>
      </c>
      <c r="L426" s="3" t="str">
        <f t="shared" si="24"/>
        <v>2011-01-19</v>
      </c>
      <c r="M426" s="3" t="str">
        <f t="shared" si="25"/>
        <v>2011</v>
      </c>
      <c r="N426" s="3" t="str">
        <f t="shared" si="26"/>
        <v>19</v>
      </c>
      <c r="O426" s="3">
        <f t="shared" si="27"/>
        <v>10</v>
      </c>
    </row>
    <row r="427" spans="1:15" x14ac:dyDescent="0.35">
      <c r="A427" s="1">
        <v>426</v>
      </c>
      <c r="B427" s="2">
        <v>40562</v>
      </c>
      <c r="C427" s="1">
        <v>1</v>
      </c>
      <c r="D427" s="1">
        <v>0</v>
      </c>
      <c r="E427" s="1">
        <v>1</v>
      </c>
      <c r="F427" s="1">
        <v>18</v>
      </c>
      <c r="G427" s="1" t="b">
        <v>0</v>
      </c>
      <c r="H427" s="1">
        <v>3</v>
      </c>
      <c r="I427" s="1">
        <v>1</v>
      </c>
      <c r="J427" s="1">
        <v>0.34</v>
      </c>
      <c r="L427" s="3" t="str">
        <f t="shared" si="24"/>
        <v>2011-01-19</v>
      </c>
      <c r="M427" s="3" t="str">
        <f t="shared" si="25"/>
        <v>2011</v>
      </c>
      <c r="N427" s="3" t="str">
        <f t="shared" si="26"/>
        <v>19</v>
      </c>
      <c r="O427" s="3">
        <f t="shared" si="27"/>
        <v>10</v>
      </c>
    </row>
    <row r="428" spans="1:15" x14ac:dyDescent="0.35">
      <c r="A428" s="1">
        <v>427</v>
      </c>
      <c r="B428" s="2">
        <v>40562</v>
      </c>
      <c r="C428" s="1">
        <v>1</v>
      </c>
      <c r="D428" s="1">
        <v>0</v>
      </c>
      <c r="E428" s="1">
        <v>1</v>
      </c>
      <c r="F428" s="1">
        <v>19</v>
      </c>
      <c r="G428" s="1" t="b">
        <v>0</v>
      </c>
      <c r="H428" s="1">
        <v>3</v>
      </c>
      <c r="I428" s="1">
        <v>1</v>
      </c>
      <c r="J428" s="1">
        <v>0.32</v>
      </c>
      <c r="L428" s="3" t="str">
        <f t="shared" si="24"/>
        <v>2011-01-19</v>
      </c>
      <c r="M428" s="3" t="str">
        <f t="shared" si="25"/>
        <v>2011</v>
      </c>
      <c r="N428" s="3" t="str">
        <f t="shared" si="26"/>
        <v>19</v>
      </c>
      <c r="O428" s="3">
        <f t="shared" si="27"/>
        <v>10</v>
      </c>
    </row>
    <row r="429" spans="1:15" x14ac:dyDescent="0.35">
      <c r="A429" s="1">
        <v>428</v>
      </c>
      <c r="B429" s="2">
        <v>40562</v>
      </c>
      <c r="C429" s="1">
        <v>1</v>
      </c>
      <c r="D429" s="1">
        <v>0</v>
      </c>
      <c r="E429" s="1">
        <v>1</v>
      </c>
      <c r="F429" s="1">
        <v>20</v>
      </c>
      <c r="G429" s="1" t="b">
        <v>0</v>
      </c>
      <c r="H429" s="1">
        <v>3</v>
      </c>
      <c r="I429" s="1">
        <v>1</v>
      </c>
      <c r="J429" s="1">
        <v>0.32</v>
      </c>
      <c r="L429" s="3" t="str">
        <f t="shared" si="24"/>
        <v>2011-01-19</v>
      </c>
      <c r="M429" s="3" t="str">
        <f t="shared" si="25"/>
        <v>2011</v>
      </c>
      <c r="N429" s="3" t="str">
        <f t="shared" si="26"/>
        <v>19</v>
      </c>
      <c r="O429" s="3">
        <f t="shared" si="27"/>
        <v>10</v>
      </c>
    </row>
    <row r="430" spans="1:15" x14ac:dyDescent="0.35">
      <c r="A430" s="1">
        <v>429</v>
      </c>
      <c r="B430" s="2">
        <v>40562</v>
      </c>
      <c r="C430" s="1">
        <v>1</v>
      </c>
      <c r="D430" s="1">
        <v>0</v>
      </c>
      <c r="E430" s="1">
        <v>1</v>
      </c>
      <c r="F430" s="1">
        <v>21</v>
      </c>
      <c r="G430" s="1" t="b">
        <v>0</v>
      </c>
      <c r="H430" s="1">
        <v>3</v>
      </c>
      <c r="I430" s="1">
        <v>1</v>
      </c>
      <c r="J430" s="1">
        <v>0.32</v>
      </c>
      <c r="L430" s="3" t="str">
        <f t="shared" si="24"/>
        <v>2011-01-19</v>
      </c>
      <c r="M430" s="3" t="str">
        <f t="shared" si="25"/>
        <v>2011</v>
      </c>
      <c r="N430" s="3" t="str">
        <f t="shared" si="26"/>
        <v>19</v>
      </c>
      <c r="O430" s="3">
        <f t="shared" si="27"/>
        <v>10</v>
      </c>
    </row>
    <row r="431" spans="1:15" x14ac:dyDescent="0.35">
      <c r="A431" s="1">
        <v>430</v>
      </c>
      <c r="B431" s="2">
        <v>40562</v>
      </c>
      <c r="C431" s="1">
        <v>1</v>
      </c>
      <c r="D431" s="1">
        <v>0</v>
      </c>
      <c r="E431" s="1">
        <v>1</v>
      </c>
      <c r="F431" s="1">
        <v>22</v>
      </c>
      <c r="G431" s="1" t="b">
        <v>0</v>
      </c>
      <c r="H431" s="1">
        <v>3</v>
      </c>
      <c r="I431" s="1">
        <v>1</v>
      </c>
      <c r="J431" s="1">
        <v>0.3</v>
      </c>
      <c r="L431" s="3" t="str">
        <f t="shared" si="24"/>
        <v>2011-01-19</v>
      </c>
      <c r="M431" s="3" t="str">
        <f t="shared" si="25"/>
        <v>2011</v>
      </c>
      <c r="N431" s="3" t="str">
        <f t="shared" si="26"/>
        <v>19</v>
      </c>
      <c r="O431" s="3">
        <f t="shared" si="27"/>
        <v>10</v>
      </c>
    </row>
    <row r="432" spans="1:15" x14ac:dyDescent="0.35">
      <c r="A432" s="1">
        <v>431</v>
      </c>
      <c r="B432" s="2">
        <v>40562</v>
      </c>
      <c r="C432" s="1">
        <v>1</v>
      </c>
      <c r="D432" s="1">
        <v>0</v>
      </c>
      <c r="E432" s="1">
        <v>1</v>
      </c>
      <c r="F432" s="1">
        <v>23</v>
      </c>
      <c r="G432" s="1" t="b">
        <v>0</v>
      </c>
      <c r="H432" s="1">
        <v>3</v>
      </c>
      <c r="I432" s="1">
        <v>1</v>
      </c>
      <c r="J432" s="1">
        <v>0.3</v>
      </c>
      <c r="L432" s="3" t="str">
        <f t="shared" si="24"/>
        <v>2011-01-19</v>
      </c>
      <c r="M432" s="3" t="str">
        <f t="shared" si="25"/>
        <v>2011</v>
      </c>
      <c r="N432" s="3" t="str">
        <f t="shared" si="26"/>
        <v>19</v>
      </c>
      <c r="O432" s="3">
        <f t="shared" si="27"/>
        <v>10</v>
      </c>
    </row>
    <row r="433" spans="1:15" x14ac:dyDescent="0.35">
      <c r="A433" s="1">
        <v>432</v>
      </c>
      <c r="B433" s="2">
        <v>40563</v>
      </c>
      <c r="C433" s="1">
        <v>1</v>
      </c>
      <c r="D433" s="1">
        <v>0</v>
      </c>
      <c r="E433" s="1">
        <v>1</v>
      </c>
      <c r="F433" s="1">
        <v>0</v>
      </c>
      <c r="G433" s="1" t="b">
        <v>0</v>
      </c>
      <c r="H433" s="1">
        <v>4</v>
      </c>
      <c r="I433" s="1">
        <v>1</v>
      </c>
      <c r="J433" s="1">
        <v>0.26</v>
      </c>
      <c r="L433" s="3" t="str">
        <f t="shared" si="24"/>
        <v>2011-01-20</v>
      </c>
      <c r="M433" s="3" t="str">
        <f t="shared" si="25"/>
        <v>2011</v>
      </c>
      <c r="N433" s="3" t="str">
        <f t="shared" si="26"/>
        <v>20</v>
      </c>
      <c r="O433" s="3">
        <f t="shared" si="27"/>
        <v>10</v>
      </c>
    </row>
    <row r="434" spans="1:15" x14ac:dyDescent="0.35">
      <c r="A434" s="1">
        <v>433</v>
      </c>
      <c r="B434" s="2">
        <v>40563</v>
      </c>
      <c r="C434" s="1">
        <v>1</v>
      </c>
      <c r="D434" s="1">
        <v>0</v>
      </c>
      <c r="E434" s="1">
        <v>1</v>
      </c>
      <c r="F434" s="1">
        <v>1</v>
      </c>
      <c r="G434" s="1" t="b">
        <v>0</v>
      </c>
      <c r="H434" s="1">
        <v>4</v>
      </c>
      <c r="I434" s="1">
        <v>1</v>
      </c>
      <c r="J434" s="1">
        <v>0.26</v>
      </c>
      <c r="L434" s="3" t="str">
        <f t="shared" si="24"/>
        <v>2011-01-20</v>
      </c>
      <c r="M434" s="3" t="str">
        <f t="shared" si="25"/>
        <v>2011</v>
      </c>
      <c r="N434" s="3" t="str">
        <f t="shared" si="26"/>
        <v>20</v>
      </c>
      <c r="O434" s="3">
        <f t="shared" si="27"/>
        <v>10</v>
      </c>
    </row>
    <row r="435" spans="1:15" x14ac:dyDescent="0.35">
      <c r="A435" s="1">
        <v>434</v>
      </c>
      <c r="B435" s="2">
        <v>40563</v>
      </c>
      <c r="C435" s="1">
        <v>1</v>
      </c>
      <c r="D435" s="1">
        <v>0</v>
      </c>
      <c r="E435" s="1">
        <v>1</v>
      </c>
      <c r="F435" s="1">
        <v>2</v>
      </c>
      <c r="G435" s="1" t="b">
        <v>0</v>
      </c>
      <c r="H435" s="1">
        <v>4</v>
      </c>
      <c r="I435" s="1">
        <v>1</v>
      </c>
      <c r="J435" s="1">
        <v>0.26</v>
      </c>
      <c r="L435" s="3" t="str">
        <f t="shared" si="24"/>
        <v>2011-01-20</v>
      </c>
      <c r="M435" s="3" t="str">
        <f t="shared" si="25"/>
        <v>2011</v>
      </c>
      <c r="N435" s="3" t="str">
        <f t="shared" si="26"/>
        <v>20</v>
      </c>
      <c r="O435" s="3">
        <f t="shared" si="27"/>
        <v>10</v>
      </c>
    </row>
    <row r="436" spans="1:15" x14ac:dyDescent="0.35">
      <c r="A436" s="1">
        <v>435</v>
      </c>
      <c r="B436" s="2">
        <v>40563</v>
      </c>
      <c r="C436" s="1">
        <v>1</v>
      </c>
      <c r="D436" s="1">
        <v>0</v>
      </c>
      <c r="E436" s="1">
        <v>1</v>
      </c>
      <c r="F436" s="1">
        <v>3</v>
      </c>
      <c r="G436" s="1" t="b">
        <v>0</v>
      </c>
      <c r="H436" s="1">
        <v>4</v>
      </c>
      <c r="I436" s="1">
        <v>1</v>
      </c>
      <c r="J436" s="1">
        <v>0.26</v>
      </c>
      <c r="L436" s="3" t="str">
        <f t="shared" si="24"/>
        <v>2011-01-20</v>
      </c>
      <c r="M436" s="3" t="str">
        <f t="shared" si="25"/>
        <v>2011</v>
      </c>
      <c r="N436" s="3" t="str">
        <f t="shared" si="26"/>
        <v>20</v>
      </c>
      <c r="O436" s="3">
        <f t="shared" si="27"/>
        <v>10</v>
      </c>
    </row>
    <row r="437" spans="1:15" x14ac:dyDescent="0.35">
      <c r="A437" s="1">
        <v>436</v>
      </c>
      <c r="B437" s="2">
        <v>40563</v>
      </c>
      <c r="C437" s="1">
        <v>1</v>
      </c>
      <c r="D437" s="1">
        <v>0</v>
      </c>
      <c r="E437" s="1">
        <v>1</v>
      </c>
      <c r="F437" s="1">
        <v>4</v>
      </c>
      <c r="G437" s="1" t="b">
        <v>0</v>
      </c>
      <c r="H437" s="1">
        <v>4</v>
      </c>
      <c r="I437" s="1">
        <v>1</v>
      </c>
      <c r="J437" s="1">
        <v>0.26</v>
      </c>
      <c r="L437" s="3" t="str">
        <f t="shared" si="24"/>
        <v>2011-01-20</v>
      </c>
      <c r="M437" s="3" t="str">
        <f t="shared" si="25"/>
        <v>2011</v>
      </c>
      <c r="N437" s="3" t="str">
        <f t="shared" si="26"/>
        <v>20</v>
      </c>
      <c r="O437" s="3">
        <f t="shared" si="27"/>
        <v>10</v>
      </c>
    </row>
    <row r="438" spans="1:15" x14ac:dyDescent="0.35">
      <c r="A438" s="1">
        <v>437</v>
      </c>
      <c r="B438" s="2">
        <v>40563</v>
      </c>
      <c r="C438" s="1">
        <v>1</v>
      </c>
      <c r="D438" s="1">
        <v>0</v>
      </c>
      <c r="E438" s="1">
        <v>1</v>
      </c>
      <c r="F438" s="1">
        <v>5</v>
      </c>
      <c r="G438" s="1" t="b">
        <v>0</v>
      </c>
      <c r="H438" s="1">
        <v>4</v>
      </c>
      <c r="I438" s="1">
        <v>1</v>
      </c>
      <c r="J438" s="1">
        <v>0.24</v>
      </c>
      <c r="L438" s="3" t="str">
        <f t="shared" si="24"/>
        <v>2011-01-20</v>
      </c>
      <c r="M438" s="3" t="str">
        <f t="shared" si="25"/>
        <v>2011</v>
      </c>
      <c r="N438" s="3" t="str">
        <f t="shared" si="26"/>
        <v>20</v>
      </c>
      <c r="O438" s="3">
        <f t="shared" si="27"/>
        <v>10</v>
      </c>
    </row>
    <row r="439" spans="1:15" x14ac:dyDescent="0.35">
      <c r="A439" s="1">
        <v>438</v>
      </c>
      <c r="B439" s="2">
        <v>40563</v>
      </c>
      <c r="C439" s="1">
        <v>1</v>
      </c>
      <c r="D439" s="1">
        <v>0</v>
      </c>
      <c r="E439" s="1">
        <v>1</v>
      </c>
      <c r="F439" s="1">
        <v>6</v>
      </c>
      <c r="G439" s="1" t="b">
        <v>0</v>
      </c>
      <c r="H439" s="1">
        <v>4</v>
      </c>
      <c r="I439" s="1">
        <v>1</v>
      </c>
      <c r="J439" s="1">
        <v>0.22</v>
      </c>
      <c r="L439" s="3" t="str">
        <f t="shared" si="24"/>
        <v>2011-01-20</v>
      </c>
      <c r="M439" s="3" t="str">
        <f t="shared" si="25"/>
        <v>2011</v>
      </c>
      <c r="N439" s="3" t="str">
        <f t="shared" si="26"/>
        <v>20</v>
      </c>
      <c r="O439" s="3">
        <f t="shared" si="27"/>
        <v>10</v>
      </c>
    </row>
    <row r="440" spans="1:15" x14ac:dyDescent="0.35">
      <c r="A440" s="1">
        <v>439</v>
      </c>
      <c r="B440" s="2">
        <v>40563</v>
      </c>
      <c r="C440" s="1">
        <v>1</v>
      </c>
      <c r="D440" s="1">
        <v>0</v>
      </c>
      <c r="E440" s="1">
        <v>1</v>
      </c>
      <c r="F440" s="1">
        <v>7</v>
      </c>
      <c r="G440" s="1" t="b">
        <v>0</v>
      </c>
      <c r="H440" s="1">
        <v>4</v>
      </c>
      <c r="I440" s="1">
        <v>1</v>
      </c>
      <c r="J440" s="1">
        <v>0.22</v>
      </c>
      <c r="L440" s="3" t="str">
        <f t="shared" si="24"/>
        <v>2011-01-20</v>
      </c>
      <c r="M440" s="3" t="str">
        <f t="shared" si="25"/>
        <v>2011</v>
      </c>
      <c r="N440" s="3" t="str">
        <f t="shared" si="26"/>
        <v>20</v>
      </c>
      <c r="O440" s="3">
        <f t="shared" si="27"/>
        <v>10</v>
      </c>
    </row>
    <row r="441" spans="1:15" x14ac:dyDescent="0.35">
      <c r="A441" s="1">
        <v>440</v>
      </c>
      <c r="B441" s="2">
        <v>40563</v>
      </c>
      <c r="C441" s="1">
        <v>1</v>
      </c>
      <c r="D441" s="1">
        <v>0</v>
      </c>
      <c r="E441" s="1">
        <v>1</v>
      </c>
      <c r="F441" s="1">
        <v>8</v>
      </c>
      <c r="G441" s="1" t="b">
        <v>0</v>
      </c>
      <c r="H441" s="1">
        <v>4</v>
      </c>
      <c r="I441" s="1">
        <v>1</v>
      </c>
      <c r="J441" s="1">
        <v>0.22</v>
      </c>
      <c r="L441" s="3" t="str">
        <f t="shared" si="24"/>
        <v>2011-01-20</v>
      </c>
      <c r="M441" s="3" t="str">
        <f t="shared" si="25"/>
        <v>2011</v>
      </c>
      <c r="N441" s="3" t="str">
        <f t="shared" si="26"/>
        <v>20</v>
      </c>
      <c r="O441" s="3">
        <f t="shared" si="27"/>
        <v>10</v>
      </c>
    </row>
    <row r="442" spans="1:15" x14ac:dyDescent="0.35">
      <c r="A442" s="1">
        <v>441</v>
      </c>
      <c r="B442" s="2">
        <v>40563</v>
      </c>
      <c r="C442" s="1">
        <v>1</v>
      </c>
      <c r="D442" s="1">
        <v>0</v>
      </c>
      <c r="E442" s="1">
        <v>1</v>
      </c>
      <c r="F442" s="1">
        <v>9</v>
      </c>
      <c r="G442" s="1" t="b">
        <v>0</v>
      </c>
      <c r="H442" s="1">
        <v>4</v>
      </c>
      <c r="I442" s="1">
        <v>2</v>
      </c>
      <c r="J442" s="1">
        <v>0.24</v>
      </c>
      <c r="L442" s="3" t="str">
        <f t="shared" si="24"/>
        <v>2011-01-20</v>
      </c>
      <c r="M442" s="3" t="str">
        <f t="shared" si="25"/>
        <v>2011</v>
      </c>
      <c r="N442" s="3" t="str">
        <f t="shared" si="26"/>
        <v>20</v>
      </c>
      <c r="O442" s="3">
        <f t="shared" si="27"/>
        <v>10</v>
      </c>
    </row>
    <row r="443" spans="1:15" x14ac:dyDescent="0.35">
      <c r="A443" s="1">
        <v>442</v>
      </c>
      <c r="B443" s="2">
        <v>40563</v>
      </c>
      <c r="C443" s="1">
        <v>1</v>
      </c>
      <c r="D443" s="1">
        <v>0</v>
      </c>
      <c r="E443" s="1">
        <v>1</v>
      </c>
      <c r="F443" s="1">
        <v>10</v>
      </c>
      <c r="G443" s="1" t="b">
        <v>0</v>
      </c>
      <c r="H443" s="1">
        <v>4</v>
      </c>
      <c r="I443" s="1">
        <v>1</v>
      </c>
      <c r="J443" s="1">
        <v>0.26</v>
      </c>
      <c r="L443" s="3" t="str">
        <f t="shared" si="24"/>
        <v>2011-01-20</v>
      </c>
      <c r="M443" s="3" t="str">
        <f t="shared" si="25"/>
        <v>2011</v>
      </c>
      <c r="N443" s="3" t="str">
        <f t="shared" si="26"/>
        <v>20</v>
      </c>
      <c r="O443" s="3">
        <f t="shared" si="27"/>
        <v>10</v>
      </c>
    </row>
    <row r="444" spans="1:15" x14ac:dyDescent="0.35">
      <c r="A444" s="1">
        <v>443</v>
      </c>
      <c r="B444" s="2">
        <v>40563</v>
      </c>
      <c r="C444" s="1">
        <v>1</v>
      </c>
      <c r="D444" s="1">
        <v>0</v>
      </c>
      <c r="E444" s="1">
        <v>1</v>
      </c>
      <c r="F444" s="1">
        <v>11</v>
      </c>
      <c r="G444" s="1" t="b">
        <v>0</v>
      </c>
      <c r="H444" s="1">
        <v>4</v>
      </c>
      <c r="I444" s="1">
        <v>2</v>
      </c>
      <c r="J444" s="1">
        <v>0.28000000000000003</v>
      </c>
      <c r="L444" s="3" t="str">
        <f t="shared" si="24"/>
        <v>2011-01-20</v>
      </c>
      <c r="M444" s="3" t="str">
        <f t="shared" si="25"/>
        <v>2011</v>
      </c>
      <c r="N444" s="3" t="str">
        <f t="shared" si="26"/>
        <v>20</v>
      </c>
      <c r="O444" s="3">
        <f t="shared" si="27"/>
        <v>10</v>
      </c>
    </row>
    <row r="445" spans="1:15" x14ac:dyDescent="0.35">
      <c r="A445" s="1">
        <v>444</v>
      </c>
      <c r="B445" s="2">
        <v>40563</v>
      </c>
      <c r="C445" s="1">
        <v>1</v>
      </c>
      <c r="D445" s="1">
        <v>0</v>
      </c>
      <c r="E445" s="1">
        <v>1</v>
      </c>
      <c r="F445" s="1">
        <v>12</v>
      </c>
      <c r="G445" s="1" t="b">
        <v>0</v>
      </c>
      <c r="H445" s="1">
        <v>4</v>
      </c>
      <c r="I445" s="1">
        <v>2</v>
      </c>
      <c r="J445" s="1">
        <v>0.3</v>
      </c>
      <c r="L445" s="3" t="str">
        <f t="shared" si="24"/>
        <v>2011-01-20</v>
      </c>
      <c r="M445" s="3" t="str">
        <f t="shared" si="25"/>
        <v>2011</v>
      </c>
      <c r="N445" s="3" t="str">
        <f t="shared" si="26"/>
        <v>20</v>
      </c>
      <c r="O445" s="3">
        <f t="shared" si="27"/>
        <v>10</v>
      </c>
    </row>
    <row r="446" spans="1:15" x14ac:dyDescent="0.35">
      <c r="A446" s="1">
        <v>445</v>
      </c>
      <c r="B446" s="2">
        <v>40563</v>
      </c>
      <c r="C446" s="1">
        <v>1</v>
      </c>
      <c r="D446" s="1">
        <v>0</v>
      </c>
      <c r="E446" s="1">
        <v>1</v>
      </c>
      <c r="F446" s="1">
        <v>13</v>
      </c>
      <c r="G446" s="1" t="b">
        <v>0</v>
      </c>
      <c r="H446" s="1">
        <v>4</v>
      </c>
      <c r="I446" s="1">
        <v>2</v>
      </c>
      <c r="J446" s="1">
        <v>0.28000000000000003</v>
      </c>
      <c r="L446" s="3" t="str">
        <f t="shared" si="24"/>
        <v>2011-01-20</v>
      </c>
      <c r="M446" s="3" t="str">
        <f t="shared" si="25"/>
        <v>2011</v>
      </c>
      <c r="N446" s="3" t="str">
        <f t="shared" si="26"/>
        <v>20</v>
      </c>
      <c r="O446" s="3">
        <f t="shared" si="27"/>
        <v>10</v>
      </c>
    </row>
    <row r="447" spans="1:15" x14ac:dyDescent="0.35">
      <c r="A447" s="1">
        <v>446</v>
      </c>
      <c r="B447" s="2">
        <v>40563</v>
      </c>
      <c r="C447" s="1">
        <v>1</v>
      </c>
      <c r="D447" s="1">
        <v>0</v>
      </c>
      <c r="E447" s="1">
        <v>1</v>
      </c>
      <c r="F447" s="1">
        <v>14</v>
      </c>
      <c r="G447" s="1" t="b">
        <v>0</v>
      </c>
      <c r="H447" s="1">
        <v>4</v>
      </c>
      <c r="I447" s="1">
        <v>2</v>
      </c>
      <c r="J447" s="1">
        <v>0.3</v>
      </c>
      <c r="L447" s="3" t="str">
        <f t="shared" si="24"/>
        <v>2011-01-20</v>
      </c>
      <c r="M447" s="3" t="str">
        <f t="shared" si="25"/>
        <v>2011</v>
      </c>
      <c r="N447" s="3" t="str">
        <f t="shared" si="26"/>
        <v>20</v>
      </c>
      <c r="O447" s="3">
        <f t="shared" si="27"/>
        <v>10</v>
      </c>
    </row>
    <row r="448" spans="1:15" x14ac:dyDescent="0.35">
      <c r="A448" s="1">
        <v>447</v>
      </c>
      <c r="B448" s="2">
        <v>40563</v>
      </c>
      <c r="C448" s="1">
        <v>1</v>
      </c>
      <c r="D448" s="1">
        <v>0</v>
      </c>
      <c r="E448" s="1">
        <v>1</v>
      </c>
      <c r="F448" s="1">
        <v>15</v>
      </c>
      <c r="G448" s="1" t="b">
        <v>0</v>
      </c>
      <c r="H448" s="1">
        <v>4</v>
      </c>
      <c r="I448" s="1">
        <v>2</v>
      </c>
      <c r="J448" s="1">
        <v>0.32</v>
      </c>
      <c r="L448" s="3" t="str">
        <f t="shared" si="24"/>
        <v>2011-01-20</v>
      </c>
      <c r="M448" s="3" t="str">
        <f t="shared" si="25"/>
        <v>2011</v>
      </c>
      <c r="N448" s="3" t="str">
        <f t="shared" si="26"/>
        <v>20</v>
      </c>
      <c r="O448" s="3">
        <f t="shared" si="27"/>
        <v>10</v>
      </c>
    </row>
    <row r="449" spans="1:15" x14ac:dyDescent="0.35">
      <c r="A449" s="1">
        <v>448</v>
      </c>
      <c r="B449" s="2">
        <v>40563</v>
      </c>
      <c r="C449" s="1">
        <v>1</v>
      </c>
      <c r="D449" s="1">
        <v>0</v>
      </c>
      <c r="E449" s="1">
        <v>1</v>
      </c>
      <c r="F449" s="1">
        <v>16</v>
      </c>
      <c r="G449" s="1" t="b">
        <v>0</v>
      </c>
      <c r="H449" s="1">
        <v>4</v>
      </c>
      <c r="I449" s="1">
        <v>2</v>
      </c>
      <c r="J449" s="1">
        <v>0.3</v>
      </c>
      <c r="L449" s="3" t="str">
        <f t="shared" si="24"/>
        <v>2011-01-20</v>
      </c>
      <c r="M449" s="3" t="str">
        <f t="shared" si="25"/>
        <v>2011</v>
      </c>
      <c r="N449" s="3" t="str">
        <f t="shared" si="26"/>
        <v>20</v>
      </c>
      <c r="O449" s="3">
        <f t="shared" si="27"/>
        <v>10</v>
      </c>
    </row>
    <row r="450" spans="1:15" x14ac:dyDescent="0.35">
      <c r="A450" s="1">
        <v>449</v>
      </c>
      <c r="B450" s="2">
        <v>40563</v>
      </c>
      <c r="C450" s="1">
        <v>1</v>
      </c>
      <c r="D450" s="1">
        <v>0</v>
      </c>
      <c r="E450" s="1">
        <v>1</v>
      </c>
      <c r="F450" s="1">
        <v>17</v>
      </c>
      <c r="G450" s="1" t="b">
        <v>0</v>
      </c>
      <c r="H450" s="1">
        <v>4</v>
      </c>
      <c r="I450" s="1">
        <v>2</v>
      </c>
      <c r="J450" s="1">
        <v>0.3</v>
      </c>
      <c r="L450" s="3" t="str">
        <f t="shared" si="24"/>
        <v>2011-01-20</v>
      </c>
      <c r="M450" s="3" t="str">
        <f t="shared" si="25"/>
        <v>2011</v>
      </c>
      <c r="N450" s="3" t="str">
        <f t="shared" si="26"/>
        <v>20</v>
      </c>
      <c r="O450" s="3">
        <f t="shared" si="27"/>
        <v>10</v>
      </c>
    </row>
    <row r="451" spans="1:15" x14ac:dyDescent="0.35">
      <c r="A451" s="1">
        <v>450</v>
      </c>
      <c r="B451" s="2">
        <v>40563</v>
      </c>
      <c r="C451" s="1">
        <v>1</v>
      </c>
      <c r="D451" s="1">
        <v>0</v>
      </c>
      <c r="E451" s="1">
        <v>1</v>
      </c>
      <c r="F451" s="1">
        <v>18</v>
      </c>
      <c r="G451" s="1" t="b">
        <v>0</v>
      </c>
      <c r="H451" s="1">
        <v>4</v>
      </c>
      <c r="I451" s="1">
        <v>2</v>
      </c>
      <c r="J451" s="1">
        <v>0.26</v>
      </c>
      <c r="L451" s="3" t="str">
        <f t="shared" ref="L451:L514" si="28">TEXT(B451,"yyyy-mm-dd")</f>
        <v>2011-01-20</v>
      </c>
      <c r="M451" s="3" t="str">
        <f t="shared" ref="M451:M514" si="29">LEFT(L451,4)</f>
        <v>2011</v>
      </c>
      <c r="N451" s="3" t="str">
        <f t="shared" ref="N451:N514" si="30">RIGHT(L451,2)</f>
        <v>20</v>
      </c>
      <c r="O451" s="3">
        <f t="shared" ref="O451:O514" si="31">LEN(L451)</f>
        <v>10</v>
      </c>
    </row>
    <row r="452" spans="1:15" x14ac:dyDescent="0.35">
      <c r="A452" s="1">
        <v>451</v>
      </c>
      <c r="B452" s="2">
        <v>40563</v>
      </c>
      <c r="C452" s="1">
        <v>1</v>
      </c>
      <c r="D452" s="1">
        <v>0</v>
      </c>
      <c r="E452" s="1">
        <v>1</v>
      </c>
      <c r="F452" s="1">
        <v>19</v>
      </c>
      <c r="G452" s="1" t="b">
        <v>0</v>
      </c>
      <c r="H452" s="1">
        <v>4</v>
      </c>
      <c r="I452" s="1">
        <v>1</v>
      </c>
      <c r="J452" s="1">
        <v>0.26</v>
      </c>
      <c r="L452" s="3" t="str">
        <f t="shared" si="28"/>
        <v>2011-01-20</v>
      </c>
      <c r="M452" s="3" t="str">
        <f t="shared" si="29"/>
        <v>2011</v>
      </c>
      <c r="N452" s="3" t="str">
        <f t="shared" si="30"/>
        <v>20</v>
      </c>
      <c r="O452" s="3">
        <f t="shared" si="31"/>
        <v>10</v>
      </c>
    </row>
    <row r="453" spans="1:15" x14ac:dyDescent="0.35">
      <c r="A453" s="1">
        <v>452</v>
      </c>
      <c r="B453" s="2">
        <v>40563</v>
      </c>
      <c r="C453" s="1">
        <v>1</v>
      </c>
      <c r="D453" s="1">
        <v>0</v>
      </c>
      <c r="E453" s="1">
        <v>1</v>
      </c>
      <c r="F453" s="1">
        <v>20</v>
      </c>
      <c r="G453" s="1" t="b">
        <v>0</v>
      </c>
      <c r="H453" s="1">
        <v>4</v>
      </c>
      <c r="I453" s="1">
        <v>2</v>
      </c>
      <c r="J453" s="1">
        <v>0.26</v>
      </c>
      <c r="L453" s="3" t="str">
        <f t="shared" si="28"/>
        <v>2011-01-20</v>
      </c>
      <c r="M453" s="3" t="str">
        <f t="shared" si="29"/>
        <v>2011</v>
      </c>
      <c r="N453" s="3" t="str">
        <f t="shared" si="30"/>
        <v>20</v>
      </c>
      <c r="O453" s="3">
        <f t="shared" si="31"/>
        <v>10</v>
      </c>
    </row>
    <row r="454" spans="1:15" x14ac:dyDescent="0.35">
      <c r="A454" s="1">
        <v>453</v>
      </c>
      <c r="B454" s="2">
        <v>40563</v>
      </c>
      <c r="C454" s="1">
        <v>1</v>
      </c>
      <c r="D454" s="1">
        <v>0</v>
      </c>
      <c r="E454" s="1">
        <v>1</v>
      </c>
      <c r="F454" s="1">
        <v>21</v>
      </c>
      <c r="G454" s="1" t="b">
        <v>0</v>
      </c>
      <c r="H454" s="1">
        <v>4</v>
      </c>
      <c r="I454" s="1">
        <v>2</v>
      </c>
      <c r="J454" s="1">
        <v>0.24</v>
      </c>
      <c r="L454" s="3" t="str">
        <f t="shared" si="28"/>
        <v>2011-01-20</v>
      </c>
      <c r="M454" s="3" t="str">
        <f t="shared" si="29"/>
        <v>2011</v>
      </c>
      <c r="N454" s="3" t="str">
        <f t="shared" si="30"/>
        <v>20</v>
      </c>
      <c r="O454" s="3">
        <f t="shared" si="31"/>
        <v>10</v>
      </c>
    </row>
    <row r="455" spans="1:15" x14ac:dyDescent="0.35">
      <c r="A455" s="1">
        <v>454</v>
      </c>
      <c r="B455" s="2">
        <v>40563</v>
      </c>
      <c r="C455" s="1">
        <v>1</v>
      </c>
      <c r="D455" s="1">
        <v>0</v>
      </c>
      <c r="E455" s="1">
        <v>1</v>
      </c>
      <c r="F455" s="1">
        <v>22</v>
      </c>
      <c r="G455" s="1" t="b">
        <v>0</v>
      </c>
      <c r="H455" s="1">
        <v>4</v>
      </c>
      <c r="I455" s="1">
        <v>2</v>
      </c>
      <c r="J455" s="1">
        <v>0.24</v>
      </c>
      <c r="L455" s="3" t="str">
        <f t="shared" si="28"/>
        <v>2011-01-20</v>
      </c>
      <c r="M455" s="3" t="str">
        <f t="shared" si="29"/>
        <v>2011</v>
      </c>
      <c r="N455" s="3" t="str">
        <f t="shared" si="30"/>
        <v>20</v>
      </c>
      <c r="O455" s="3">
        <f t="shared" si="31"/>
        <v>10</v>
      </c>
    </row>
    <row r="456" spans="1:15" x14ac:dyDescent="0.35">
      <c r="A456" s="1">
        <v>455</v>
      </c>
      <c r="B456" s="2">
        <v>40563</v>
      </c>
      <c r="C456" s="1">
        <v>1</v>
      </c>
      <c r="D456" s="1">
        <v>0</v>
      </c>
      <c r="E456" s="1">
        <v>1</v>
      </c>
      <c r="F456" s="1">
        <v>23</v>
      </c>
      <c r="G456" s="1" t="b">
        <v>0</v>
      </c>
      <c r="H456" s="1">
        <v>4</v>
      </c>
      <c r="I456" s="1">
        <v>2</v>
      </c>
      <c r="J456" s="1">
        <v>0.24</v>
      </c>
      <c r="L456" s="3" t="str">
        <f t="shared" si="28"/>
        <v>2011-01-20</v>
      </c>
      <c r="M456" s="3" t="str">
        <f t="shared" si="29"/>
        <v>2011</v>
      </c>
      <c r="N456" s="3" t="str">
        <f t="shared" si="30"/>
        <v>20</v>
      </c>
      <c r="O456" s="3">
        <f t="shared" si="31"/>
        <v>10</v>
      </c>
    </row>
    <row r="457" spans="1:15" x14ac:dyDescent="0.35">
      <c r="A457" s="1">
        <v>456</v>
      </c>
      <c r="B457" s="2">
        <v>40564</v>
      </c>
      <c r="C457" s="1">
        <v>1</v>
      </c>
      <c r="D457" s="1">
        <v>0</v>
      </c>
      <c r="E457" s="1">
        <v>1</v>
      </c>
      <c r="F457" s="1">
        <v>0</v>
      </c>
      <c r="G457" s="1" t="b">
        <v>0</v>
      </c>
      <c r="H457" s="1">
        <v>5</v>
      </c>
      <c r="I457" s="1">
        <v>2</v>
      </c>
      <c r="J457" s="1">
        <v>0.24</v>
      </c>
      <c r="L457" s="3" t="str">
        <f t="shared" si="28"/>
        <v>2011-01-21</v>
      </c>
      <c r="M457" s="3" t="str">
        <f t="shared" si="29"/>
        <v>2011</v>
      </c>
      <c r="N457" s="3" t="str">
        <f t="shared" si="30"/>
        <v>21</v>
      </c>
      <c r="O457" s="3">
        <f t="shared" si="31"/>
        <v>10</v>
      </c>
    </row>
    <row r="458" spans="1:15" x14ac:dyDescent="0.35">
      <c r="A458" s="1">
        <v>457</v>
      </c>
      <c r="B458" s="2">
        <v>40564</v>
      </c>
      <c r="C458" s="1">
        <v>1</v>
      </c>
      <c r="D458" s="1">
        <v>0</v>
      </c>
      <c r="E458" s="1">
        <v>1</v>
      </c>
      <c r="F458" s="1">
        <v>1</v>
      </c>
      <c r="G458" s="1" t="b">
        <v>0</v>
      </c>
      <c r="H458" s="1">
        <v>5</v>
      </c>
      <c r="I458" s="1">
        <v>2</v>
      </c>
      <c r="J458" s="1">
        <v>0.24</v>
      </c>
      <c r="L458" s="3" t="str">
        <f t="shared" si="28"/>
        <v>2011-01-21</v>
      </c>
      <c r="M458" s="3" t="str">
        <f t="shared" si="29"/>
        <v>2011</v>
      </c>
      <c r="N458" s="3" t="str">
        <f t="shared" si="30"/>
        <v>21</v>
      </c>
      <c r="O458" s="3">
        <f t="shared" si="31"/>
        <v>10</v>
      </c>
    </row>
    <row r="459" spans="1:15" x14ac:dyDescent="0.35">
      <c r="A459" s="1">
        <v>458</v>
      </c>
      <c r="B459" s="2">
        <v>40564</v>
      </c>
      <c r="C459" s="1">
        <v>1</v>
      </c>
      <c r="D459" s="1">
        <v>0</v>
      </c>
      <c r="E459" s="1">
        <v>1</v>
      </c>
      <c r="F459" s="1">
        <v>2</v>
      </c>
      <c r="G459" s="1" t="b">
        <v>0</v>
      </c>
      <c r="H459" s="1">
        <v>5</v>
      </c>
      <c r="I459" s="1">
        <v>3</v>
      </c>
      <c r="J459" s="1">
        <v>0.24</v>
      </c>
      <c r="L459" s="3" t="str">
        <f t="shared" si="28"/>
        <v>2011-01-21</v>
      </c>
      <c r="M459" s="3" t="str">
        <f t="shared" si="29"/>
        <v>2011</v>
      </c>
      <c r="N459" s="3" t="str">
        <f t="shared" si="30"/>
        <v>21</v>
      </c>
      <c r="O459" s="3">
        <f t="shared" si="31"/>
        <v>10</v>
      </c>
    </row>
    <row r="460" spans="1:15" x14ac:dyDescent="0.35">
      <c r="A460" s="1">
        <v>459</v>
      </c>
      <c r="B460" s="2">
        <v>40564</v>
      </c>
      <c r="C460" s="1">
        <v>1</v>
      </c>
      <c r="D460" s="1">
        <v>0</v>
      </c>
      <c r="E460" s="1">
        <v>1</v>
      </c>
      <c r="F460" s="1">
        <v>3</v>
      </c>
      <c r="G460" s="1" t="b">
        <v>0</v>
      </c>
      <c r="H460" s="1">
        <v>5</v>
      </c>
      <c r="I460" s="1">
        <v>3</v>
      </c>
      <c r="J460" s="1">
        <v>0.22</v>
      </c>
      <c r="L460" s="3" t="str">
        <f t="shared" si="28"/>
        <v>2011-01-21</v>
      </c>
      <c r="M460" s="3" t="str">
        <f t="shared" si="29"/>
        <v>2011</v>
      </c>
      <c r="N460" s="3" t="str">
        <f t="shared" si="30"/>
        <v>21</v>
      </c>
      <c r="O460" s="3">
        <f t="shared" si="31"/>
        <v>10</v>
      </c>
    </row>
    <row r="461" spans="1:15" x14ac:dyDescent="0.35">
      <c r="A461" s="1">
        <v>460</v>
      </c>
      <c r="B461" s="2">
        <v>40564</v>
      </c>
      <c r="C461" s="1">
        <v>1</v>
      </c>
      <c r="D461" s="1">
        <v>0</v>
      </c>
      <c r="E461" s="1">
        <v>1</v>
      </c>
      <c r="F461" s="1">
        <v>4</v>
      </c>
      <c r="G461" s="1" t="b">
        <v>0</v>
      </c>
      <c r="H461" s="1">
        <v>5</v>
      </c>
      <c r="I461" s="1">
        <v>2</v>
      </c>
      <c r="J461" s="1">
        <v>0.22</v>
      </c>
      <c r="L461" s="3" t="str">
        <f t="shared" si="28"/>
        <v>2011-01-21</v>
      </c>
      <c r="M461" s="3" t="str">
        <f t="shared" si="29"/>
        <v>2011</v>
      </c>
      <c r="N461" s="3" t="str">
        <f t="shared" si="30"/>
        <v>21</v>
      </c>
      <c r="O461" s="3">
        <f t="shared" si="31"/>
        <v>10</v>
      </c>
    </row>
    <row r="462" spans="1:15" x14ac:dyDescent="0.35">
      <c r="A462" s="1">
        <v>461</v>
      </c>
      <c r="B462" s="2">
        <v>40564</v>
      </c>
      <c r="C462" s="1">
        <v>1</v>
      </c>
      <c r="D462" s="1">
        <v>0</v>
      </c>
      <c r="E462" s="1">
        <v>1</v>
      </c>
      <c r="F462" s="1">
        <v>5</v>
      </c>
      <c r="G462" s="1" t="b">
        <v>0</v>
      </c>
      <c r="H462" s="1">
        <v>5</v>
      </c>
      <c r="I462" s="1">
        <v>1</v>
      </c>
      <c r="J462" s="1">
        <v>0.24</v>
      </c>
      <c r="L462" s="3" t="str">
        <f t="shared" si="28"/>
        <v>2011-01-21</v>
      </c>
      <c r="M462" s="3" t="str">
        <f t="shared" si="29"/>
        <v>2011</v>
      </c>
      <c r="N462" s="3" t="str">
        <f t="shared" si="30"/>
        <v>21</v>
      </c>
      <c r="O462" s="3">
        <f t="shared" si="31"/>
        <v>10</v>
      </c>
    </row>
    <row r="463" spans="1:15" x14ac:dyDescent="0.35">
      <c r="A463" s="1">
        <v>462</v>
      </c>
      <c r="B463" s="2">
        <v>40564</v>
      </c>
      <c r="C463" s="1">
        <v>1</v>
      </c>
      <c r="D463" s="1">
        <v>0</v>
      </c>
      <c r="E463" s="1">
        <v>1</v>
      </c>
      <c r="F463" s="1">
        <v>6</v>
      </c>
      <c r="G463" s="1" t="b">
        <v>0</v>
      </c>
      <c r="H463" s="1">
        <v>5</v>
      </c>
      <c r="I463" s="1">
        <v>1</v>
      </c>
      <c r="J463" s="1">
        <v>0.22</v>
      </c>
      <c r="L463" s="3" t="str">
        <f t="shared" si="28"/>
        <v>2011-01-21</v>
      </c>
      <c r="M463" s="3" t="str">
        <f t="shared" si="29"/>
        <v>2011</v>
      </c>
      <c r="N463" s="3" t="str">
        <f t="shared" si="30"/>
        <v>21</v>
      </c>
      <c r="O463" s="3">
        <f t="shared" si="31"/>
        <v>10</v>
      </c>
    </row>
    <row r="464" spans="1:15" x14ac:dyDescent="0.35">
      <c r="A464" s="1">
        <v>463</v>
      </c>
      <c r="B464" s="2">
        <v>40564</v>
      </c>
      <c r="C464" s="1">
        <v>1</v>
      </c>
      <c r="D464" s="1">
        <v>0</v>
      </c>
      <c r="E464" s="1">
        <v>1</v>
      </c>
      <c r="F464" s="1">
        <v>7</v>
      </c>
      <c r="G464" s="1" t="b">
        <v>0</v>
      </c>
      <c r="H464" s="1">
        <v>5</v>
      </c>
      <c r="I464" s="1">
        <v>1</v>
      </c>
      <c r="J464" s="1">
        <v>0.2</v>
      </c>
      <c r="L464" s="3" t="str">
        <f t="shared" si="28"/>
        <v>2011-01-21</v>
      </c>
      <c r="M464" s="3" t="str">
        <f t="shared" si="29"/>
        <v>2011</v>
      </c>
      <c r="N464" s="3" t="str">
        <f t="shared" si="30"/>
        <v>21</v>
      </c>
      <c r="O464" s="3">
        <f t="shared" si="31"/>
        <v>10</v>
      </c>
    </row>
    <row r="465" spans="1:15" x14ac:dyDescent="0.35">
      <c r="A465" s="1">
        <v>464</v>
      </c>
      <c r="B465" s="2">
        <v>40564</v>
      </c>
      <c r="C465" s="1">
        <v>1</v>
      </c>
      <c r="D465" s="1">
        <v>0</v>
      </c>
      <c r="E465" s="1">
        <v>1</v>
      </c>
      <c r="F465" s="1">
        <v>8</v>
      </c>
      <c r="G465" s="1" t="b">
        <v>0</v>
      </c>
      <c r="H465" s="1">
        <v>5</v>
      </c>
      <c r="I465" s="1">
        <v>1</v>
      </c>
      <c r="J465" s="1">
        <v>0.2</v>
      </c>
      <c r="L465" s="3" t="str">
        <f t="shared" si="28"/>
        <v>2011-01-21</v>
      </c>
      <c r="M465" s="3" t="str">
        <f t="shared" si="29"/>
        <v>2011</v>
      </c>
      <c r="N465" s="3" t="str">
        <f t="shared" si="30"/>
        <v>21</v>
      </c>
      <c r="O465" s="3">
        <f t="shared" si="31"/>
        <v>10</v>
      </c>
    </row>
    <row r="466" spans="1:15" x14ac:dyDescent="0.35">
      <c r="A466" s="1">
        <v>465</v>
      </c>
      <c r="B466" s="2">
        <v>40564</v>
      </c>
      <c r="C466" s="1">
        <v>1</v>
      </c>
      <c r="D466" s="1">
        <v>0</v>
      </c>
      <c r="E466" s="1">
        <v>1</v>
      </c>
      <c r="F466" s="1">
        <v>9</v>
      </c>
      <c r="G466" s="1" t="b">
        <v>0</v>
      </c>
      <c r="H466" s="1">
        <v>5</v>
      </c>
      <c r="I466" s="1">
        <v>1</v>
      </c>
      <c r="J466" s="1">
        <v>0.2</v>
      </c>
      <c r="L466" s="3" t="str">
        <f t="shared" si="28"/>
        <v>2011-01-21</v>
      </c>
      <c r="M466" s="3" t="str">
        <f t="shared" si="29"/>
        <v>2011</v>
      </c>
      <c r="N466" s="3" t="str">
        <f t="shared" si="30"/>
        <v>21</v>
      </c>
      <c r="O466" s="3">
        <f t="shared" si="31"/>
        <v>10</v>
      </c>
    </row>
    <row r="467" spans="1:15" x14ac:dyDescent="0.35">
      <c r="A467" s="1">
        <v>466</v>
      </c>
      <c r="B467" s="2">
        <v>40564</v>
      </c>
      <c r="C467" s="1">
        <v>1</v>
      </c>
      <c r="D467" s="1">
        <v>0</v>
      </c>
      <c r="E467" s="1">
        <v>1</v>
      </c>
      <c r="F467" s="1">
        <v>10</v>
      </c>
      <c r="G467" s="1" t="b">
        <v>0</v>
      </c>
      <c r="H467" s="1">
        <v>5</v>
      </c>
      <c r="I467" s="1">
        <v>1</v>
      </c>
      <c r="J467" s="1">
        <v>0.2</v>
      </c>
      <c r="L467" s="3" t="str">
        <f t="shared" si="28"/>
        <v>2011-01-21</v>
      </c>
      <c r="M467" s="3" t="str">
        <f t="shared" si="29"/>
        <v>2011</v>
      </c>
      <c r="N467" s="3" t="str">
        <f t="shared" si="30"/>
        <v>21</v>
      </c>
      <c r="O467" s="3">
        <f t="shared" si="31"/>
        <v>10</v>
      </c>
    </row>
    <row r="468" spans="1:15" x14ac:dyDescent="0.35">
      <c r="A468" s="1">
        <v>467</v>
      </c>
      <c r="B468" s="2">
        <v>40564</v>
      </c>
      <c r="C468" s="1">
        <v>1</v>
      </c>
      <c r="D468" s="1">
        <v>0</v>
      </c>
      <c r="E468" s="1">
        <v>1</v>
      </c>
      <c r="F468" s="1">
        <v>11</v>
      </c>
      <c r="G468" s="1" t="b">
        <v>0</v>
      </c>
      <c r="H468" s="1">
        <v>5</v>
      </c>
      <c r="I468" s="1">
        <v>1</v>
      </c>
      <c r="J468" s="1">
        <v>0.22</v>
      </c>
      <c r="L468" s="3" t="str">
        <f t="shared" si="28"/>
        <v>2011-01-21</v>
      </c>
      <c r="M468" s="3" t="str">
        <f t="shared" si="29"/>
        <v>2011</v>
      </c>
      <c r="N468" s="3" t="str">
        <f t="shared" si="30"/>
        <v>21</v>
      </c>
      <c r="O468" s="3">
        <f t="shared" si="31"/>
        <v>10</v>
      </c>
    </row>
    <row r="469" spans="1:15" x14ac:dyDescent="0.35">
      <c r="A469" s="1">
        <v>468</v>
      </c>
      <c r="B469" s="2">
        <v>40564</v>
      </c>
      <c r="C469" s="1">
        <v>1</v>
      </c>
      <c r="D469" s="1">
        <v>0</v>
      </c>
      <c r="E469" s="1">
        <v>1</v>
      </c>
      <c r="F469" s="1">
        <v>12</v>
      </c>
      <c r="G469" s="1" t="b">
        <v>0</v>
      </c>
      <c r="H469" s="1">
        <v>5</v>
      </c>
      <c r="I469" s="1">
        <v>1</v>
      </c>
      <c r="J469" s="1">
        <v>0.22</v>
      </c>
      <c r="L469" s="3" t="str">
        <f t="shared" si="28"/>
        <v>2011-01-21</v>
      </c>
      <c r="M469" s="3" t="str">
        <f t="shared" si="29"/>
        <v>2011</v>
      </c>
      <c r="N469" s="3" t="str">
        <f t="shared" si="30"/>
        <v>21</v>
      </c>
      <c r="O469" s="3">
        <f t="shared" si="31"/>
        <v>10</v>
      </c>
    </row>
    <row r="470" spans="1:15" x14ac:dyDescent="0.35">
      <c r="A470" s="1">
        <v>469</v>
      </c>
      <c r="B470" s="2">
        <v>40564</v>
      </c>
      <c r="C470" s="1">
        <v>1</v>
      </c>
      <c r="D470" s="1">
        <v>0</v>
      </c>
      <c r="E470" s="1">
        <v>1</v>
      </c>
      <c r="F470" s="1">
        <v>13</v>
      </c>
      <c r="G470" s="1" t="b">
        <v>0</v>
      </c>
      <c r="H470" s="1">
        <v>5</v>
      </c>
      <c r="I470" s="1">
        <v>1</v>
      </c>
      <c r="J470" s="1">
        <v>0.2</v>
      </c>
      <c r="L470" s="3" t="str">
        <f t="shared" si="28"/>
        <v>2011-01-21</v>
      </c>
      <c r="M470" s="3" t="str">
        <f t="shared" si="29"/>
        <v>2011</v>
      </c>
      <c r="N470" s="3" t="str">
        <f t="shared" si="30"/>
        <v>21</v>
      </c>
      <c r="O470" s="3">
        <f t="shared" si="31"/>
        <v>10</v>
      </c>
    </row>
    <row r="471" spans="1:15" x14ac:dyDescent="0.35">
      <c r="A471" s="1">
        <v>470</v>
      </c>
      <c r="B471" s="2">
        <v>40564</v>
      </c>
      <c r="C471" s="1">
        <v>1</v>
      </c>
      <c r="D471" s="1">
        <v>0</v>
      </c>
      <c r="E471" s="1">
        <v>1</v>
      </c>
      <c r="F471" s="1">
        <v>14</v>
      </c>
      <c r="G471" s="1" t="b">
        <v>0</v>
      </c>
      <c r="H471" s="1">
        <v>5</v>
      </c>
      <c r="I471" s="1">
        <v>1</v>
      </c>
      <c r="J471" s="1">
        <v>0.2</v>
      </c>
      <c r="L471" s="3" t="str">
        <f t="shared" si="28"/>
        <v>2011-01-21</v>
      </c>
      <c r="M471" s="3" t="str">
        <f t="shared" si="29"/>
        <v>2011</v>
      </c>
      <c r="N471" s="3" t="str">
        <f t="shared" si="30"/>
        <v>21</v>
      </c>
      <c r="O471" s="3">
        <f t="shared" si="31"/>
        <v>10</v>
      </c>
    </row>
    <row r="472" spans="1:15" x14ac:dyDescent="0.35">
      <c r="A472" s="1">
        <v>471</v>
      </c>
      <c r="B472" s="2">
        <v>40564</v>
      </c>
      <c r="C472" s="1">
        <v>1</v>
      </c>
      <c r="D472" s="1">
        <v>0</v>
      </c>
      <c r="E472" s="1">
        <v>1</v>
      </c>
      <c r="F472" s="1">
        <v>15</v>
      </c>
      <c r="G472" s="1" t="b">
        <v>0</v>
      </c>
      <c r="H472" s="1">
        <v>5</v>
      </c>
      <c r="I472" s="1">
        <v>1</v>
      </c>
      <c r="J472" s="1">
        <v>0.16</v>
      </c>
      <c r="L472" s="3" t="str">
        <f t="shared" si="28"/>
        <v>2011-01-21</v>
      </c>
      <c r="M472" s="3" t="str">
        <f t="shared" si="29"/>
        <v>2011</v>
      </c>
      <c r="N472" s="3" t="str">
        <f t="shared" si="30"/>
        <v>21</v>
      </c>
      <c r="O472" s="3">
        <f t="shared" si="31"/>
        <v>10</v>
      </c>
    </row>
    <row r="473" spans="1:15" x14ac:dyDescent="0.35">
      <c r="A473" s="1">
        <v>472</v>
      </c>
      <c r="B473" s="2">
        <v>40564</v>
      </c>
      <c r="C473" s="1">
        <v>1</v>
      </c>
      <c r="D473" s="1">
        <v>0</v>
      </c>
      <c r="E473" s="1">
        <v>1</v>
      </c>
      <c r="F473" s="1">
        <v>16</v>
      </c>
      <c r="G473" s="1" t="b">
        <v>0</v>
      </c>
      <c r="H473" s="1">
        <v>5</v>
      </c>
      <c r="I473" s="1">
        <v>1</v>
      </c>
      <c r="J473" s="1">
        <v>0.16</v>
      </c>
      <c r="L473" s="3" t="str">
        <f t="shared" si="28"/>
        <v>2011-01-21</v>
      </c>
      <c r="M473" s="3" t="str">
        <f t="shared" si="29"/>
        <v>2011</v>
      </c>
      <c r="N473" s="3" t="str">
        <f t="shared" si="30"/>
        <v>21</v>
      </c>
      <c r="O473" s="3">
        <f t="shared" si="31"/>
        <v>10</v>
      </c>
    </row>
    <row r="474" spans="1:15" x14ac:dyDescent="0.35">
      <c r="A474" s="1">
        <v>473</v>
      </c>
      <c r="B474" s="2">
        <v>40564</v>
      </c>
      <c r="C474" s="1">
        <v>1</v>
      </c>
      <c r="D474" s="1">
        <v>0</v>
      </c>
      <c r="E474" s="1">
        <v>1</v>
      </c>
      <c r="F474" s="1">
        <v>17</v>
      </c>
      <c r="G474" s="1" t="b">
        <v>0</v>
      </c>
      <c r="H474" s="1">
        <v>5</v>
      </c>
      <c r="I474" s="1">
        <v>1</v>
      </c>
      <c r="J474" s="1">
        <v>0.14000000000000001</v>
      </c>
      <c r="L474" s="3" t="str">
        <f t="shared" si="28"/>
        <v>2011-01-21</v>
      </c>
      <c r="M474" s="3" t="str">
        <f t="shared" si="29"/>
        <v>2011</v>
      </c>
      <c r="N474" s="3" t="str">
        <f t="shared" si="30"/>
        <v>21</v>
      </c>
      <c r="O474" s="3">
        <f t="shared" si="31"/>
        <v>10</v>
      </c>
    </row>
    <row r="475" spans="1:15" x14ac:dyDescent="0.35">
      <c r="A475" s="1">
        <v>474</v>
      </c>
      <c r="B475" s="2">
        <v>40564</v>
      </c>
      <c r="C475" s="1">
        <v>1</v>
      </c>
      <c r="D475" s="1">
        <v>0</v>
      </c>
      <c r="E475" s="1">
        <v>1</v>
      </c>
      <c r="F475" s="1">
        <v>18</v>
      </c>
      <c r="G475" s="1" t="b">
        <v>0</v>
      </c>
      <c r="H475" s="1">
        <v>5</v>
      </c>
      <c r="I475" s="1">
        <v>1</v>
      </c>
      <c r="J475" s="1">
        <v>0.12</v>
      </c>
      <c r="L475" s="3" t="str">
        <f t="shared" si="28"/>
        <v>2011-01-21</v>
      </c>
      <c r="M475" s="3" t="str">
        <f t="shared" si="29"/>
        <v>2011</v>
      </c>
      <c r="N475" s="3" t="str">
        <f t="shared" si="30"/>
        <v>21</v>
      </c>
      <c r="O475" s="3">
        <f t="shared" si="31"/>
        <v>10</v>
      </c>
    </row>
    <row r="476" spans="1:15" x14ac:dyDescent="0.35">
      <c r="A476" s="1">
        <v>475</v>
      </c>
      <c r="B476" s="2">
        <v>40564</v>
      </c>
      <c r="C476" s="1">
        <v>1</v>
      </c>
      <c r="D476" s="1">
        <v>0</v>
      </c>
      <c r="E476" s="1">
        <v>1</v>
      </c>
      <c r="F476" s="1">
        <v>19</v>
      </c>
      <c r="G476" s="1" t="b">
        <v>0</v>
      </c>
      <c r="H476" s="1">
        <v>5</v>
      </c>
      <c r="I476" s="1">
        <v>1</v>
      </c>
      <c r="J476" s="1">
        <v>0.12</v>
      </c>
      <c r="L476" s="3" t="str">
        <f t="shared" si="28"/>
        <v>2011-01-21</v>
      </c>
      <c r="M476" s="3" t="str">
        <f t="shared" si="29"/>
        <v>2011</v>
      </c>
      <c r="N476" s="3" t="str">
        <f t="shared" si="30"/>
        <v>21</v>
      </c>
      <c r="O476" s="3">
        <f t="shared" si="31"/>
        <v>10</v>
      </c>
    </row>
    <row r="477" spans="1:15" x14ac:dyDescent="0.35">
      <c r="A477" s="1">
        <v>476</v>
      </c>
      <c r="B477" s="2">
        <v>40564</v>
      </c>
      <c r="C477" s="1">
        <v>1</v>
      </c>
      <c r="D477" s="1">
        <v>0</v>
      </c>
      <c r="E477" s="1">
        <v>1</v>
      </c>
      <c r="F477" s="1">
        <v>20</v>
      </c>
      <c r="G477" s="1" t="b">
        <v>0</v>
      </c>
      <c r="H477" s="1">
        <v>5</v>
      </c>
      <c r="I477" s="1">
        <v>1</v>
      </c>
      <c r="J477" s="1">
        <v>0.1</v>
      </c>
      <c r="L477" s="3" t="str">
        <f t="shared" si="28"/>
        <v>2011-01-21</v>
      </c>
      <c r="M477" s="3" t="str">
        <f t="shared" si="29"/>
        <v>2011</v>
      </c>
      <c r="N477" s="3" t="str">
        <f t="shared" si="30"/>
        <v>21</v>
      </c>
      <c r="O477" s="3">
        <f t="shared" si="31"/>
        <v>10</v>
      </c>
    </row>
    <row r="478" spans="1:15" x14ac:dyDescent="0.35">
      <c r="A478" s="1">
        <v>477</v>
      </c>
      <c r="B478" s="2">
        <v>40564</v>
      </c>
      <c r="C478" s="1">
        <v>1</v>
      </c>
      <c r="D478" s="1">
        <v>0</v>
      </c>
      <c r="E478" s="1">
        <v>1</v>
      </c>
      <c r="F478" s="1">
        <v>21</v>
      </c>
      <c r="G478" s="1" t="b">
        <v>0</v>
      </c>
      <c r="H478" s="1">
        <v>5</v>
      </c>
      <c r="I478" s="1">
        <v>1</v>
      </c>
      <c r="J478" s="1">
        <v>0.08</v>
      </c>
      <c r="L478" s="3" t="str">
        <f t="shared" si="28"/>
        <v>2011-01-21</v>
      </c>
      <c r="M478" s="3" t="str">
        <f t="shared" si="29"/>
        <v>2011</v>
      </c>
      <c r="N478" s="3" t="str">
        <f t="shared" si="30"/>
        <v>21</v>
      </c>
      <c r="O478" s="3">
        <f t="shared" si="31"/>
        <v>10</v>
      </c>
    </row>
    <row r="479" spans="1:15" x14ac:dyDescent="0.35">
      <c r="A479" s="1">
        <v>478</v>
      </c>
      <c r="B479" s="2">
        <v>40564</v>
      </c>
      <c r="C479" s="1">
        <v>1</v>
      </c>
      <c r="D479" s="1">
        <v>0</v>
      </c>
      <c r="E479" s="1">
        <v>1</v>
      </c>
      <c r="F479" s="1">
        <v>22</v>
      </c>
      <c r="G479" s="1" t="b">
        <v>0</v>
      </c>
      <c r="H479" s="1">
        <v>5</v>
      </c>
      <c r="I479" s="1">
        <v>1</v>
      </c>
      <c r="J479" s="1">
        <v>0.06</v>
      </c>
      <c r="L479" s="3" t="str">
        <f t="shared" si="28"/>
        <v>2011-01-21</v>
      </c>
      <c r="M479" s="3" t="str">
        <f t="shared" si="29"/>
        <v>2011</v>
      </c>
      <c r="N479" s="3" t="str">
        <f t="shared" si="30"/>
        <v>21</v>
      </c>
      <c r="O479" s="3">
        <f t="shared" si="31"/>
        <v>10</v>
      </c>
    </row>
    <row r="480" spans="1:15" x14ac:dyDescent="0.35">
      <c r="A480" s="1">
        <v>479</v>
      </c>
      <c r="B480" s="2">
        <v>40564</v>
      </c>
      <c r="C480" s="1">
        <v>1</v>
      </c>
      <c r="D480" s="1">
        <v>0</v>
      </c>
      <c r="E480" s="1">
        <v>1</v>
      </c>
      <c r="F480" s="1">
        <v>23</v>
      </c>
      <c r="G480" s="1" t="b">
        <v>0</v>
      </c>
      <c r="H480" s="1">
        <v>5</v>
      </c>
      <c r="I480" s="1">
        <v>1</v>
      </c>
      <c r="J480" s="1">
        <v>0.06</v>
      </c>
      <c r="L480" s="3" t="str">
        <f t="shared" si="28"/>
        <v>2011-01-21</v>
      </c>
      <c r="M480" s="3" t="str">
        <f t="shared" si="29"/>
        <v>2011</v>
      </c>
      <c r="N480" s="3" t="str">
        <f t="shared" si="30"/>
        <v>21</v>
      </c>
      <c r="O480" s="3">
        <f t="shared" si="31"/>
        <v>10</v>
      </c>
    </row>
    <row r="481" spans="1:15" x14ac:dyDescent="0.35">
      <c r="A481" s="1">
        <v>480</v>
      </c>
      <c r="B481" s="2">
        <v>40565</v>
      </c>
      <c r="C481" s="1">
        <v>1</v>
      </c>
      <c r="D481" s="1">
        <v>0</v>
      </c>
      <c r="E481" s="1">
        <v>1</v>
      </c>
      <c r="F481" s="1">
        <v>0</v>
      </c>
      <c r="G481" s="1" t="b">
        <v>0</v>
      </c>
      <c r="H481" s="1">
        <v>6</v>
      </c>
      <c r="I481" s="1">
        <v>1</v>
      </c>
      <c r="J481" s="1">
        <v>0.04</v>
      </c>
      <c r="L481" s="3" t="str">
        <f t="shared" si="28"/>
        <v>2011-01-22</v>
      </c>
      <c r="M481" s="3" t="str">
        <f t="shared" si="29"/>
        <v>2011</v>
      </c>
      <c r="N481" s="3" t="str">
        <f t="shared" si="30"/>
        <v>22</v>
      </c>
      <c r="O481" s="3">
        <f t="shared" si="31"/>
        <v>10</v>
      </c>
    </row>
    <row r="482" spans="1:15" x14ac:dyDescent="0.35">
      <c r="A482" s="1">
        <v>481</v>
      </c>
      <c r="B482" s="2">
        <v>40565</v>
      </c>
      <c r="C482" s="1">
        <v>1</v>
      </c>
      <c r="D482" s="1">
        <v>0</v>
      </c>
      <c r="E482" s="1">
        <v>1</v>
      </c>
      <c r="F482" s="1">
        <v>1</v>
      </c>
      <c r="G482" s="1" t="b">
        <v>0</v>
      </c>
      <c r="H482" s="1">
        <v>6</v>
      </c>
      <c r="I482" s="1">
        <v>2</v>
      </c>
      <c r="J482" s="1">
        <v>0.04</v>
      </c>
      <c r="L482" s="3" t="str">
        <f t="shared" si="28"/>
        <v>2011-01-22</v>
      </c>
      <c r="M482" s="3" t="str">
        <f t="shared" si="29"/>
        <v>2011</v>
      </c>
      <c r="N482" s="3" t="str">
        <f t="shared" si="30"/>
        <v>22</v>
      </c>
      <c r="O482" s="3">
        <f t="shared" si="31"/>
        <v>10</v>
      </c>
    </row>
    <row r="483" spans="1:15" x14ac:dyDescent="0.35">
      <c r="A483" s="1">
        <v>482</v>
      </c>
      <c r="B483" s="2">
        <v>40565</v>
      </c>
      <c r="C483" s="1">
        <v>1</v>
      </c>
      <c r="D483" s="1">
        <v>0</v>
      </c>
      <c r="E483" s="1">
        <v>1</v>
      </c>
      <c r="F483" s="1">
        <v>2</v>
      </c>
      <c r="G483" s="1" t="b">
        <v>0</v>
      </c>
      <c r="H483" s="1">
        <v>6</v>
      </c>
      <c r="I483" s="1">
        <v>2</v>
      </c>
      <c r="J483" s="1">
        <v>0.04</v>
      </c>
      <c r="L483" s="3" t="str">
        <f t="shared" si="28"/>
        <v>2011-01-22</v>
      </c>
      <c r="M483" s="3" t="str">
        <f t="shared" si="29"/>
        <v>2011</v>
      </c>
      <c r="N483" s="3" t="str">
        <f t="shared" si="30"/>
        <v>22</v>
      </c>
      <c r="O483" s="3">
        <f t="shared" si="31"/>
        <v>10</v>
      </c>
    </row>
    <row r="484" spans="1:15" x14ac:dyDescent="0.35">
      <c r="A484" s="1">
        <v>483</v>
      </c>
      <c r="B484" s="2">
        <v>40565</v>
      </c>
      <c r="C484" s="1">
        <v>1</v>
      </c>
      <c r="D484" s="1">
        <v>0</v>
      </c>
      <c r="E484" s="1">
        <v>1</v>
      </c>
      <c r="F484" s="1">
        <v>3</v>
      </c>
      <c r="G484" s="1" t="b">
        <v>0</v>
      </c>
      <c r="H484" s="1">
        <v>6</v>
      </c>
      <c r="I484" s="1">
        <v>2</v>
      </c>
      <c r="J484" s="1">
        <v>0.04</v>
      </c>
      <c r="L484" s="3" t="str">
        <f t="shared" si="28"/>
        <v>2011-01-22</v>
      </c>
      <c r="M484" s="3" t="str">
        <f t="shared" si="29"/>
        <v>2011</v>
      </c>
      <c r="N484" s="3" t="str">
        <f t="shared" si="30"/>
        <v>22</v>
      </c>
      <c r="O484" s="3">
        <f t="shared" si="31"/>
        <v>10</v>
      </c>
    </row>
    <row r="485" spans="1:15" x14ac:dyDescent="0.35">
      <c r="A485" s="1">
        <v>484</v>
      </c>
      <c r="B485" s="2">
        <v>40565</v>
      </c>
      <c r="C485" s="1">
        <v>1</v>
      </c>
      <c r="D485" s="1">
        <v>0</v>
      </c>
      <c r="E485" s="1">
        <v>1</v>
      </c>
      <c r="F485" s="1">
        <v>4</v>
      </c>
      <c r="G485" s="1" t="b">
        <v>0</v>
      </c>
      <c r="H485" s="1">
        <v>6</v>
      </c>
      <c r="I485" s="1">
        <v>2</v>
      </c>
      <c r="J485" s="1">
        <v>0.02</v>
      </c>
      <c r="L485" s="3" t="str">
        <f t="shared" si="28"/>
        <v>2011-01-22</v>
      </c>
      <c r="M485" s="3" t="str">
        <f t="shared" si="29"/>
        <v>2011</v>
      </c>
      <c r="N485" s="3" t="str">
        <f t="shared" si="30"/>
        <v>22</v>
      </c>
      <c r="O485" s="3">
        <f t="shared" si="31"/>
        <v>10</v>
      </c>
    </row>
    <row r="486" spans="1:15" x14ac:dyDescent="0.35">
      <c r="A486" s="1">
        <v>485</v>
      </c>
      <c r="B486" s="2">
        <v>40565</v>
      </c>
      <c r="C486" s="1">
        <v>1</v>
      </c>
      <c r="D486" s="1">
        <v>0</v>
      </c>
      <c r="E486" s="1">
        <v>1</v>
      </c>
      <c r="F486" s="1">
        <v>6</v>
      </c>
      <c r="G486" s="1" t="b">
        <v>0</v>
      </c>
      <c r="H486" s="1">
        <v>6</v>
      </c>
      <c r="I486" s="1">
        <v>2</v>
      </c>
      <c r="J486" s="1">
        <v>0.02</v>
      </c>
      <c r="L486" s="3" t="str">
        <f t="shared" si="28"/>
        <v>2011-01-22</v>
      </c>
      <c r="M486" s="3" t="str">
        <f t="shared" si="29"/>
        <v>2011</v>
      </c>
      <c r="N486" s="3" t="str">
        <f t="shared" si="30"/>
        <v>22</v>
      </c>
      <c r="O486" s="3">
        <f t="shared" si="31"/>
        <v>10</v>
      </c>
    </row>
    <row r="487" spans="1:15" x14ac:dyDescent="0.35">
      <c r="A487" s="1">
        <v>486</v>
      </c>
      <c r="B487" s="2">
        <v>40565</v>
      </c>
      <c r="C487" s="1">
        <v>1</v>
      </c>
      <c r="D487" s="1">
        <v>0</v>
      </c>
      <c r="E487" s="1">
        <v>1</v>
      </c>
      <c r="F487" s="1">
        <v>7</v>
      </c>
      <c r="G487" s="1" t="b">
        <v>0</v>
      </c>
      <c r="H487" s="1">
        <v>6</v>
      </c>
      <c r="I487" s="1">
        <v>1</v>
      </c>
      <c r="J487" s="1">
        <v>0.02</v>
      </c>
      <c r="L487" s="3" t="str">
        <f t="shared" si="28"/>
        <v>2011-01-22</v>
      </c>
      <c r="M487" s="3" t="str">
        <f t="shared" si="29"/>
        <v>2011</v>
      </c>
      <c r="N487" s="3" t="str">
        <f t="shared" si="30"/>
        <v>22</v>
      </c>
      <c r="O487" s="3">
        <f t="shared" si="31"/>
        <v>10</v>
      </c>
    </row>
    <row r="488" spans="1:15" x14ac:dyDescent="0.35">
      <c r="A488" s="1">
        <v>487</v>
      </c>
      <c r="B488" s="2">
        <v>40565</v>
      </c>
      <c r="C488" s="1">
        <v>1</v>
      </c>
      <c r="D488" s="1">
        <v>0</v>
      </c>
      <c r="E488" s="1">
        <v>1</v>
      </c>
      <c r="F488" s="1">
        <v>8</v>
      </c>
      <c r="G488" s="1" t="b">
        <v>0</v>
      </c>
      <c r="H488" s="1">
        <v>6</v>
      </c>
      <c r="I488" s="1">
        <v>1</v>
      </c>
      <c r="J488" s="1">
        <v>0.02</v>
      </c>
      <c r="L488" s="3" t="str">
        <f t="shared" si="28"/>
        <v>2011-01-22</v>
      </c>
      <c r="M488" s="3" t="str">
        <f t="shared" si="29"/>
        <v>2011</v>
      </c>
      <c r="N488" s="3" t="str">
        <f t="shared" si="30"/>
        <v>22</v>
      </c>
      <c r="O488" s="3">
        <f t="shared" si="31"/>
        <v>10</v>
      </c>
    </row>
    <row r="489" spans="1:15" x14ac:dyDescent="0.35">
      <c r="A489" s="1">
        <v>488</v>
      </c>
      <c r="B489" s="2">
        <v>40565</v>
      </c>
      <c r="C489" s="1">
        <v>1</v>
      </c>
      <c r="D489" s="1">
        <v>0</v>
      </c>
      <c r="E489" s="1">
        <v>1</v>
      </c>
      <c r="F489" s="1">
        <v>9</v>
      </c>
      <c r="G489" s="1" t="b">
        <v>0</v>
      </c>
      <c r="H489" s="1">
        <v>6</v>
      </c>
      <c r="I489" s="1">
        <v>1</v>
      </c>
      <c r="J489" s="1">
        <v>0.04</v>
      </c>
      <c r="L489" s="3" t="str">
        <f t="shared" si="28"/>
        <v>2011-01-22</v>
      </c>
      <c r="M489" s="3" t="str">
        <f t="shared" si="29"/>
        <v>2011</v>
      </c>
      <c r="N489" s="3" t="str">
        <f t="shared" si="30"/>
        <v>22</v>
      </c>
      <c r="O489" s="3">
        <f t="shared" si="31"/>
        <v>10</v>
      </c>
    </row>
    <row r="490" spans="1:15" x14ac:dyDescent="0.35">
      <c r="A490" s="1">
        <v>489</v>
      </c>
      <c r="B490" s="2">
        <v>40565</v>
      </c>
      <c r="C490" s="1">
        <v>1</v>
      </c>
      <c r="D490" s="1">
        <v>0</v>
      </c>
      <c r="E490" s="1">
        <v>1</v>
      </c>
      <c r="F490" s="1">
        <v>10</v>
      </c>
      <c r="G490" s="1" t="b">
        <v>0</v>
      </c>
      <c r="H490" s="1">
        <v>6</v>
      </c>
      <c r="I490" s="1">
        <v>2</v>
      </c>
      <c r="J490" s="1">
        <v>0.04</v>
      </c>
      <c r="L490" s="3" t="str">
        <f t="shared" si="28"/>
        <v>2011-01-22</v>
      </c>
      <c r="M490" s="3" t="str">
        <f t="shared" si="29"/>
        <v>2011</v>
      </c>
      <c r="N490" s="3" t="str">
        <f t="shared" si="30"/>
        <v>22</v>
      </c>
      <c r="O490" s="3">
        <f t="shared" si="31"/>
        <v>10</v>
      </c>
    </row>
    <row r="491" spans="1:15" x14ac:dyDescent="0.35">
      <c r="A491" s="1">
        <v>490</v>
      </c>
      <c r="B491" s="2">
        <v>40565</v>
      </c>
      <c r="C491" s="1">
        <v>1</v>
      </c>
      <c r="D491" s="1">
        <v>0</v>
      </c>
      <c r="E491" s="1">
        <v>1</v>
      </c>
      <c r="F491" s="1">
        <v>11</v>
      </c>
      <c r="G491" s="1" t="b">
        <v>0</v>
      </c>
      <c r="H491" s="1">
        <v>6</v>
      </c>
      <c r="I491" s="1">
        <v>2</v>
      </c>
      <c r="J491" s="1">
        <v>0.06</v>
      </c>
      <c r="L491" s="3" t="str">
        <f t="shared" si="28"/>
        <v>2011-01-22</v>
      </c>
      <c r="M491" s="3" t="str">
        <f t="shared" si="29"/>
        <v>2011</v>
      </c>
      <c r="N491" s="3" t="str">
        <f t="shared" si="30"/>
        <v>22</v>
      </c>
      <c r="O491" s="3">
        <f t="shared" si="31"/>
        <v>10</v>
      </c>
    </row>
    <row r="492" spans="1:15" x14ac:dyDescent="0.35">
      <c r="A492" s="1">
        <v>491</v>
      </c>
      <c r="B492" s="2">
        <v>40565</v>
      </c>
      <c r="C492" s="1">
        <v>1</v>
      </c>
      <c r="D492" s="1">
        <v>0</v>
      </c>
      <c r="E492" s="1">
        <v>1</v>
      </c>
      <c r="F492" s="1">
        <v>12</v>
      </c>
      <c r="G492" s="1" t="b">
        <v>0</v>
      </c>
      <c r="H492" s="1">
        <v>6</v>
      </c>
      <c r="I492" s="1">
        <v>2</v>
      </c>
      <c r="J492" s="1">
        <v>0.06</v>
      </c>
      <c r="L492" s="3" t="str">
        <f t="shared" si="28"/>
        <v>2011-01-22</v>
      </c>
      <c r="M492" s="3" t="str">
        <f t="shared" si="29"/>
        <v>2011</v>
      </c>
      <c r="N492" s="3" t="str">
        <f t="shared" si="30"/>
        <v>22</v>
      </c>
      <c r="O492" s="3">
        <f t="shared" si="31"/>
        <v>10</v>
      </c>
    </row>
    <row r="493" spans="1:15" x14ac:dyDescent="0.35">
      <c r="A493" s="1">
        <v>492</v>
      </c>
      <c r="B493" s="2">
        <v>40565</v>
      </c>
      <c r="C493" s="1">
        <v>1</v>
      </c>
      <c r="D493" s="1">
        <v>0</v>
      </c>
      <c r="E493" s="1">
        <v>1</v>
      </c>
      <c r="F493" s="1">
        <v>13</v>
      </c>
      <c r="G493" s="1" t="b">
        <v>0</v>
      </c>
      <c r="H493" s="1">
        <v>6</v>
      </c>
      <c r="I493" s="1">
        <v>1</v>
      </c>
      <c r="J493" s="1">
        <v>0.08</v>
      </c>
      <c r="L493" s="3" t="str">
        <f t="shared" si="28"/>
        <v>2011-01-22</v>
      </c>
      <c r="M493" s="3" t="str">
        <f t="shared" si="29"/>
        <v>2011</v>
      </c>
      <c r="N493" s="3" t="str">
        <f t="shared" si="30"/>
        <v>22</v>
      </c>
      <c r="O493" s="3">
        <f t="shared" si="31"/>
        <v>10</v>
      </c>
    </row>
    <row r="494" spans="1:15" x14ac:dyDescent="0.35">
      <c r="A494" s="1">
        <v>493</v>
      </c>
      <c r="B494" s="2">
        <v>40565</v>
      </c>
      <c r="C494" s="1">
        <v>1</v>
      </c>
      <c r="D494" s="1">
        <v>0</v>
      </c>
      <c r="E494" s="1">
        <v>1</v>
      </c>
      <c r="F494" s="1">
        <v>14</v>
      </c>
      <c r="G494" s="1" t="b">
        <v>0</v>
      </c>
      <c r="H494" s="1">
        <v>6</v>
      </c>
      <c r="I494" s="1">
        <v>1</v>
      </c>
      <c r="J494" s="1">
        <v>0.1</v>
      </c>
      <c r="L494" s="3" t="str">
        <f t="shared" si="28"/>
        <v>2011-01-22</v>
      </c>
      <c r="M494" s="3" t="str">
        <f t="shared" si="29"/>
        <v>2011</v>
      </c>
      <c r="N494" s="3" t="str">
        <f t="shared" si="30"/>
        <v>22</v>
      </c>
      <c r="O494" s="3">
        <f t="shared" si="31"/>
        <v>10</v>
      </c>
    </row>
    <row r="495" spans="1:15" x14ac:dyDescent="0.35">
      <c r="A495" s="1">
        <v>494</v>
      </c>
      <c r="B495" s="2">
        <v>40565</v>
      </c>
      <c r="C495" s="1">
        <v>1</v>
      </c>
      <c r="D495" s="1">
        <v>0</v>
      </c>
      <c r="E495" s="1">
        <v>1</v>
      </c>
      <c r="F495" s="1">
        <v>15</v>
      </c>
      <c r="G495" s="1" t="b">
        <v>0</v>
      </c>
      <c r="H495" s="1">
        <v>6</v>
      </c>
      <c r="I495" s="1">
        <v>1</v>
      </c>
      <c r="J495" s="1">
        <v>0.12</v>
      </c>
      <c r="L495" s="3" t="str">
        <f t="shared" si="28"/>
        <v>2011-01-22</v>
      </c>
      <c r="M495" s="3" t="str">
        <f t="shared" si="29"/>
        <v>2011</v>
      </c>
      <c r="N495" s="3" t="str">
        <f t="shared" si="30"/>
        <v>22</v>
      </c>
      <c r="O495" s="3">
        <f t="shared" si="31"/>
        <v>10</v>
      </c>
    </row>
    <row r="496" spans="1:15" x14ac:dyDescent="0.35">
      <c r="A496" s="1">
        <v>495</v>
      </c>
      <c r="B496" s="2">
        <v>40565</v>
      </c>
      <c r="C496" s="1">
        <v>1</v>
      </c>
      <c r="D496" s="1">
        <v>0</v>
      </c>
      <c r="E496" s="1">
        <v>1</v>
      </c>
      <c r="F496" s="1">
        <v>16</v>
      </c>
      <c r="G496" s="1" t="b">
        <v>0</v>
      </c>
      <c r="H496" s="1">
        <v>6</v>
      </c>
      <c r="I496" s="1">
        <v>1</v>
      </c>
      <c r="J496" s="1">
        <v>0.12</v>
      </c>
      <c r="L496" s="3" t="str">
        <f t="shared" si="28"/>
        <v>2011-01-22</v>
      </c>
      <c r="M496" s="3" t="str">
        <f t="shared" si="29"/>
        <v>2011</v>
      </c>
      <c r="N496" s="3" t="str">
        <f t="shared" si="30"/>
        <v>22</v>
      </c>
      <c r="O496" s="3">
        <f t="shared" si="31"/>
        <v>10</v>
      </c>
    </row>
    <row r="497" spans="1:15" x14ac:dyDescent="0.35">
      <c r="A497" s="1">
        <v>496</v>
      </c>
      <c r="B497" s="2">
        <v>40565</v>
      </c>
      <c r="C497" s="1">
        <v>1</v>
      </c>
      <c r="D497" s="1">
        <v>0</v>
      </c>
      <c r="E497" s="1">
        <v>1</v>
      </c>
      <c r="F497" s="1">
        <v>17</v>
      </c>
      <c r="G497" s="1" t="b">
        <v>0</v>
      </c>
      <c r="H497" s="1">
        <v>6</v>
      </c>
      <c r="I497" s="1">
        <v>1</v>
      </c>
      <c r="J497" s="1">
        <v>0.12</v>
      </c>
      <c r="L497" s="3" t="str">
        <f t="shared" si="28"/>
        <v>2011-01-22</v>
      </c>
      <c r="M497" s="3" t="str">
        <f t="shared" si="29"/>
        <v>2011</v>
      </c>
      <c r="N497" s="3" t="str">
        <f t="shared" si="30"/>
        <v>22</v>
      </c>
      <c r="O497" s="3">
        <f t="shared" si="31"/>
        <v>10</v>
      </c>
    </row>
    <row r="498" spans="1:15" x14ac:dyDescent="0.35">
      <c r="A498" s="1">
        <v>497</v>
      </c>
      <c r="B498" s="2">
        <v>40565</v>
      </c>
      <c r="C498" s="1">
        <v>1</v>
      </c>
      <c r="D498" s="1">
        <v>0</v>
      </c>
      <c r="E498" s="1">
        <v>1</v>
      </c>
      <c r="F498" s="1">
        <v>18</v>
      </c>
      <c r="G498" s="1" t="b">
        <v>0</v>
      </c>
      <c r="H498" s="1">
        <v>6</v>
      </c>
      <c r="I498" s="1">
        <v>1</v>
      </c>
      <c r="J498" s="1">
        <v>0.08</v>
      </c>
      <c r="L498" s="3" t="str">
        <f t="shared" si="28"/>
        <v>2011-01-22</v>
      </c>
      <c r="M498" s="3" t="str">
        <f t="shared" si="29"/>
        <v>2011</v>
      </c>
      <c r="N498" s="3" t="str">
        <f t="shared" si="30"/>
        <v>22</v>
      </c>
      <c r="O498" s="3">
        <f t="shared" si="31"/>
        <v>10</v>
      </c>
    </row>
    <row r="499" spans="1:15" x14ac:dyDescent="0.35">
      <c r="A499" s="1">
        <v>498</v>
      </c>
      <c r="B499" s="2">
        <v>40565</v>
      </c>
      <c r="C499" s="1">
        <v>1</v>
      </c>
      <c r="D499" s="1">
        <v>0</v>
      </c>
      <c r="E499" s="1">
        <v>1</v>
      </c>
      <c r="F499" s="1">
        <v>19</v>
      </c>
      <c r="G499" s="1" t="b">
        <v>0</v>
      </c>
      <c r="H499" s="1">
        <v>6</v>
      </c>
      <c r="I499" s="1">
        <v>1</v>
      </c>
      <c r="J499" s="1">
        <v>0.08</v>
      </c>
      <c r="L499" s="3" t="str">
        <f t="shared" si="28"/>
        <v>2011-01-22</v>
      </c>
      <c r="M499" s="3" t="str">
        <f t="shared" si="29"/>
        <v>2011</v>
      </c>
      <c r="N499" s="3" t="str">
        <f t="shared" si="30"/>
        <v>22</v>
      </c>
      <c r="O499" s="3">
        <f t="shared" si="31"/>
        <v>10</v>
      </c>
    </row>
    <row r="500" spans="1:15" x14ac:dyDescent="0.35">
      <c r="A500" s="1">
        <v>499</v>
      </c>
      <c r="B500" s="2">
        <v>40565</v>
      </c>
      <c r="C500" s="1">
        <v>1</v>
      </c>
      <c r="D500" s="1">
        <v>0</v>
      </c>
      <c r="E500" s="1">
        <v>1</v>
      </c>
      <c r="F500" s="1">
        <v>20</v>
      </c>
      <c r="G500" s="1" t="b">
        <v>0</v>
      </c>
      <c r="H500" s="1">
        <v>6</v>
      </c>
      <c r="I500" s="1">
        <v>1</v>
      </c>
      <c r="J500" s="1">
        <v>0.06</v>
      </c>
      <c r="L500" s="3" t="str">
        <f t="shared" si="28"/>
        <v>2011-01-22</v>
      </c>
      <c r="M500" s="3" t="str">
        <f t="shared" si="29"/>
        <v>2011</v>
      </c>
      <c r="N500" s="3" t="str">
        <f t="shared" si="30"/>
        <v>22</v>
      </c>
      <c r="O500" s="3">
        <f t="shared" si="31"/>
        <v>10</v>
      </c>
    </row>
    <row r="501" spans="1:15" x14ac:dyDescent="0.35">
      <c r="A501" s="1">
        <v>500</v>
      </c>
      <c r="B501" s="2">
        <v>40565</v>
      </c>
      <c r="C501" s="1">
        <v>1</v>
      </c>
      <c r="D501" s="1">
        <v>0</v>
      </c>
      <c r="E501" s="1">
        <v>1</v>
      </c>
      <c r="F501" s="1">
        <v>21</v>
      </c>
      <c r="G501" s="1" t="b">
        <v>0</v>
      </c>
      <c r="H501" s="1">
        <v>6</v>
      </c>
      <c r="I501" s="1">
        <v>1</v>
      </c>
      <c r="J501" s="1">
        <v>0.06</v>
      </c>
      <c r="L501" s="3" t="str">
        <f t="shared" si="28"/>
        <v>2011-01-22</v>
      </c>
      <c r="M501" s="3" t="str">
        <f t="shared" si="29"/>
        <v>2011</v>
      </c>
      <c r="N501" s="3" t="str">
        <f t="shared" si="30"/>
        <v>22</v>
      </c>
      <c r="O501" s="3">
        <f t="shared" si="31"/>
        <v>10</v>
      </c>
    </row>
    <row r="502" spans="1:15" x14ac:dyDescent="0.35">
      <c r="A502" s="1">
        <v>501</v>
      </c>
      <c r="B502" s="2">
        <v>40565</v>
      </c>
      <c r="C502" s="1">
        <v>1</v>
      </c>
      <c r="D502" s="1">
        <v>0</v>
      </c>
      <c r="E502" s="1">
        <v>1</v>
      </c>
      <c r="F502" s="1">
        <v>22</v>
      </c>
      <c r="G502" s="1" t="b">
        <v>0</v>
      </c>
      <c r="H502" s="1">
        <v>6</v>
      </c>
      <c r="I502" s="1">
        <v>1</v>
      </c>
      <c r="J502" s="1">
        <v>0.06</v>
      </c>
      <c r="L502" s="3" t="str">
        <f t="shared" si="28"/>
        <v>2011-01-22</v>
      </c>
      <c r="M502" s="3" t="str">
        <f t="shared" si="29"/>
        <v>2011</v>
      </c>
      <c r="N502" s="3" t="str">
        <f t="shared" si="30"/>
        <v>22</v>
      </c>
      <c r="O502" s="3">
        <f t="shared" si="31"/>
        <v>10</v>
      </c>
    </row>
    <row r="503" spans="1:15" x14ac:dyDescent="0.35">
      <c r="A503" s="1">
        <v>502</v>
      </c>
      <c r="B503" s="2">
        <v>40565</v>
      </c>
      <c r="C503" s="1">
        <v>1</v>
      </c>
      <c r="D503" s="1">
        <v>0</v>
      </c>
      <c r="E503" s="1">
        <v>1</v>
      </c>
      <c r="F503" s="1">
        <v>23</v>
      </c>
      <c r="G503" s="1" t="b">
        <v>0</v>
      </c>
      <c r="H503" s="1">
        <v>6</v>
      </c>
      <c r="I503" s="1">
        <v>1</v>
      </c>
      <c r="J503" s="1">
        <v>0.04</v>
      </c>
      <c r="L503" s="3" t="str">
        <f t="shared" si="28"/>
        <v>2011-01-22</v>
      </c>
      <c r="M503" s="3" t="str">
        <f t="shared" si="29"/>
        <v>2011</v>
      </c>
      <c r="N503" s="3" t="str">
        <f t="shared" si="30"/>
        <v>22</v>
      </c>
      <c r="O503" s="3">
        <f t="shared" si="31"/>
        <v>10</v>
      </c>
    </row>
    <row r="504" spans="1:15" x14ac:dyDescent="0.35">
      <c r="A504" s="1">
        <v>503</v>
      </c>
      <c r="B504" s="2">
        <v>40566</v>
      </c>
      <c r="C504" s="1">
        <v>1</v>
      </c>
      <c r="D504" s="1">
        <v>0</v>
      </c>
      <c r="E504" s="1">
        <v>1</v>
      </c>
      <c r="F504" s="1">
        <v>0</v>
      </c>
      <c r="G504" s="1" t="b">
        <v>0</v>
      </c>
      <c r="H504" s="1">
        <v>0</v>
      </c>
      <c r="I504" s="1">
        <v>1</v>
      </c>
      <c r="J504" s="1">
        <v>0.04</v>
      </c>
      <c r="L504" s="3" t="str">
        <f t="shared" si="28"/>
        <v>2011-01-23</v>
      </c>
      <c r="M504" s="3" t="str">
        <f t="shared" si="29"/>
        <v>2011</v>
      </c>
      <c r="N504" s="3" t="str">
        <f t="shared" si="30"/>
        <v>23</v>
      </c>
      <c r="O504" s="3">
        <f t="shared" si="31"/>
        <v>10</v>
      </c>
    </row>
    <row r="505" spans="1:15" x14ac:dyDescent="0.35">
      <c r="A505" s="1">
        <v>504</v>
      </c>
      <c r="B505" s="2">
        <v>40566</v>
      </c>
      <c r="C505" s="1">
        <v>1</v>
      </c>
      <c r="D505" s="1">
        <v>0</v>
      </c>
      <c r="E505" s="1">
        <v>1</v>
      </c>
      <c r="F505" s="1">
        <v>1</v>
      </c>
      <c r="G505" s="1" t="b">
        <v>0</v>
      </c>
      <c r="H505" s="1">
        <v>0</v>
      </c>
      <c r="I505" s="1">
        <v>1</v>
      </c>
      <c r="J505" s="1">
        <v>0.04</v>
      </c>
      <c r="L505" s="3" t="str">
        <f t="shared" si="28"/>
        <v>2011-01-23</v>
      </c>
      <c r="M505" s="3" t="str">
        <f t="shared" si="29"/>
        <v>2011</v>
      </c>
      <c r="N505" s="3" t="str">
        <f t="shared" si="30"/>
        <v>23</v>
      </c>
      <c r="O505" s="3">
        <f t="shared" si="31"/>
        <v>10</v>
      </c>
    </row>
    <row r="506" spans="1:15" x14ac:dyDescent="0.35">
      <c r="A506" s="1">
        <v>505</v>
      </c>
      <c r="B506" s="2">
        <v>40566</v>
      </c>
      <c r="C506" s="1">
        <v>1</v>
      </c>
      <c r="D506" s="1">
        <v>0</v>
      </c>
      <c r="E506" s="1">
        <v>1</v>
      </c>
      <c r="F506" s="1">
        <v>2</v>
      </c>
      <c r="G506" s="1" t="b">
        <v>0</v>
      </c>
      <c r="H506" s="1">
        <v>0</v>
      </c>
      <c r="I506" s="1">
        <v>1</v>
      </c>
      <c r="J506" s="1">
        <v>0.02</v>
      </c>
      <c r="L506" s="3" t="str">
        <f t="shared" si="28"/>
        <v>2011-01-23</v>
      </c>
      <c r="M506" s="3" t="str">
        <f t="shared" si="29"/>
        <v>2011</v>
      </c>
      <c r="N506" s="3" t="str">
        <f t="shared" si="30"/>
        <v>23</v>
      </c>
      <c r="O506" s="3">
        <f t="shared" si="31"/>
        <v>10</v>
      </c>
    </row>
    <row r="507" spans="1:15" x14ac:dyDescent="0.35">
      <c r="A507" s="1">
        <v>506</v>
      </c>
      <c r="B507" s="2">
        <v>40566</v>
      </c>
      <c r="C507" s="1">
        <v>1</v>
      </c>
      <c r="D507" s="1">
        <v>0</v>
      </c>
      <c r="E507" s="1">
        <v>1</v>
      </c>
      <c r="F507" s="1">
        <v>3</v>
      </c>
      <c r="G507" s="1" t="b">
        <v>0</v>
      </c>
      <c r="H507" s="1">
        <v>0</v>
      </c>
      <c r="I507" s="1">
        <v>1</v>
      </c>
      <c r="J507" s="1">
        <v>0.02</v>
      </c>
      <c r="L507" s="3" t="str">
        <f t="shared" si="28"/>
        <v>2011-01-23</v>
      </c>
      <c r="M507" s="3" t="str">
        <f t="shared" si="29"/>
        <v>2011</v>
      </c>
      <c r="N507" s="3" t="str">
        <f t="shared" si="30"/>
        <v>23</v>
      </c>
      <c r="O507" s="3">
        <f t="shared" si="31"/>
        <v>10</v>
      </c>
    </row>
    <row r="508" spans="1:15" x14ac:dyDescent="0.35">
      <c r="A508" s="1">
        <v>507</v>
      </c>
      <c r="B508" s="2">
        <v>40566</v>
      </c>
      <c r="C508" s="1">
        <v>1</v>
      </c>
      <c r="D508" s="1">
        <v>0</v>
      </c>
      <c r="E508" s="1">
        <v>1</v>
      </c>
      <c r="F508" s="1">
        <v>5</v>
      </c>
      <c r="G508" s="1" t="b">
        <v>0</v>
      </c>
      <c r="H508" s="1">
        <v>0</v>
      </c>
      <c r="I508" s="1">
        <v>2</v>
      </c>
      <c r="J508" s="1">
        <v>0.04</v>
      </c>
      <c r="L508" s="3" t="str">
        <f t="shared" si="28"/>
        <v>2011-01-23</v>
      </c>
      <c r="M508" s="3" t="str">
        <f t="shared" si="29"/>
        <v>2011</v>
      </c>
      <c r="N508" s="3" t="str">
        <f t="shared" si="30"/>
        <v>23</v>
      </c>
      <c r="O508" s="3">
        <f t="shared" si="31"/>
        <v>10</v>
      </c>
    </row>
    <row r="509" spans="1:15" x14ac:dyDescent="0.35">
      <c r="A509" s="1">
        <v>508</v>
      </c>
      <c r="B509" s="2">
        <v>40566</v>
      </c>
      <c r="C509" s="1">
        <v>1</v>
      </c>
      <c r="D509" s="1">
        <v>0</v>
      </c>
      <c r="E509" s="1">
        <v>1</v>
      </c>
      <c r="F509" s="1">
        <v>6</v>
      </c>
      <c r="G509" s="1" t="b">
        <v>0</v>
      </c>
      <c r="H509" s="1">
        <v>0</v>
      </c>
      <c r="I509" s="1">
        <v>2</v>
      </c>
      <c r="J509" s="1">
        <v>0.04</v>
      </c>
      <c r="L509" s="3" t="str">
        <f t="shared" si="28"/>
        <v>2011-01-23</v>
      </c>
      <c r="M509" s="3" t="str">
        <f t="shared" si="29"/>
        <v>2011</v>
      </c>
      <c r="N509" s="3" t="str">
        <f t="shared" si="30"/>
        <v>23</v>
      </c>
      <c r="O509" s="3">
        <f t="shared" si="31"/>
        <v>10</v>
      </c>
    </row>
    <row r="510" spans="1:15" x14ac:dyDescent="0.35">
      <c r="A510" s="1">
        <v>509</v>
      </c>
      <c r="B510" s="2">
        <v>40566</v>
      </c>
      <c r="C510" s="1">
        <v>1</v>
      </c>
      <c r="D510" s="1">
        <v>0</v>
      </c>
      <c r="E510" s="1">
        <v>1</v>
      </c>
      <c r="F510" s="1">
        <v>7</v>
      </c>
      <c r="G510" s="1" t="b">
        <v>0</v>
      </c>
      <c r="H510" s="1">
        <v>0</v>
      </c>
      <c r="I510" s="1">
        <v>1</v>
      </c>
      <c r="J510" s="1">
        <v>0.08</v>
      </c>
      <c r="L510" s="3" t="str">
        <f t="shared" si="28"/>
        <v>2011-01-23</v>
      </c>
      <c r="M510" s="3" t="str">
        <f t="shared" si="29"/>
        <v>2011</v>
      </c>
      <c r="N510" s="3" t="str">
        <f t="shared" si="30"/>
        <v>23</v>
      </c>
      <c r="O510" s="3">
        <f t="shared" si="31"/>
        <v>10</v>
      </c>
    </row>
    <row r="511" spans="1:15" x14ac:dyDescent="0.35">
      <c r="A511" s="1">
        <v>510</v>
      </c>
      <c r="B511" s="2">
        <v>40566</v>
      </c>
      <c r="C511" s="1">
        <v>1</v>
      </c>
      <c r="D511" s="1">
        <v>0</v>
      </c>
      <c r="E511" s="1">
        <v>1</v>
      </c>
      <c r="F511" s="1">
        <v>8</v>
      </c>
      <c r="G511" s="1" t="b">
        <v>0</v>
      </c>
      <c r="H511" s="1">
        <v>0</v>
      </c>
      <c r="I511" s="1">
        <v>1</v>
      </c>
      <c r="J511" s="1">
        <v>0.06</v>
      </c>
      <c r="L511" s="3" t="str">
        <f t="shared" si="28"/>
        <v>2011-01-23</v>
      </c>
      <c r="M511" s="3" t="str">
        <f t="shared" si="29"/>
        <v>2011</v>
      </c>
      <c r="N511" s="3" t="str">
        <f t="shared" si="30"/>
        <v>23</v>
      </c>
      <c r="O511" s="3">
        <f t="shared" si="31"/>
        <v>10</v>
      </c>
    </row>
    <row r="512" spans="1:15" x14ac:dyDescent="0.35">
      <c r="A512" s="1">
        <v>511</v>
      </c>
      <c r="B512" s="2">
        <v>40566</v>
      </c>
      <c r="C512" s="1">
        <v>1</v>
      </c>
      <c r="D512" s="1">
        <v>0</v>
      </c>
      <c r="E512" s="1">
        <v>1</v>
      </c>
      <c r="F512" s="1">
        <v>9</v>
      </c>
      <c r="G512" s="1" t="b">
        <v>0</v>
      </c>
      <c r="H512" s="1">
        <v>0</v>
      </c>
      <c r="I512" s="1">
        <v>1</v>
      </c>
      <c r="J512" s="1">
        <v>0.1</v>
      </c>
      <c r="L512" s="3" t="str">
        <f t="shared" si="28"/>
        <v>2011-01-23</v>
      </c>
      <c r="M512" s="3" t="str">
        <f t="shared" si="29"/>
        <v>2011</v>
      </c>
      <c r="N512" s="3" t="str">
        <f t="shared" si="30"/>
        <v>23</v>
      </c>
      <c r="O512" s="3">
        <f t="shared" si="31"/>
        <v>10</v>
      </c>
    </row>
    <row r="513" spans="1:15" x14ac:dyDescent="0.35">
      <c r="A513" s="1">
        <v>512</v>
      </c>
      <c r="B513" s="2">
        <v>40566</v>
      </c>
      <c r="C513" s="1">
        <v>1</v>
      </c>
      <c r="D513" s="1">
        <v>0</v>
      </c>
      <c r="E513" s="1">
        <v>1</v>
      </c>
      <c r="F513" s="1">
        <v>10</v>
      </c>
      <c r="G513" s="1" t="b">
        <v>0</v>
      </c>
      <c r="H513" s="1">
        <v>0</v>
      </c>
      <c r="I513" s="1">
        <v>1</v>
      </c>
      <c r="J513" s="1">
        <v>0.14000000000000001</v>
      </c>
      <c r="L513" s="3" t="str">
        <f t="shared" si="28"/>
        <v>2011-01-23</v>
      </c>
      <c r="M513" s="3" t="str">
        <f t="shared" si="29"/>
        <v>2011</v>
      </c>
      <c r="N513" s="3" t="str">
        <f t="shared" si="30"/>
        <v>23</v>
      </c>
      <c r="O513" s="3">
        <f t="shared" si="31"/>
        <v>10</v>
      </c>
    </row>
    <row r="514" spans="1:15" x14ac:dyDescent="0.35">
      <c r="A514" s="1">
        <v>513</v>
      </c>
      <c r="B514" s="2">
        <v>40566</v>
      </c>
      <c r="C514" s="1">
        <v>1</v>
      </c>
      <c r="D514" s="1">
        <v>0</v>
      </c>
      <c r="E514" s="1">
        <v>1</v>
      </c>
      <c r="F514" s="1">
        <v>11</v>
      </c>
      <c r="G514" s="1" t="b">
        <v>0</v>
      </c>
      <c r="H514" s="1">
        <v>0</v>
      </c>
      <c r="I514" s="1">
        <v>1</v>
      </c>
      <c r="J514" s="1">
        <v>0.14000000000000001</v>
      </c>
      <c r="L514" s="3" t="str">
        <f t="shared" si="28"/>
        <v>2011-01-23</v>
      </c>
      <c r="M514" s="3" t="str">
        <f t="shared" si="29"/>
        <v>2011</v>
      </c>
      <c r="N514" s="3" t="str">
        <f t="shared" si="30"/>
        <v>23</v>
      </c>
      <c r="O514" s="3">
        <f t="shared" si="31"/>
        <v>10</v>
      </c>
    </row>
    <row r="515" spans="1:15" x14ac:dyDescent="0.35">
      <c r="A515" s="1">
        <v>514</v>
      </c>
      <c r="B515" s="2">
        <v>40566</v>
      </c>
      <c r="C515" s="1">
        <v>1</v>
      </c>
      <c r="D515" s="1">
        <v>0</v>
      </c>
      <c r="E515" s="1">
        <v>1</v>
      </c>
      <c r="F515" s="1">
        <v>12</v>
      </c>
      <c r="G515" s="1" t="b">
        <v>0</v>
      </c>
      <c r="H515" s="1">
        <v>0</v>
      </c>
      <c r="I515" s="1">
        <v>1</v>
      </c>
      <c r="J515" s="1">
        <v>0.16</v>
      </c>
      <c r="L515" s="3" t="str">
        <f t="shared" ref="L515:L578" si="32">TEXT(B515,"yyyy-mm-dd")</f>
        <v>2011-01-23</v>
      </c>
      <c r="M515" s="3" t="str">
        <f t="shared" ref="M515:M578" si="33">LEFT(L515,4)</f>
        <v>2011</v>
      </c>
      <c r="N515" s="3" t="str">
        <f t="shared" ref="N515:N578" si="34">RIGHT(L515,2)</f>
        <v>23</v>
      </c>
      <c r="O515" s="3">
        <f t="shared" ref="O515:O578" si="35">LEN(L515)</f>
        <v>10</v>
      </c>
    </row>
    <row r="516" spans="1:15" x14ac:dyDescent="0.35">
      <c r="A516" s="1">
        <v>515</v>
      </c>
      <c r="B516" s="2">
        <v>40566</v>
      </c>
      <c r="C516" s="1">
        <v>1</v>
      </c>
      <c r="D516" s="1">
        <v>0</v>
      </c>
      <c r="E516" s="1">
        <v>1</v>
      </c>
      <c r="F516" s="1">
        <v>13</v>
      </c>
      <c r="G516" s="1" t="b">
        <v>0</v>
      </c>
      <c r="H516" s="1">
        <v>0</v>
      </c>
      <c r="I516" s="1">
        <v>1</v>
      </c>
      <c r="J516" s="1">
        <v>0.14000000000000001</v>
      </c>
      <c r="L516" s="3" t="str">
        <f t="shared" si="32"/>
        <v>2011-01-23</v>
      </c>
      <c r="M516" s="3" t="str">
        <f t="shared" si="33"/>
        <v>2011</v>
      </c>
      <c r="N516" s="3" t="str">
        <f t="shared" si="34"/>
        <v>23</v>
      </c>
      <c r="O516" s="3">
        <f t="shared" si="35"/>
        <v>10</v>
      </c>
    </row>
    <row r="517" spans="1:15" x14ac:dyDescent="0.35">
      <c r="A517" s="1">
        <v>516</v>
      </c>
      <c r="B517" s="2">
        <v>40566</v>
      </c>
      <c r="C517" s="1">
        <v>1</v>
      </c>
      <c r="D517" s="1">
        <v>0</v>
      </c>
      <c r="E517" s="1">
        <v>1</v>
      </c>
      <c r="F517" s="1">
        <v>14</v>
      </c>
      <c r="G517" s="1" t="b">
        <v>0</v>
      </c>
      <c r="H517" s="1">
        <v>0</v>
      </c>
      <c r="I517" s="1">
        <v>1</v>
      </c>
      <c r="J517" s="1">
        <v>0.16</v>
      </c>
      <c r="L517" s="3" t="str">
        <f t="shared" si="32"/>
        <v>2011-01-23</v>
      </c>
      <c r="M517" s="3" t="str">
        <f t="shared" si="33"/>
        <v>2011</v>
      </c>
      <c r="N517" s="3" t="str">
        <f t="shared" si="34"/>
        <v>23</v>
      </c>
      <c r="O517" s="3">
        <f t="shared" si="35"/>
        <v>10</v>
      </c>
    </row>
    <row r="518" spans="1:15" x14ac:dyDescent="0.35">
      <c r="A518" s="1">
        <v>517</v>
      </c>
      <c r="B518" s="2">
        <v>40566</v>
      </c>
      <c r="C518" s="1">
        <v>1</v>
      </c>
      <c r="D518" s="1">
        <v>0</v>
      </c>
      <c r="E518" s="1">
        <v>1</v>
      </c>
      <c r="F518" s="1">
        <v>15</v>
      </c>
      <c r="G518" s="1" t="b">
        <v>0</v>
      </c>
      <c r="H518" s="1">
        <v>0</v>
      </c>
      <c r="I518" s="1">
        <v>1</v>
      </c>
      <c r="J518" s="1">
        <v>0.16</v>
      </c>
      <c r="L518" s="3" t="str">
        <f t="shared" si="32"/>
        <v>2011-01-23</v>
      </c>
      <c r="M518" s="3" t="str">
        <f t="shared" si="33"/>
        <v>2011</v>
      </c>
      <c r="N518" s="3" t="str">
        <f t="shared" si="34"/>
        <v>23</v>
      </c>
      <c r="O518" s="3">
        <f t="shared" si="35"/>
        <v>10</v>
      </c>
    </row>
    <row r="519" spans="1:15" x14ac:dyDescent="0.35">
      <c r="A519" s="1">
        <v>518</v>
      </c>
      <c r="B519" s="2">
        <v>40566</v>
      </c>
      <c r="C519" s="1">
        <v>1</v>
      </c>
      <c r="D519" s="1">
        <v>0</v>
      </c>
      <c r="E519" s="1">
        <v>1</v>
      </c>
      <c r="F519" s="1">
        <v>16</v>
      </c>
      <c r="G519" s="1" t="b">
        <v>0</v>
      </c>
      <c r="H519" s="1">
        <v>0</v>
      </c>
      <c r="I519" s="1">
        <v>1</v>
      </c>
      <c r="J519" s="1">
        <v>0.16</v>
      </c>
      <c r="L519" s="3" t="str">
        <f t="shared" si="32"/>
        <v>2011-01-23</v>
      </c>
      <c r="M519" s="3" t="str">
        <f t="shared" si="33"/>
        <v>2011</v>
      </c>
      <c r="N519" s="3" t="str">
        <f t="shared" si="34"/>
        <v>23</v>
      </c>
      <c r="O519" s="3">
        <f t="shared" si="35"/>
        <v>10</v>
      </c>
    </row>
    <row r="520" spans="1:15" x14ac:dyDescent="0.35">
      <c r="A520" s="1">
        <v>519</v>
      </c>
      <c r="B520" s="2">
        <v>40566</v>
      </c>
      <c r="C520" s="1">
        <v>1</v>
      </c>
      <c r="D520" s="1">
        <v>0</v>
      </c>
      <c r="E520" s="1">
        <v>1</v>
      </c>
      <c r="F520" s="1">
        <v>17</v>
      </c>
      <c r="G520" s="1" t="b">
        <v>0</v>
      </c>
      <c r="H520" s="1">
        <v>0</v>
      </c>
      <c r="I520" s="1">
        <v>1</v>
      </c>
      <c r="J520" s="1">
        <v>0.14000000000000001</v>
      </c>
      <c r="L520" s="3" t="str">
        <f t="shared" si="32"/>
        <v>2011-01-23</v>
      </c>
      <c r="M520" s="3" t="str">
        <f t="shared" si="33"/>
        <v>2011</v>
      </c>
      <c r="N520" s="3" t="str">
        <f t="shared" si="34"/>
        <v>23</v>
      </c>
      <c r="O520" s="3">
        <f t="shared" si="35"/>
        <v>10</v>
      </c>
    </row>
    <row r="521" spans="1:15" x14ac:dyDescent="0.35">
      <c r="A521" s="1">
        <v>520</v>
      </c>
      <c r="B521" s="2">
        <v>40566</v>
      </c>
      <c r="C521" s="1">
        <v>1</v>
      </c>
      <c r="D521" s="1">
        <v>0</v>
      </c>
      <c r="E521" s="1">
        <v>1</v>
      </c>
      <c r="F521" s="1">
        <v>18</v>
      </c>
      <c r="G521" s="1" t="b">
        <v>0</v>
      </c>
      <c r="H521" s="1">
        <v>0</v>
      </c>
      <c r="I521" s="1">
        <v>1</v>
      </c>
      <c r="J521" s="1">
        <v>0.12</v>
      </c>
      <c r="L521" s="3" t="str">
        <f t="shared" si="32"/>
        <v>2011-01-23</v>
      </c>
      <c r="M521" s="3" t="str">
        <f t="shared" si="33"/>
        <v>2011</v>
      </c>
      <c r="N521" s="3" t="str">
        <f t="shared" si="34"/>
        <v>23</v>
      </c>
      <c r="O521" s="3">
        <f t="shared" si="35"/>
        <v>10</v>
      </c>
    </row>
    <row r="522" spans="1:15" x14ac:dyDescent="0.35">
      <c r="A522" s="1">
        <v>521</v>
      </c>
      <c r="B522" s="2">
        <v>40566</v>
      </c>
      <c r="C522" s="1">
        <v>1</v>
      </c>
      <c r="D522" s="1">
        <v>0</v>
      </c>
      <c r="E522" s="1">
        <v>1</v>
      </c>
      <c r="F522" s="1">
        <v>19</v>
      </c>
      <c r="G522" s="1" t="b">
        <v>0</v>
      </c>
      <c r="H522" s="1">
        <v>0</v>
      </c>
      <c r="I522" s="1">
        <v>1</v>
      </c>
      <c r="J522" s="1">
        <v>0.12</v>
      </c>
      <c r="L522" s="3" t="str">
        <f t="shared" si="32"/>
        <v>2011-01-23</v>
      </c>
      <c r="M522" s="3" t="str">
        <f t="shared" si="33"/>
        <v>2011</v>
      </c>
      <c r="N522" s="3" t="str">
        <f t="shared" si="34"/>
        <v>23</v>
      </c>
      <c r="O522" s="3">
        <f t="shared" si="35"/>
        <v>10</v>
      </c>
    </row>
    <row r="523" spans="1:15" x14ac:dyDescent="0.35">
      <c r="A523" s="1">
        <v>522</v>
      </c>
      <c r="B523" s="2">
        <v>40566</v>
      </c>
      <c r="C523" s="1">
        <v>1</v>
      </c>
      <c r="D523" s="1">
        <v>0</v>
      </c>
      <c r="E523" s="1">
        <v>1</v>
      </c>
      <c r="F523" s="1">
        <v>20</v>
      </c>
      <c r="G523" s="1" t="b">
        <v>0</v>
      </c>
      <c r="H523" s="1">
        <v>0</v>
      </c>
      <c r="I523" s="1">
        <v>1</v>
      </c>
      <c r="J523" s="1">
        <v>0.1</v>
      </c>
      <c r="L523" s="3" t="str">
        <f t="shared" si="32"/>
        <v>2011-01-23</v>
      </c>
      <c r="M523" s="3" t="str">
        <f t="shared" si="33"/>
        <v>2011</v>
      </c>
      <c r="N523" s="3" t="str">
        <f t="shared" si="34"/>
        <v>23</v>
      </c>
      <c r="O523" s="3">
        <f t="shared" si="35"/>
        <v>10</v>
      </c>
    </row>
    <row r="524" spans="1:15" x14ac:dyDescent="0.35">
      <c r="A524" s="1">
        <v>523</v>
      </c>
      <c r="B524" s="2">
        <v>40566</v>
      </c>
      <c r="C524" s="1">
        <v>1</v>
      </c>
      <c r="D524" s="1">
        <v>0</v>
      </c>
      <c r="E524" s="1">
        <v>1</v>
      </c>
      <c r="F524" s="1">
        <v>21</v>
      </c>
      <c r="G524" s="1" t="b">
        <v>0</v>
      </c>
      <c r="H524" s="1">
        <v>0</v>
      </c>
      <c r="I524" s="1">
        <v>1</v>
      </c>
      <c r="J524" s="1">
        <v>0.1</v>
      </c>
      <c r="L524" s="3" t="str">
        <f t="shared" si="32"/>
        <v>2011-01-23</v>
      </c>
      <c r="M524" s="3" t="str">
        <f t="shared" si="33"/>
        <v>2011</v>
      </c>
      <c r="N524" s="3" t="str">
        <f t="shared" si="34"/>
        <v>23</v>
      </c>
      <c r="O524" s="3">
        <f t="shared" si="35"/>
        <v>10</v>
      </c>
    </row>
    <row r="525" spans="1:15" x14ac:dyDescent="0.35">
      <c r="A525" s="1">
        <v>524</v>
      </c>
      <c r="B525" s="2">
        <v>40566</v>
      </c>
      <c r="C525" s="1">
        <v>1</v>
      </c>
      <c r="D525" s="1">
        <v>0</v>
      </c>
      <c r="E525" s="1">
        <v>1</v>
      </c>
      <c r="F525" s="1">
        <v>22</v>
      </c>
      <c r="G525" s="1" t="b">
        <v>0</v>
      </c>
      <c r="H525" s="1">
        <v>0</v>
      </c>
      <c r="I525" s="1">
        <v>1</v>
      </c>
      <c r="J525" s="1">
        <v>0.08</v>
      </c>
      <c r="L525" s="3" t="str">
        <f t="shared" si="32"/>
        <v>2011-01-23</v>
      </c>
      <c r="M525" s="3" t="str">
        <f t="shared" si="33"/>
        <v>2011</v>
      </c>
      <c r="N525" s="3" t="str">
        <f t="shared" si="34"/>
        <v>23</v>
      </c>
      <c r="O525" s="3">
        <f t="shared" si="35"/>
        <v>10</v>
      </c>
    </row>
    <row r="526" spans="1:15" x14ac:dyDescent="0.35">
      <c r="A526" s="1">
        <v>525</v>
      </c>
      <c r="B526" s="2">
        <v>40566</v>
      </c>
      <c r="C526" s="1">
        <v>1</v>
      </c>
      <c r="D526" s="1">
        <v>0</v>
      </c>
      <c r="E526" s="1">
        <v>1</v>
      </c>
      <c r="F526" s="1">
        <v>23</v>
      </c>
      <c r="G526" s="1" t="b">
        <v>0</v>
      </c>
      <c r="H526" s="1">
        <v>0</v>
      </c>
      <c r="I526" s="1">
        <v>1</v>
      </c>
      <c r="J526" s="1">
        <v>0.06</v>
      </c>
      <c r="L526" s="3" t="str">
        <f t="shared" si="32"/>
        <v>2011-01-23</v>
      </c>
      <c r="M526" s="3" t="str">
        <f t="shared" si="33"/>
        <v>2011</v>
      </c>
      <c r="N526" s="3" t="str">
        <f t="shared" si="34"/>
        <v>23</v>
      </c>
      <c r="O526" s="3">
        <f t="shared" si="35"/>
        <v>10</v>
      </c>
    </row>
    <row r="527" spans="1:15" x14ac:dyDescent="0.35">
      <c r="A527" s="1">
        <v>526</v>
      </c>
      <c r="B527" s="2">
        <v>40567</v>
      </c>
      <c r="C527" s="1">
        <v>1</v>
      </c>
      <c r="D527" s="1">
        <v>0</v>
      </c>
      <c r="E527" s="1">
        <v>1</v>
      </c>
      <c r="F527" s="1">
        <v>0</v>
      </c>
      <c r="G527" s="1" t="b">
        <v>0</v>
      </c>
      <c r="H527" s="1">
        <v>1</v>
      </c>
      <c r="I527" s="1">
        <v>1</v>
      </c>
      <c r="J527" s="1">
        <v>0.06</v>
      </c>
      <c r="L527" s="3" t="str">
        <f t="shared" si="32"/>
        <v>2011-01-24</v>
      </c>
      <c r="M527" s="3" t="str">
        <f t="shared" si="33"/>
        <v>2011</v>
      </c>
      <c r="N527" s="3" t="str">
        <f t="shared" si="34"/>
        <v>24</v>
      </c>
      <c r="O527" s="3">
        <f t="shared" si="35"/>
        <v>10</v>
      </c>
    </row>
    <row r="528" spans="1:15" x14ac:dyDescent="0.35">
      <c r="A528" s="1">
        <v>527</v>
      </c>
      <c r="B528" s="2">
        <v>40567</v>
      </c>
      <c r="C528" s="1">
        <v>1</v>
      </c>
      <c r="D528" s="1">
        <v>0</v>
      </c>
      <c r="E528" s="1">
        <v>1</v>
      </c>
      <c r="F528" s="1">
        <v>1</v>
      </c>
      <c r="G528" s="1" t="b">
        <v>0</v>
      </c>
      <c r="H528" s="1">
        <v>1</v>
      </c>
      <c r="I528" s="1">
        <v>1</v>
      </c>
      <c r="J528" s="1">
        <v>0.04</v>
      </c>
      <c r="L528" s="3" t="str">
        <f t="shared" si="32"/>
        <v>2011-01-24</v>
      </c>
      <c r="M528" s="3" t="str">
        <f t="shared" si="33"/>
        <v>2011</v>
      </c>
      <c r="N528" s="3" t="str">
        <f t="shared" si="34"/>
        <v>24</v>
      </c>
      <c r="O528" s="3">
        <f t="shared" si="35"/>
        <v>10</v>
      </c>
    </row>
    <row r="529" spans="1:15" x14ac:dyDescent="0.35">
      <c r="A529" s="1">
        <v>528</v>
      </c>
      <c r="B529" s="2">
        <v>40567</v>
      </c>
      <c r="C529" s="1">
        <v>1</v>
      </c>
      <c r="D529" s="1">
        <v>0</v>
      </c>
      <c r="E529" s="1">
        <v>1</v>
      </c>
      <c r="F529" s="1">
        <v>3</v>
      </c>
      <c r="G529" s="1" t="b">
        <v>0</v>
      </c>
      <c r="H529" s="1">
        <v>1</v>
      </c>
      <c r="I529" s="1">
        <v>1</v>
      </c>
      <c r="J529" s="1">
        <v>0.04</v>
      </c>
      <c r="L529" s="3" t="str">
        <f t="shared" si="32"/>
        <v>2011-01-24</v>
      </c>
      <c r="M529" s="3" t="str">
        <f t="shared" si="33"/>
        <v>2011</v>
      </c>
      <c r="N529" s="3" t="str">
        <f t="shared" si="34"/>
        <v>24</v>
      </c>
      <c r="O529" s="3">
        <f t="shared" si="35"/>
        <v>10</v>
      </c>
    </row>
    <row r="530" spans="1:15" x14ac:dyDescent="0.35">
      <c r="A530" s="1">
        <v>529</v>
      </c>
      <c r="B530" s="2">
        <v>40567</v>
      </c>
      <c r="C530" s="1">
        <v>1</v>
      </c>
      <c r="D530" s="1">
        <v>0</v>
      </c>
      <c r="E530" s="1">
        <v>1</v>
      </c>
      <c r="F530" s="1">
        <v>4</v>
      </c>
      <c r="G530" s="1" t="b">
        <v>0</v>
      </c>
      <c r="H530" s="1">
        <v>1</v>
      </c>
      <c r="I530" s="1">
        <v>1</v>
      </c>
      <c r="J530" s="1">
        <v>0.02</v>
      </c>
      <c r="L530" s="3" t="str">
        <f t="shared" si="32"/>
        <v>2011-01-24</v>
      </c>
      <c r="M530" s="3" t="str">
        <f t="shared" si="33"/>
        <v>2011</v>
      </c>
      <c r="N530" s="3" t="str">
        <f t="shared" si="34"/>
        <v>24</v>
      </c>
      <c r="O530" s="3">
        <f t="shared" si="35"/>
        <v>10</v>
      </c>
    </row>
    <row r="531" spans="1:15" x14ac:dyDescent="0.35">
      <c r="A531" s="1">
        <v>530</v>
      </c>
      <c r="B531" s="2">
        <v>40567</v>
      </c>
      <c r="C531" s="1">
        <v>1</v>
      </c>
      <c r="D531" s="1">
        <v>0</v>
      </c>
      <c r="E531" s="1">
        <v>1</v>
      </c>
      <c r="F531" s="1">
        <v>5</v>
      </c>
      <c r="G531" s="1" t="b">
        <v>0</v>
      </c>
      <c r="H531" s="1">
        <v>1</v>
      </c>
      <c r="I531" s="1">
        <v>1</v>
      </c>
      <c r="J531" s="1">
        <v>0.02</v>
      </c>
      <c r="L531" s="3" t="str">
        <f t="shared" si="32"/>
        <v>2011-01-24</v>
      </c>
      <c r="M531" s="3" t="str">
        <f t="shared" si="33"/>
        <v>2011</v>
      </c>
      <c r="N531" s="3" t="str">
        <f t="shared" si="34"/>
        <v>24</v>
      </c>
      <c r="O531" s="3">
        <f t="shared" si="35"/>
        <v>10</v>
      </c>
    </row>
    <row r="532" spans="1:15" x14ac:dyDescent="0.35">
      <c r="A532" s="1">
        <v>531</v>
      </c>
      <c r="B532" s="2">
        <v>40567</v>
      </c>
      <c r="C532" s="1">
        <v>1</v>
      </c>
      <c r="D532" s="1">
        <v>0</v>
      </c>
      <c r="E532" s="1">
        <v>1</v>
      </c>
      <c r="F532" s="1">
        <v>6</v>
      </c>
      <c r="G532" s="1" t="b">
        <v>0</v>
      </c>
      <c r="H532" s="1">
        <v>1</v>
      </c>
      <c r="I532" s="1">
        <v>1</v>
      </c>
      <c r="J532" s="1">
        <v>0.02</v>
      </c>
      <c r="L532" s="3" t="str">
        <f t="shared" si="32"/>
        <v>2011-01-24</v>
      </c>
      <c r="M532" s="3" t="str">
        <f t="shared" si="33"/>
        <v>2011</v>
      </c>
      <c r="N532" s="3" t="str">
        <f t="shared" si="34"/>
        <v>24</v>
      </c>
      <c r="O532" s="3">
        <f t="shared" si="35"/>
        <v>10</v>
      </c>
    </row>
    <row r="533" spans="1:15" x14ac:dyDescent="0.35">
      <c r="A533" s="1">
        <v>532</v>
      </c>
      <c r="B533" s="2">
        <v>40567</v>
      </c>
      <c r="C533" s="1">
        <v>1</v>
      </c>
      <c r="D533" s="1">
        <v>0</v>
      </c>
      <c r="E533" s="1">
        <v>1</v>
      </c>
      <c r="F533" s="1">
        <v>7</v>
      </c>
      <c r="G533" s="1" t="b">
        <v>0</v>
      </c>
      <c r="H533" s="1">
        <v>1</v>
      </c>
      <c r="I533" s="1">
        <v>1</v>
      </c>
      <c r="J533" s="1">
        <v>0.02</v>
      </c>
      <c r="L533" s="3" t="str">
        <f t="shared" si="32"/>
        <v>2011-01-24</v>
      </c>
      <c r="M533" s="3" t="str">
        <f t="shared" si="33"/>
        <v>2011</v>
      </c>
      <c r="N533" s="3" t="str">
        <f t="shared" si="34"/>
        <v>24</v>
      </c>
      <c r="O533" s="3">
        <f t="shared" si="35"/>
        <v>10</v>
      </c>
    </row>
    <row r="534" spans="1:15" x14ac:dyDescent="0.35">
      <c r="A534" s="1">
        <v>533</v>
      </c>
      <c r="B534" s="2">
        <v>40567</v>
      </c>
      <c r="C534" s="1">
        <v>1</v>
      </c>
      <c r="D534" s="1">
        <v>0</v>
      </c>
      <c r="E534" s="1">
        <v>1</v>
      </c>
      <c r="F534" s="1">
        <v>8</v>
      </c>
      <c r="G534" s="1" t="b">
        <v>0</v>
      </c>
      <c r="H534" s="1">
        <v>1</v>
      </c>
      <c r="I534" s="1">
        <v>1</v>
      </c>
      <c r="J534" s="1">
        <v>0.04</v>
      </c>
      <c r="L534" s="3" t="str">
        <f t="shared" si="32"/>
        <v>2011-01-24</v>
      </c>
      <c r="M534" s="3" t="str">
        <f t="shared" si="33"/>
        <v>2011</v>
      </c>
      <c r="N534" s="3" t="str">
        <f t="shared" si="34"/>
        <v>24</v>
      </c>
      <c r="O534" s="3">
        <f t="shared" si="35"/>
        <v>10</v>
      </c>
    </row>
    <row r="535" spans="1:15" x14ac:dyDescent="0.35">
      <c r="A535" s="1">
        <v>534</v>
      </c>
      <c r="B535" s="2">
        <v>40567</v>
      </c>
      <c r="C535" s="1">
        <v>1</v>
      </c>
      <c r="D535" s="1">
        <v>0</v>
      </c>
      <c r="E535" s="1">
        <v>1</v>
      </c>
      <c r="F535" s="1">
        <v>9</v>
      </c>
      <c r="G535" s="1" t="b">
        <v>0</v>
      </c>
      <c r="H535" s="1">
        <v>1</v>
      </c>
      <c r="I535" s="1">
        <v>1</v>
      </c>
      <c r="J535" s="1">
        <v>0.06</v>
      </c>
      <c r="L535" s="3" t="str">
        <f t="shared" si="32"/>
        <v>2011-01-24</v>
      </c>
      <c r="M535" s="3" t="str">
        <f t="shared" si="33"/>
        <v>2011</v>
      </c>
      <c r="N535" s="3" t="str">
        <f t="shared" si="34"/>
        <v>24</v>
      </c>
      <c r="O535" s="3">
        <f t="shared" si="35"/>
        <v>10</v>
      </c>
    </row>
    <row r="536" spans="1:15" x14ac:dyDescent="0.35">
      <c r="A536" s="1">
        <v>535</v>
      </c>
      <c r="B536" s="2">
        <v>40567</v>
      </c>
      <c r="C536" s="1">
        <v>1</v>
      </c>
      <c r="D536" s="1">
        <v>0</v>
      </c>
      <c r="E536" s="1">
        <v>1</v>
      </c>
      <c r="F536" s="1">
        <v>10</v>
      </c>
      <c r="G536" s="1" t="b">
        <v>0</v>
      </c>
      <c r="H536" s="1">
        <v>1</v>
      </c>
      <c r="I536" s="1">
        <v>1</v>
      </c>
      <c r="J536" s="1">
        <v>0.1</v>
      </c>
      <c r="L536" s="3" t="str">
        <f t="shared" si="32"/>
        <v>2011-01-24</v>
      </c>
      <c r="M536" s="3" t="str">
        <f t="shared" si="33"/>
        <v>2011</v>
      </c>
      <c r="N536" s="3" t="str">
        <f t="shared" si="34"/>
        <v>24</v>
      </c>
      <c r="O536" s="3">
        <f t="shared" si="35"/>
        <v>10</v>
      </c>
    </row>
    <row r="537" spans="1:15" x14ac:dyDescent="0.35">
      <c r="A537" s="1">
        <v>536</v>
      </c>
      <c r="B537" s="2">
        <v>40567</v>
      </c>
      <c r="C537" s="1">
        <v>1</v>
      </c>
      <c r="D537" s="1">
        <v>0</v>
      </c>
      <c r="E537" s="1">
        <v>1</v>
      </c>
      <c r="F537" s="1">
        <v>11</v>
      </c>
      <c r="G537" s="1" t="b">
        <v>0</v>
      </c>
      <c r="H537" s="1">
        <v>1</v>
      </c>
      <c r="I537" s="1">
        <v>1</v>
      </c>
      <c r="J537" s="1">
        <v>0.1</v>
      </c>
      <c r="L537" s="3" t="str">
        <f t="shared" si="32"/>
        <v>2011-01-24</v>
      </c>
      <c r="M537" s="3" t="str">
        <f t="shared" si="33"/>
        <v>2011</v>
      </c>
      <c r="N537" s="3" t="str">
        <f t="shared" si="34"/>
        <v>24</v>
      </c>
      <c r="O537" s="3">
        <f t="shared" si="35"/>
        <v>10</v>
      </c>
    </row>
    <row r="538" spans="1:15" x14ac:dyDescent="0.35">
      <c r="A538" s="1">
        <v>537</v>
      </c>
      <c r="B538" s="2">
        <v>40567</v>
      </c>
      <c r="C538" s="1">
        <v>1</v>
      </c>
      <c r="D538" s="1">
        <v>0</v>
      </c>
      <c r="E538" s="1">
        <v>1</v>
      </c>
      <c r="F538" s="1">
        <v>12</v>
      </c>
      <c r="G538" s="1" t="b">
        <v>0</v>
      </c>
      <c r="H538" s="1">
        <v>1</v>
      </c>
      <c r="I538" s="1">
        <v>2</v>
      </c>
      <c r="J538" s="1">
        <v>0.12</v>
      </c>
      <c r="L538" s="3" t="str">
        <f t="shared" si="32"/>
        <v>2011-01-24</v>
      </c>
      <c r="M538" s="3" t="str">
        <f t="shared" si="33"/>
        <v>2011</v>
      </c>
      <c r="N538" s="3" t="str">
        <f t="shared" si="34"/>
        <v>24</v>
      </c>
      <c r="O538" s="3">
        <f t="shared" si="35"/>
        <v>10</v>
      </c>
    </row>
    <row r="539" spans="1:15" x14ac:dyDescent="0.35">
      <c r="A539" s="1">
        <v>538</v>
      </c>
      <c r="B539" s="2">
        <v>40567</v>
      </c>
      <c r="C539" s="1">
        <v>1</v>
      </c>
      <c r="D539" s="1">
        <v>0</v>
      </c>
      <c r="E539" s="1">
        <v>1</v>
      </c>
      <c r="F539" s="1">
        <v>13</v>
      </c>
      <c r="G539" s="1" t="b">
        <v>0</v>
      </c>
      <c r="H539" s="1">
        <v>1</v>
      </c>
      <c r="I539" s="1">
        <v>2</v>
      </c>
      <c r="J539" s="1">
        <v>0.14000000000000001</v>
      </c>
      <c r="L539" s="3" t="str">
        <f t="shared" si="32"/>
        <v>2011-01-24</v>
      </c>
      <c r="M539" s="3" t="str">
        <f t="shared" si="33"/>
        <v>2011</v>
      </c>
      <c r="N539" s="3" t="str">
        <f t="shared" si="34"/>
        <v>24</v>
      </c>
      <c r="O539" s="3">
        <f t="shared" si="35"/>
        <v>10</v>
      </c>
    </row>
    <row r="540" spans="1:15" x14ac:dyDescent="0.35">
      <c r="A540" s="1">
        <v>539</v>
      </c>
      <c r="B540" s="2">
        <v>40567</v>
      </c>
      <c r="C540" s="1">
        <v>1</v>
      </c>
      <c r="D540" s="1">
        <v>0</v>
      </c>
      <c r="E540" s="1">
        <v>1</v>
      </c>
      <c r="F540" s="1">
        <v>14</v>
      </c>
      <c r="G540" s="1" t="b">
        <v>0</v>
      </c>
      <c r="H540" s="1">
        <v>1</v>
      </c>
      <c r="I540" s="1">
        <v>2</v>
      </c>
      <c r="J540" s="1">
        <v>0.14000000000000001</v>
      </c>
      <c r="L540" s="3" t="str">
        <f t="shared" si="32"/>
        <v>2011-01-24</v>
      </c>
      <c r="M540" s="3" t="str">
        <f t="shared" si="33"/>
        <v>2011</v>
      </c>
      <c r="N540" s="3" t="str">
        <f t="shared" si="34"/>
        <v>24</v>
      </c>
      <c r="O540" s="3">
        <f t="shared" si="35"/>
        <v>10</v>
      </c>
    </row>
    <row r="541" spans="1:15" x14ac:dyDescent="0.35">
      <c r="A541" s="1">
        <v>540</v>
      </c>
      <c r="B541" s="2">
        <v>40567</v>
      </c>
      <c r="C541" s="1">
        <v>1</v>
      </c>
      <c r="D541" s="1">
        <v>0</v>
      </c>
      <c r="E541" s="1">
        <v>1</v>
      </c>
      <c r="F541" s="1">
        <v>15</v>
      </c>
      <c r="G541" s="1" t="b">
        <v>0</v>
      </c>
      <c r="H541" s="1">
        <v>1</v>
      </c>
      <c r="I541" s="1">
        <v>1</v>
      </c>
      <c r="J541" s="1">
        <v>0.16</v>
      </c>
      <c r="L541" s="3" t="str">
        <f t="shared" si="32"/>
        <v>2011-01-24</v>
      </c>
      <c r="M541" s="3" t="str">
        <f t="shared" si="33"/>
        <v>2011</v>
      </c>
      <c r="N541" s="3" t="str">
        <f t="shared" si="34"/>
        <v>24</v>
      </c>
      <c r="O541" s="3">
        <f t="shared" si="35"/>
        <v>10</v>
      </c>
    </row>
    <row r="542" spans="1:15" x14ac:dyDescent="0.35">
      <c r="A542" s="1">
        <v>541</v>
      </c>
      <c r="B542" s="2">
        <v>40567</v>
      </c>
      <c r="C542" s="1">
        <v>1</v>
      </c>
      <c r="D542" s="1">
        <v>0</v>
      </c>
      <c r="E542" s="1">
        <v>1</v>
      </c>
      <c r="F542" s="1">
        <v>16</v>
      </c>
      <c r="G542" s="1" t="b">
        <v>0</v>
      </c>
      <c r="H542" s="1">
        <v>1</v>
      </c>
      <c r="I542" s="1">
        <v>1</v>
      </c>
      <c r="J542" s="1">
        <v>0.16</v>
      </c>
      <c r="L542" s="3" t="str">
        <f t="shared" si="32"/>
        <v>2011-01-24</v>
      </c>
      <c r="M542" s="3" t="str">
        <f t="shared" si="33"/>
        <v>2011</v>
      </c>
      <c r="N542" s="3" t="str">
        <f t="shared" si="34"/>
        <v>24</v>
      </c>
      <c r="O542" s="3">
        <f t="shared" si="35"/>
        <v>10</v>
      </c>
    </row>
    <row r="543" spans="1:15" x14ac:dyDescent="0.35">
      <c r="A543" s="1">
        <v>542</v>
      </c>
      <c r="B543" s="2">
        <v>40567</v>
      </c>
      <c r="C543" s="1">
        <v>1</v>
      </c>
      <c r="D543" s="1">
        <v>0</v>
      </c>
      <c r="E543" s="1">
        <v>1</v>
      </c>
      <c r="F543" s="1">
        <v>17</v>
      </c>
      <c r="G543" s="1" t="b">
        <v>0</v>
      </c>
      <c r="H543" s="1">
        <v>1</v>
      </c>
      <c r="I543" s="1">
        <v>1</v>
      </c>
      <c r="J543" s="1">
        <v>0.14000000000000001</v>
      </c>
      <c r="L543" s="3" t="str">
        <f t="shared" si="32"/>
        <v>2011-01-24</v>
      </c>
      <c r="M543" s="3" t="str">
        <f t="shared" si="33"/>
        <v>2011</v>
      </c>
      <c r="N543" s="3" t="str">
        <f t="shared" si="34"/>
        <v>24</v>
      </c>
      <c r="O543" s="3">
        <f t="shared" si="35"/>
        <v>10</v>
      </c>
    </row>
    <row r="544" spans="1:15" x14ac:dyDescent="0.35">
      <c r="A544" s="1">
        <v>543</v>
      </c>
      <c r="B544" s="2">
        <v>40567</v>
      </c>
      <c r="C544" s="1">
        <v>1</v>
      </c>
      <c r="D544" s="1">
        <v>0</v>
      </c>
      <c r="E544" s="1">
        <v>1</v>
      </c>
      <c r="F544" s="1">
        <v>18</v>
      </c>
      <c r="G544" s="1" t="b">
        <v>0</v>
      </c>
      <c r="H544" s="1">
        <v>1</v>
      </c>
      <c r="I544" s="1">
        <v>1</v>
      </c>
      <c r="J544" s="1">
        <v>0.14000000000000001</v>
      </c>
      <c r="L544" s="3" t="str">
        <f t="shared" si="32"/>
        <v>2011-01-24</v>
      </c>
      <c r="M544" s="3" t="str">
        <f t="shared" si="33"/>
        <v>2011</v>
      </c>
      <c r="N544" s="3" t="str">
        <f t="shared" si="34"/>
        <v>24</v>
      </c>
      <c r="O544" s="3">
        <f t="shared" si="35"/>
        <v>10</v>
      </c>
    </row>
    <row r="545" spans="1:15" x14ac:dyDescent="0.35">
      <c r="A545" s="1">
        <v>544</v>
      </c>
      <c r="B545" s="2">
        <v>40567</v>
      </c>
      <c r="C545" s="1">
        <v>1</v>
      </c>
      <c r="D545" s="1">
        <v>0</v>
      </c>
      <c r="E545" s="1">
        <v>1</v>
      </c>
      <c r="F545" s="1">
        <v>19</v>
      </c>
      <c r="G545" s="1" t="b">
        <v>0</v>
      </c>
      <c r="H545" s="1">
        <v>1</v>
      </c>
      <c r="I545" s="1">
        <v>1</v>
      </c>
      <c r="J545" s="1">
        <v>0.14000000000000001</v>
      </c>
      <c r="L545" s="3" t="str">
        <f t="shared" si="32"/>
        <v>2011-01-24</v>
      </c>
      <c r="M545" s="3" t="str">
        <f t="shared" si="33"/>
        <v>2011</v>
      </c>
      <c r="N545" s="3" t="str">
        <f t="shared" si="34"/>
        <v>24</v>
      </c>
      <c r="O545" s="3">
        <f t="shared" si="35"/>
        <v>10</v>
      </c>
    </row>
    <row r="546" spans="1:15" x14ac:dyDescent="0.35">
      <c r="A546" s="1">
        <v>545</v>
      </c>
      <c r="B546" s="2">
        <v>40567</v>
      </c>
      <c r="C546" s="1">
        <v>1</v>
      </c>
      <c r="D546" s="1">
        <v>0</v>
      </c>
      <c r="E546" s="1">
        <v>1</v>
      </c>
      <c r="F546" s="1">
        <v>20</v>
      </c>
      <c r="G546" s="1" t="b">
        <v>0</v>
      </c>
      <c r="H546" s="1">
        <v>1</v>
      </c>
      <c r="I546" s="1">
        <v>1</v>
      </c>
      <c r="J546" s="1">
        <v>0.14000000000000001</v>
      </c>
      <c r="L546" s="3" t="str">
        <f t="shared" si="32"/>
        <v>2011-01-24</v>
      </c>
      <c r="M546" s="3" t="str">
        <f t="shared" si="33"/>
        <v>2011</v>
      </c>
      <c r="N546" s="3" t="str">
        <f t="shared" si="34"/>
        <v>24</v>
      </c>
      <c r="O546" s="3">
        <f t="shared" si="35"/>
        <v>10</v>
      </c>
    </row>
    <row r="547" spans="1:15" x14ac:dyDescent="0.35">
      <c r="A547" s="1">
        <v>546</v>
      </c>
      <c r="B547" s="2">
        <v>40567</v>
      </c>
      <c r="C547" s="1">
        <v>1</v>
      </c>
      <c r="D547" s="1">
        <v>0</v>
      </c>
      <c r="E547" s="1">
        <v>1</v>
      </c>
      <c r="F547" s="1">
        <v>21</v>
      </c>
      <c r="G547" s="1" t="b">
        <v>0</v>
      </c>
      <c r="H547" s="1">
        <v>1</v>
      </c>
      <c r="I547" s="1">
        <v>1</v>
      </c>
      <c r="J547" s="1">
        <v>0.14000000000000001</v>
      </c>
      <c r="L547" s="3" t="str">
        <f t="shared" si="32"/>
        <v>2011-01-24</v>
      </c>
      <c r="M547" s="3" t="str">
        <f t="shared" si="33"/>
        <v>2011</v>
      </c>
      <c r="N547" s="3" t="str">
        <f t="shared" si="34"/>
        <v>24</v>
      </c>
      <c r="O547" s="3">
        <f t="shared" si="35"/>
        <v>10</v>
      </c>
    </row>
    <row r="548" spans="1:15" x14ac:dyDescent="0.35">
      <c r="A548" s="1">
        <v>547</v>
      </c>
      <c r="B548" s="2">
        <v>40567</v>
      </c>
      <c r="C548" s="1">
        <v>1</v>
      </c>
      <c r="D548" s="1">
        <v>0</v>
      </c>
      <c r="E548" s="1">
        <v>1</v>
      </c>
      <c r="F548" s="1">
        <v>22</v>
      </c>
      <c r="G548" s="1" t="b">
        <v>0</v>
      </c>
      <c r="H548" s="1">
        <v>1</v>
      </c>
      <c r="I548" s="1">
        <v>2</v>
      </c>
      <c r="J548" s="1">
        <v>0.14000000000000001</v>
      </c>
      <c r="L548" s="3" t="str">
        <f t="shared" si="32"/>
        <v>2011-01-24</v>
      </c>
      <c r="M548" s="3" t="str">
        <f t="shared" si="33"/>
        <v>2011</v>
      </c>
      <c r="N548" s="3" t="str">
        <f t="shared" si="34"/>
        <v>24</v>
      </c>
      <c r="O548" s="3">
        <f t="shared" si="35"/>
        <v>10</v>
      </c>
    </row>
    <row r="549" spans="1:15" x14ac:dyDescent="0.35">
      <c r="A549" s="1">
        <v>548</v>
      </c>
      <c r="B549" s="2">
        <v>40567</v>
      </c>
      <c r="C549" s="1">
        <v>1</v>
      </c>
      <c r="D549" s="1">
        <v>0</v>
      </c>
      <c r="E549" s="1">
        <v>1</v>
      </c>
      <c r="F549" s="1">
        <v>23</v>
      </c>
      <c r="G549" s="1" t="b">
        <v>0</v>
      </c>
      <c r="H549" s="1">
        <v>1</v>
      </c>
      <c r="I549" s="1">
        <v>2</v>
      </c>
      <c r="J549" s="1">
        <v>0.16</v>
      </c>
      <c r="L549" s="3" t="str">
        <f t="shared" si="32"/>
        <v>2011-01-24</v>
      </c>
      <c r="M549" s="3" t="str">
        <f t="shared" si="33"/>
        <v>2011</v>
      </c>
      <c r="N549" s="3" t="str">
        <f t="shared" si="34"/>
        <v>24</v>
      </c>
      <c r="O549" s="3">
        <f t="shared" si="35"/>
        <v>10</v>
      </c>
    </row>
    <row r="550" spans="1:15" x14ac:dyDescent="0.35">
      <c r="A550" s="1">
        <v>549</v>
      </c>
      <c r="B550" s="2">
        <v>40568</v>
      </c>
      <c r="C550" s="1">
        <v>1</v>
      </c>
      <c r="D550" s="1">
        <v>0</v>
      </c>
      <c r="E550" s="1">
        <v>1</v>
      </c>
      <c r="F550" s="1">
        <v>0</v>
      </c>
      <c r="G550" s="1" t="b">
        <v>0</v>
      </c>
      <c r="H550" s="1">
        <v>2</v>
      </c>
      <c r="I550" s="1">
        <v>2</v>
      </c>
      <c r="J550" s="1">
        <v>0.16</v>
      </c>
      <c r="L550" s="3" t="str">
        <f t="shared" si="32"/>
        <v>2011-01-25</v>
      </c>
      <c r="M550" s="3" t="str">
        <f t="shared" si="33"/>
        <v>2011</v>
      </c>
      <c r="N550" s="3" t="str">
        <f t="shared" si="34"/>
        <v>25</v>
      </c>
      <c r="O550" s="3">
        <f t="shared" si="35"/>
        <v>10</v>
      </c>
    </row>
    <row r="551" spans="1:15" x14ac:dyDescent="0.35">
      <c r="A551" s="1">
        <v>550</v>
      </c>
      <c r="B551" s="2">
        <v>40568</v>
      </c>
      <c r="C551" s="1">
        <v>1</v>
      </c>
      <c r="D551" s="1">
        <v>0</v>
      </c>
      <c r="E551" s="1">
        <v>1</v>
      </c>
      <c r="F551" s="1">
        <v>1</v>
      </c>
      <c r="G551" s="1" t="b">
        <v>0</v>
      </c>
      <c r="H551" s="1">
        <v>2</v>
      </c>
      <c r="I551" s="1">
        <v>2</v>
      </c>
      <c r="J551" s="1">
        <v>0.16</v>
      </c>
      <c r="L551" s="3" t="str">
        <f t="shared" si="32"/>
        <v>2011-01-25</v>
      </c>
      <c r="M551" s="3" t="str">
        <f t="shared" si="33"/>
        <v>2011</v>
      </c>
      <c r="N551" s="3" t="str">
        <f t="shared" si="34"/>
        <v>25</v>
      </c>
      <c r="O551" s="3">
        <f t="shared" si="35"/>
        <v>10</v>
      </c>
    </row>
    <row r="552" spans="1:15" x14ac:dyDescent="0.35">
      <c r="A552" s="1">
        <v>551</v>
      </c>
      <c r="B552" s="2">
        <v>40568</v>
      </c>
      <c r="C552" s="1">
        <v>1</v>
      </c>
      <c r="D552" s="1">
        <v>0</v>
      </c>
      <c r="E552" s="1">
        <v>1</v>
      </c>
      <c r="F552" s="1">
        <v>2</v>
      </c>
      <c r="G552" s="1" t="b">
        <v>0</v>
      </c>
      <c r="H552" s="1">
        <v>2</v>
      </c>
      <c r="I552" s="1">
        <v>1</v>
      </c>
      <c r="J552" s="1">
        <v>0.16</v>
      </c>
      <c r="L552" s="3" t="str">
        <f t="shared" si="32"/>
        <v>2011-01-25</v>
      </c>
      <c r="M552" s="3" t="str">
        <f t="shared" si="33"/>
        <v>2011</v>
      </c>
      <c r="N552" s="3" t="str">
        <f t="shared" si="34"/>
        <v>25</v>
      </c>
      <c r="O552" s="3">
        <f t="shared" si="35"/>
        <v>10</v>
      </c>
    </row>
    <row r="553" spans="1:15" x14ac:dyDescent="0.35">
      <c r="A553" s="1">
        <v>552</v>
      </c>
      <c r="B553" s="2">
        <v>40568</v>
      </c>
      <c r="C553" s="1">
        <v>1</v>
      </c>
      <c r="D553" s="1">
        <v>0</v>
      </c>
      <c r="E553" s="1">
        <v>1</v>
      </c>
      <c r="F553" s="1">
        <v>4</v>
      </c>
      <c r="G553" s="1" t="b">
        <v>0</v>
      </c>
      <c r="H553" s="1">
        <v>2</v>
      </c>
      <c r="I553" s="1">
        <v>1</v>
      </c>
      <c r="J553" s="1">
        <v>0.14000000000000001</v>
      </c>
      <c r="L553" s="3" t="str">
        <f t="shared" si="32"/>
        <v>2011-01-25</v>
      </c>
      <c r="M553" s="3" t="str">
        <f t="shared" si="33"/>
        <v>2011</v>
      </c>
      <c r="N553" s="3" t="str">
        <f t="shared" si="34"/>
        <v>25</v>
      </c>
      <c r="O553" s="3">
        <f t="shared" si="35"/>
        <v>10</v>
      </c>
    </row>
    <row r="554" spans="1:15" x14ac:dyDescent="0.35">
      <c r="A554" s="1">
        <v>553</v>
      </c>
      <c r="B554" s="2">
        <v>40568</v>
      </c>
      <c r="C554" s="1">
        <v>1</v>
      </c>
      <c r="D554" s="1">
        <v>0</v>
      </c>
      <c r="E554" s="1">
        <v>1</v>
      </c>
      <c r="F554" s="1">
        <v>5</v>
      </c>
      <c r="G554" s="1" t="b">
        <v>0</v>
      </c>
      <c r="H554" s="1">
        <v>2</v>
      </c>
      <c r="I554" s="1">
        <v>1</v>
      </c>
      <c r="J554" s="1">
        <v>0.14000000000000001</v>
      </c>
      <c r="L554" s="3" t="str">
        <f t="shared" si="32"/>
        <v>2011-01-25</v>
      </c>
      <c r="M554" s="3" t="str">
        <f t="shared" si="33"/>
        <v>2011</v>
      </c>
      <c r="N554" s="3" t="str">
        <f t="shared" si="34"/>
        <v>25</v>
      </c>
      <c r="O554" s="3">
        <f t="shared" si="35"/>
        <v>10</v>
      </c>
    </row>
    <row r="555" spans="1:15" x14ac:dyDescent="0.35">
      <c r="A555" s="1">
        <v>554</v>
      </c>
      <c r="B555" s="2">
        <v>40568</v>
      </c>
      <c r="C555" s="1">
        <v>1</v>
      </c>
      <c r="D555" s="1">
        <v>0</v>
      </c>
      <c r="E555" s="1">
        <v>1</v>
      </c>
      <c r="F555" s="1">
        <v>6</v>
      </c>
      <c r="G555" s="1" t="b">
        <v>0</v>
      </c>
      <c r="H555" s="1">
        <v>2</v>
      </c>
      <c r="I555" s="1">
        <v>1</v>
      </c>
      <c r="J555" s="1">
        <v>0.16</v>
      </c>
      <c r="L555" s="3" t="str">
        <f t="shared" si="32"/>
        <v>2011-01-25</v>
      </c>
      <c r="M555" s="3" t="str">
        <f t="shared" si="33"/>
        <v>2011</v>
      </c>
      <c r="N555" s="3" t="str">
        <f t="shared" si="34"/>
        <v>25</v>
      </c>
      <c r="O555" s="3">
        <f t="shared" si="35"/>
        <v>10</v>
      </c>
    </row>
    <row r="556" spans="1:15" x14ac:dyDescent="0.35">
      <c r="A556" s="1">
        <v>555</v>
      </c>
      <c r="B556" s="2">
        <v>40568</v>
      </c>
      <c r="C556" s="1">
        <v>1</v>
      </c>
      <c r="D556" s="1">
        <v>0</v>
      </c>
      <c r="E556" s="1">
        <v>1</v>
      </c>
      <c r="F556" s="1">
        <v>7</v>
      </c>
      <c r="G556" s="1" t="b">
        <v>0</v>
      </c>
      <c r="H556" s="1">
        <v>2</v>
      </c>
      <c r="I556" s="1">
        <v>1</v>
      </c>
      <c r="J556" s="1">
        <v>0.16</v>
      </c>
      <c r="L556" s="3" t="str">
        <f t="shared" si="32"/>
        <v>2011-01-25</v>
      </c>
      <c r="M556" s="3" t="str">
        <f t="shared" si="33"/>
        <v>2011</v>
      </c>
      <c r="N556" s="3" t="str">
        <f t="shared" si="34"/>
        <v>25</v>
      </c>
      <c r="O556" s="3">
        <f t="shared" si="35"/>
        <v>10</v>
      </c>
    </row>
    <row r="557" spans="1:15" x14ac:dyDescent="0.35">
      <c r="A557" s="1">
        <v>556</v>
      </c>
      <c r="B557" s="2">
        <v>40568</v>
      </c>
      <c r="C557" s="1">
        <v>1</v>
      </c>
      <c r="D557" s="1">
        <v>0</v>
      </c>
      <c r="E557" s="1">
        <v>1</v>
      </c>
      <c r="F557" s="1">
        <v>8</v>
      </c>
      <c r="G557" s="1" t="b">
        <v>0</v>
      </c>
      <c r="H557" s="1">
        <v>2</v>
      </c>
      <c r="I557" s="1">
        <v>2</v>
      </c>
      <c r="J557" s="1">
        <v>0.16</v>
      </c>
      <c r="L557" s="3" t="str">
        <f t="shared" si="32"/>
        <v>2011-01-25</v>
      </c>
      <c r="M557" s="3" t="str">
        <f t="shared" si="33"/>
        <v>2011</v>
      </c>
      <c r="N557" s="3" t="str">
        <f t="shared" si="34"/>
        <v>25</v>
      </c>
      <c r="O557" s="3">
        <f t="shared" si="35"/>
        <v>10</v>
      </c>
    </row>
    <row r="558" spans="1:15" x14ac:dyDescent="0.35">
      <c r="A558" s="1">
        <v>557</v>
      </c>
      <c r="B558" s="2">
        <v>40568</v>
      </c>
      <c r="C558" s="1">
        <v>1</v>
      </c>
      <c r="D558" s="1">
        <v>0</v>
      </c>
      <c r="E558" s="1">
        <v>1</v>
      </c>
      <c r="F558" s="1">
        <v>9</v>
      </c>
      <c r="G558" s="1" t="b">
        <v>0</v>
      </c>
      <c r="H558" s="1">
        <v>2</v>
      </c>
      <c r="I558" s="1">
        <v>2</v>
      </c>
      <c r="J558" s="1">
        <v>0.2</v>
      </c>
      <c r="L558" s="3" t="str">
        <f t="shared" si="32"/>
        <v>2011-01-25</v>
      </c>
      <c r="M558" s="3" t="str">
        <f t="shared" si="33"/>
        <v>2011</v>
      </c>
      <c r="N558" s="3" t="str">
        <f t="shared" si="34"/>
        <v>25</v>
      </c>
      <c r="O558" s="3">
        <f t="shared" si="35"/>
        <v>10</v>
      </c>
    </row>
    <row r="559" spans="1:15" x14ac:dyDescent="0.35">
      <c r="A559" s="1">
        <v>558</v>
      </c>
      <c r="B559" s="2">
        <v>40568</v>
      </c>
      <c r="C559" s="1">
        <v>1</v>
      </c>
      <c r="D559" s="1">
        <v>0</v>
      </c>
      <c r="E559" s="1">
        <v>1</v>
      </c>
      <c r="F559" s="1">
        <v>10</v>
      </c>
      <c r="G559" s="1" t="b">
        <v>0</v>
      </c>
      <c r="H559" s="1">
        <v>2</v>
      </c>
      <c r="I559" s="1">
        <v>2</v>
      </c>
      <c r="J559" s="1">
        <v>0.22</v>
      </c>
      <c r="L559" s="3" t="str">
        <f t="shared" si="32"/>
        <v>2011-01-25</v>
      </c>
      <c r="M559" s="3" t="str">
        <f t="shared" si="33"/>
        <v>2011</v>
      </c>
      <c r="N559" s="3" t="str">
        <f t="shared" si="34"/>
        <v>25</v>
      </c>
      <c r="O559" s="3">
        <f t="shared" si="35"/>
        <v>10</v>
      </c>
    </row>
    <row r="560" spans="1:15" x14ac:dyDescent="0.35">
      <c r="A560" s="1">
        <v>559</v>
      </c>
      <c r="B560" s="2">
        <v>40568</v>
      </c>
      <c r="C560" s="1">
        <v>1</v>
      </c>
      <c r="D560" s="1">
        <v>0</v>
      </c>
      <c r="E560" s="1">
        <v>1</v>
      </c>
      <c r="F560" s="1">
        <v>11</v>
      </c>
      <c r="G560" s="1" t="b">
        <v>0</v>
      </c>
      <c r="H560" s="1">
        <v>2</v>
      </c>
      <c r="I560" s="1">
        <v>2</v>
      </c>
      <c r="J560" s="1">
        <v>0.24</v>
      </c>
      <c r="L560" s="3" t="str">
        <f t="shared" si="32"/>
        <v>2011-01-25</v>
      </c>
      <c r="M560" s="3" t="str">
        <f t="shared" si="33"/>
        <v>2011</v>
      </c>
      <c r="N560" s="3" t="str">
        <f t="shared" si="34"/>
        <v>25</v>
      </c>
      <c r="O560" s="3">
        <f t="shared" si="35"/>
        <v>10</v>
      </c>
    </row>
    <row r="561" spans="1:15" x14ac:dyDescent="0.35">
      <c r="A561" s="1">
        <v>560</v>
      </c>
      <c r="B561" s="2">
        <v>40568</v>
      </c>
      <c r="C561" s="1">
        <v>1</v>
      </c>
      <c r="D561" s="1">
        <v>0</v>
      </c>
      <c r="E561" s="1">
        <v>1</v>
      </c>
      <c r="F561" s="1">
        <v>12</v>
      </c>
      <c r="G561" s="1" t="b">
        <v>0</v>
      </c>
      <c r="H561" s="1">
        <v>2</v>
      </c>
      <c r="I561" s="1">
        <v>2</v>
      </c>
      <c r="J561" s="1">
        <v>0.26</v>
      </c>
      <c r="L561" s="3" t="str">
        <f t="shared" si="32"/>
        <v>2011-01-25</v>
      </c>
      <c r="M561" s="3" t="str">
        <f t="shared" si="33"/>
        <v>2011</v>
      </c>
      <c r="N561" s="3" t="str">
        <f t="shared" si="34"/>
        <v>25</v>
      </c>
      <c r="O561" s="3">
        <f t="shared" si="35"/>
        <v>10</v>
      </c>
    </row>
    <row r="562" spans="1:15" x14ac:dyDescent="0.35">
      <c r="A562" s="1">
        <v>561</v>
      </c>
      <c r="B562" s="2">
        <v>40568</v>
      </c>
      <c r="C562" s="1">
        <v>1</v>
      </c>
      <c r="D562" s="1">
        <v>0</v>
      </c>
      <c r="E562" s="1">
        <v>1</v>
      </c>
      <c r="F562" s="1">
        <v>13</v>
      </c>
      <c r="G562" s="1" t="b">
        <v>0</v>
      </c>
      <c r="H562" s="1">
        <v>2</v>
      </c>
      <c r="I562" s="1">
        <v>2</v>
      </c>
      <c r="J562" s="1">
        <v>0.26</v>
      </c>
      <c r="L562" s="3" t="str">
        <f t="shared" si="32"/>
        <v>2011-01-25</v>
      </c>
      <c r="M562" s="3" t="str">
        <f t="shared" si="33"/>
        <v>2011</v>
      </c>
      <c r="N562" s="3" t="str">
        <f t="shared" si="34"/>
        <v>25</v>
      </c>
      <c r="O562" s="3">
        <f t="shared" si="35"/>
        <v>10</v>
      </c>
    </row>
    <row r="563" spans="1:15" x14ac:dyDescent="0.35">
      <c r="A563" s="1">
        <v>562</v>
      </c>
      <c r="B563" s="2">
        <v>40568</v>
      </c>
      <c r="C563" s="1">
        <v>1</v>
      </c>
      <c r="D563" s="1">
        <v>0</v>
      </c>
      <c r="E563" s="1">
        <v>1</v>
      </c>
      <c r="F563" s="1">
        <v>14</v>
      </c>
      <c r="G563" s="1" t="b">
        <v>0</v>
      </c>
      <c r="H563" s="1">
        <v>2</v>
      </c>
      <c r="I563" s="1">
        <v>2</v>
      </c>
      <c r="J563" s="1">
        <v>0.3</v>
      </c>
      <c r="L563" s="3" t="str">
        <f t="shared" si="32"/>
        <v>2011-01-25</v>
      </c>
      <c r="M563" s="3" t="str">
        <f t="shared" si="33"/>
        <v>2011</v>
      </c>
      <c r="N563" s="3" t="str">
        <f t="shared" si="34"/>
        <v>25</v>
      </c>
      <c r="O563" s="3">
        <f t="shared" si="35"/>
        <v>10</v>
      </c>
    </row>
    <row r="564" spans="1:15" x14ac:dyDescent="0.35">
      <c r="A564" s="1">
        <v>563</v>
      </c>
      <c r="B564" s="2">
        <v>40568</v>
      </c>
      <c r="C564" s="1">
        <v>1</v>
      </c>
      <c r="D564" s="1">
        <v>0</v>
      </c>
      <c r="E564" s="1">
        <v>1</v>
      </c>
      <c r="F564" s="1">
        <v>15</v>
      </c>
      <c r="G564" s="1" t="b">
        <v>0</v>
      </c>
      <c r="H564" s="1">
        <v>2</v>
      </c>
      <c r="I564" s="1">
        <v>2</v>
      </c>
      <c r="J564" s="1">
        <v>0.32</v>
      </c>
      <c r="L564" s="3" t="str">
        <f t="shared" si="32"/>
        <v>2011-01-25</v>
      </c>
      <c r="M564" s="3" t="str">
        <f t="shared" si="33"/>
        <v>2011</v>
      </c>
      <c r="N564" s="3" t="str">
        <f t="shared" si="34"/>
        <v>25</v>
      </c>
      <c r="O564" s="3">
        <f t="shared" si="35"/>
        <v>10</v>
      </c>
    </row>
    <row r="565" spans="1:15" x14ac:dyDescent="0.35">
      <c r="A565" s="1">
        <v>564</v>
      </c>
      <c r="B565" s="2">
        <v>40568</v>
      </c>
      <c r="C565" s="1">
        <v>1</v>
      </c>
      <c r="D565" s="1">
        <v>0</v>
      </c>
      <c r="E565" s="1">
        <v>1</v>
      </c>
      <c r="F565" s="1">
        <v>16</v>
      </c>
      <c r="G565" s="1" t="b">
        <v>0</v>
      </c>
      <c r="H565" s="1">
        <v>2</v>
      </c>
      <c r="I565" s="1">
        <v>2</v>
      </c>
      <c r="J565" s="1">
        <v>0.32</v>
      </c>
      <c r="L565" s="3" t="str">
        <f t="shared" si="32"/>
        <v>2011-01-25</v>
      </c>
      <c r="M565" s="3" t="str">
        <f t="shared" si="33"/>
        <v>2011</v>
      </c>
      <c r="N565" s="3" t="str">
        <f t="shared" si="34"/>
        <v>25</v>
      </c>
      <c r="O565" s="3">
        <f t="shared" si="35"/>
        <v>10</v>
      </c>
    </row>
    <row r="566" spans="1:15" x14ac:dyDescent="0.35">
      <c r="A566" s="1">
        <v>565</v>
      </c>
      <c r="B566" s="2">
        <v>40568</v>
      </c>
      <c r="C566" s="1">
        <v>1</v>
      </c>
      <c r="D566" s="1">
        <v>0</v>
      </c>
      <c r="E566" s="1">
        <v>1</v>
      </c>
      <c r="F566" s="1">
        <v>17</v>
      </c>
      <c r="G566" s="1" t="b">
        <v>0</v>
      </c>
      <c r="H566" s="1">
        <v>2</v>
      </c>
      <c r="I566" s="1">
        <v>1</v>
      </c>
      <c r="J566" s="1">
        <v>0.3</v>
      </c>
      <c r="L566" s="3" t="str">
        <f t="shared" si="32"/>
        <v>2011-01-25</v>
      </c>
      <c r="M566" s="3" t="str">
        <f t="shared" si="33"/>
        <v>2011</v>
      </c>
      <c r="N566" s="3" t="str">
        <f t="shared" si="34"/>
        <v>25</v>
      </c>
      <c r="O566" s="3">
        <f t="shared" si="35"/>
        <v>10</v>
      </c>
    </row>
    <row r="567" spans="1:15" x14ac:dyDescent="0.35">
      <c r="A567" s="1">
        <v>566</v>
      </c>
      <c r="B567" s="2">
        <v>40568</v>
      </c>
      <c r="C567" s="1">
        <v>1</v>
      </c>
      <c r="D567" s="1">
        <v>0</v>
      </c>
      <c r="E567" s="1">
        <v>1</v>
      </c>
      <c r="F567" s="1">
        <v>18</v>
      </c>
      <c r="G567" s="1" t="b">
        <v>0</v>
      </c>
      <c r="H567" s="1">
        <v>2</v>
      </c>
      <c r="I567" s="1">
        <v>2</v>
      </c>
      <c r="J567" s="1">
        <v>0.3</v>
      </c>
      <c r="L567" s="3" t="str">
        <f t="shared" si="32"/>
        <v>2011-01-25</v>
      </c>
      <c r="M567" s="3" t="str">
        <f t="shared" si="33"/>
        <v>2011</v>
      </c>
      <c r="N567" s="3" t="str">
        <f t="shared" si="34"/>
        <v>25</v>
      </c>
      <c r="O567" s="3">
        <f t="shared" si="35"/>
        <v>10</v>
      </c>
    </row>
    <row r="568" spans="1:15" x14ac:dyDescent="0.35">
      <c r="A568" s="1">
        <v>567</v>
      </c>
      <c r="B568" s="2">
        <v>40568</v>
      </c>
      <c r="C568" s="1">
        <v>1</v>
      </c>
      <c r="D568" s="1">
        <v>0</v>
      </c>
      <c r="E568" s="1">
        <v>1</v>
      </c>
      <c r="F568" s="1">
        <v>19</v>
      </c>
      <c r="G568" s="1" t="b">
        <v>0</v>
      </c>
      <c r="H568" s="1">
        <v>2</v>
      </c>
      <c r="I568" s="1">
        <v>2</v>
      </c>
      <c r="J568" s="1">
        <v>0.26</v>
      </c>
      <c r="L568" s="3" t="str">
        <f t="shared" si="32"/>
        <v>2011-01-25</v>
      </c>
      <c r="M568" s="3" t="str">
        <f t="shared" si="33"/>
        <v>2011</v>
      </c>
      <c r="N568" s="3" t="str">
        <f t="shared" si="34"/>
        <v>25</v>
      </c>
      <c r="O568" s="3">
        <f t="shared" si="35"/>
        <v>10</v>
      </c>
    </row>
    <row r="569" spans="1:15" x14ac:dyDescent="0.35">
      <c r="A569" s="1">
        <v>568</v>
      </c>
      <c r="B569" s="2">
        <v>40568</v>
      </c>
      <c r="C569" s="1">
        <v>1</v>
      </c>
      <c r="D569" s="1">
        <v>0</v>
      </c>
      <c r="E569" s="1">
        <v>1</v>
      </c>
      <c r="F569" s="1">
        <v>20</v>
      </c>
      <c r="G569" s="1" t="b">
        <v>0</v>
      </c>
      <c r="H569" s="1">
        <v>2</v>
      </c>
      <c r="I569" s="1">
        <v>1</v>
      </c>
      <c r="J569" s="1">
        <v>0.24</v>
      </c>
      <c r="L569" s="3" t="str">
        <f t="shared" si="32"/>
        <v>2011-01-25</v>
      </c>
      <c r="M569" s="3" t="str">
        <f t="shared" si="33"/>
        <v>2011</v>
      </c>
      <c r="N569" s="3" t="str">
        <f t="shared" si="34"/>
        <v>25</v>
      </c>
      <c r="O569" s="3">
        <f t="shared" si="35"/>
        <v>10</v>
      </c>
    </row>
    <row r="570" spans="1:15" x14ac:dyDescent="0.35">
      <c r="A570" s="1">
        <v>569</v>
      </c>
      <c r="B570" s="2">
        <v>40568</v>
      </c>
      <c r="C570" s="1">
        <v>1</v>
      </c>
      <c r="D570" s="1">
        <v>0</v>
      </c>
      <c r="E570" s="1">
        <v>1</v>
      </c>
      <c r="F570" s="1">
        <v>21</v>
      </c>
      <c r="G570" s="1" t="b">
        <v>0</v>
      </c>
      <c r="H570" s="1">
        <v>2</v>
      </c>
      <c r="I570" s="1">
        <v>1</v>
      </c>
      <c r="J570" s="1">
        <v>0.24</v>
      </c>
      <c r="L570" s="3" t="str">
        <f t="shared" si="32"/>
        <v>2011-01-25</v>
      </c>
      <c r="M570" s="3" t="str">
        <f t="shared" si="33"/>
        <v>2011</v>
      </c>
      <c r="N570" s="3" t="str">
        <f t="shared" si="34"/>
        <v>25</v>
      </c>
      <c r="O570" s="3">
        <f t="shared" si="35"/>
        <v>10</v>
      </c>
    </row>
    <row r="571" spans="1:15" x14ac:dyDescent="0.35">
      <c r="A571" s="1">
        <v>570</v>
      </c>
      <c r="B571" s="2">
        <v>40568</v>
      </c>
      <c r="C571" s="1">
        <v>1</v>
      </c>
      <c r="D571" s="1">
        <v>0</v>
      </c>
      <c r="E571" s="1">
        <v>1</v>
      </c>
      <c r="F571" s="1">
        <v>22</v>
      </c>
      <c r="G571" s="1" t="b">
        <v>0</v>
      </c>
      <c r="H571" s="1">
        <v>2</v>
      </c>
      <c r="I571" s="1">
        <v>1</v>
      </c>
      <c r="J571" s="1">
        <v>0.22</v>
      </c>
      <c r="L571" s="3" t="str">
        <f t="shared" si="32"/>
        <v>2011-01-25</v>
      </c>
      <c r="M571" s="3" t="str">
        <f t="shared" si="33"/>
        <v>2011</v>
      </c>
      <c r="N571" s="3" t="str">
        <f t="shared" si="34"/>
        <v>25</v>
      </c>
      <c r="O571" s="3">
        <f t="shared" si="35"/>
        <v>10</v>
      </c>
    </row>
    <row r="572" spans="1:15" x14ac:dyDescent="0.35">
      <c r="A572" s="1">
        <v>571</v>
      </c>
      <c r="B572" s="2">
        <v>40568</v>
      </c>
      <c r="C572" s="1">
        <v>1</v>
      </c>
      <c r="D572" s="1">
        <v>0</v>
      </c>
      <c r="E572" s="1">
        <v>1</v>
      </c>
      <c r="F572" s="1">
        <v>23</v>
      </c>
      <c r="G572" s="1" t="b">
        <v>0</v>
      </c>
      <c r="H572" s="1">
        <v>2</v>
      </c>
      <c r="I572" s="1">
        <v>2</v>
      </c>
      <c r="J572" s="1">
        <v>0.22</v>
      </c>
      <c r="L572" s="3" t="str">
        <f t="shared" si="32"/>
        <v>2011-01-25</v>
      </c>
      <c r="M572" s="3" t="str">
        <f t="shared" si="33"/>
        <v>2011</v>
      </c>
      <c r="N572" s="3" t="str">
        <f t="shared" si="34"/>
        <v>25</v>
      </c>
      <c r="O572" s="3">
        <f t="shared" si="35"/>
        <v>10</v>
      </c>
    </row>
    <row r="573" spans="1:15" x14ac:dyDescent="0.35">
      <c r="A573" s="1">
        <v>572</v>
      </c>
      <c r="B573" s="2">
        <v>40569</v>
      </c>
      <c r="C573" s="1">
        <v>1</v>
      </c>
      <c r="D573" s="1">
        <v>0</v>
      </c>
      <c r="E573" s="1">
        <v>1</v>
      </c>
      <c r="F573" s="1">
        <v>0</v>
      </c>
      <c r="G573" s="1" t="b">
        <v>0</v>
      </c>
      <c r="H573" s="1">
        <v>3</v>
      </c>
      <c r="I573" s="1">
        <v>2</v>
      </c>
      <c r="J573" s="1">
        <v>0.22</v>
      </c>
      <c r="L573" s="3" t="str">
        <f t="shared" si="32"/>
        <v>2011-01-26</v>
      </c>
      <c r="M573" s="3" t="str">
        <f t="shared" si="33"/>
        <v>2011</v>
      </c>
      <c r="N573" s="3" t="str">
        <f t="shared" si="34"/>
        <v>26</v>
      </c>
      <c r="O573" s="3">
        <f t="shared" si="35"/>
        <v>10</v>
      </c>
    </row>
    <row r="574" spans="1:15" x14ac:dyDescent="0.35">
      <c r="A574" s="1">
        <v>573</v>
      </c>
      <c r="B574" s="2">
        <v>40569</v>
      </c>
      <c r="C574" s="1">
        <v>1</v>
      </c>
      <c r="D574" s="1">
        <v>0</v>
      </c>
      <c r="E574" s="1">
        <v>1</v>
      </c>
      <c r="F574" s="1">
        <v>1</v>
      </c>
      <c r="G574" s="1" t="b">
        <v>0</v>
      </c>
      <c r="H574" s="1">
        <v>3</v>
      </c>
      <c r="I574" s="1">
        <v>2</v>
      </c>
      <c r="J574" s="1">
        <v>0.24</v>
      </c>
      <c r="L574" s="3" t="str">
        <f t="shared" si="32"/>
        <v>2011-01-26</v>
      </c>
      <c r="M574" s="3" t="str">
        <f t="shared" si="33"/>
        <v>2011</v>
      </c>
      <c r="N574" s="3" t="str">
        <f t="shared" si="34"/>
        <v>26</v>
      </c>
      <c r="O574" s="3">
        <f t="shared" si="35"/>
        <v>10</v>
      </c>
    </row>
    <row r="575" spans="1:15" x14ac:dyDescent="0.35">
      <c r="A575" s="1">
        <v>574</v>
      </c>
      <c r="B575" s="2">
        <v>40569</v>
      </c>
      <c r="C575" s="1">
        <v>1</v>
      </c>
      <c r="D575" s="1">
        <v>0</v>
      </c>
      <c r="E575" s="1">
        <v>1</v>
      </c>
      <c r="F575" s="1">
        <v>2</v>
      </c>
      <c r="G575" s="1" t="b">
        <v>0</v>
      </c>
      <c r="H575" s="1">
        <v>3</v>
      </c>
      <c r="I575" s="1">
        <v>3</v>
      </c>
      <c r="J575" s="1">
        <v>0.22</v>
      </c>
      <c r="L575" s="3" t="str">
        <f t="shared" si="32"/>
        <v>2011-01-26</v>
      </c>
      <c r="M575" s="3" t="str">
        <f t="shared" si="33"/>
        <v>2011</v>
      </c>
      <c r="N575" s="3" t="str">
        <f t="shared" si="34"/>
        <v>26</v>
      </c>
      <c r="O575" s="3">
        <f t="shared" si="35"/>
        <v>10</v>
      </c>
    </row>
    <row r="576" spans="1:15" x14ac:dyDescent="0.35">
      <c r="A576" s="1">
        <v>575</v>
      </c>
      <c r="B576" s="2">
        <v>40569</v>
      </c>
      <c r="C576" s="1">
        <v>1</v>
      </c>
      <c r="D576" s="1">
        <v>0</v>
      </c>
      <c r="E576" s="1">
        <v>1</v>
      </c>
      <c r="F576" s="1">
        <v>5</v>
      </c>
      <c r="G576" s="1" t="b">
        <v>0</v>
      </c>
      <c r="H576" s="1">
        <v>3</v>
      </c>
      <c r="I576" s="1">
        <v>3</v>
      </c>
      <c r="J576" s="1">
        <v>0.2</v>
      </c>
      <c r="L576" s="3" t="str">
        <f t="shared" si="32"/>
        <v>2011-01-26</v>
      </c>
      <c r="M576" s="3" t="str">
        <f t="shared" si="33"/>
        <v>2011</v>
      </c>
      <c r="N576" s="3" t="str">
        <f t="shared" si="34"/>
        <v>26</v>
      </c>
      <c r="O576" s="3">
        <f t="shared" si="35"/>
        <v>10</v>
      </c>
    </row>
    <row r="577" spans="1:15" x14ac:dyDescent="0.35">
      <c r="A577" s="1">
        <v>576</v>
      </c>
      <c r="B577" s="2">
        <v>40569</v>
      </c>
      <c r="C577" s="1">
        <v>1</v>
      </c>
      <c r="D577" s="1">
        <v>0</v>
      </c>
      <c r="E577" s="1">
        <v>1</v>
      </c>
      <c r="F577" s="1">
        <v>6</v>
      </c>
      <c r="G577" s="1" t="b">
        <v>0</v>
      </c>
      <c r="H577" s="1">
        <v>3</v>
      </c>
      <c r="I577" s="1">
        <v>3</v>
      </c>
      <c r="J577" s="1">
        <v>0.2</v>
      </c>
      <c r="L577" s="3" t="str">
        <f t="shared" si="32"/>
        <v>2011-01-26</v>
      </c>
      <c r="M577" s="3" t="str">
        <f t="shared" si="33"/>
        <v>2011</v>
      </c>
      <c r="N577" s="3" t="str">
        <f t="shared" si="34"/>
        <v>26</v>
      </c>
      <c r="O577" s="3">
        <f t="shared" si="35"/>
        <v>10</v>
      </c>
    </row>
    <row r="578" spans="1:15" x14ac:dyDescent="0.35">
      <c r="A578" s="1">
        <v>577</v>
      </c>
      <c r="B578" s="2">
        <v>40569</v>
      </c>
      <c r="C578" s="1">
        <v>1</v>
      </c>
      <c r="D578" s="1">
        <v>0</v>
      </c>
      <c r="E578" s="1">
        <v>1</v>
      </c>
      <c r="F578" s="1">
        <v>7</v>
      </c>
      <c r="G578" s="1" t="b">
        <v>0</v>
      </c>
      <c r="H578" s="1">
        <v>3</v>
      </c>
      <c r="I578" s="1">
        <v>3</v>
      </c>
      <c r="J578" s="1">
        <v>0.22</v>
      </c>
      <c r="L578" s="3" t="str">
        <f t="shared" si="32"/>
        <v>2011-01-26</v>
      </c>
      <c r="M578" s="3" t="str">
        <f t="shared" si="33"/>
        <v>2011</v>
      </c>
      <c r="N578" s="3" t="str">
        <f t="shared" si="34"/>
        <v>26</v>
      </c>
      <c r="O578" s="3">
        <f t="shared" si="35"/>
        <v>10</v>
      </c>
    </row>
    <row r="579" spans="1:15" x14ac:dyDescent="0.35">
      <c r="A579" s="1">
        <v>578</v>
      </c>
      <c r="B579" s="2">
        <v>40569</v>
      </c>
      <c r="C579" s="1">
        <v>1</v>
      </c>
      <c r="D579" s="1">
        <v>0</v>
      </c>
      <c r="E579" s="1">
        <v>1</v>
      </c>
      <c r="F579" s="1">
        <v>8</v>
      </c>
      <c r="G579" s="1" t="b">
        <v>0</v>
      </c>
      <c r="H579" s="1">
        <v>3</v>
      </c>
      <c r="I579" s="1">
        <v>3</v>
      </c>
      <c r="J579" s="1">
        <v>0.22</v>
      </c>
      <c r="L579" s="3" t="str">
        <f t="shared" ref="L579:L611" si="36">TEXT(B579,"yyyy-mm-dd")</f>
        <v>2011-01-26</v>
      </c>
      <c r="M579" s="3" t="str">
        <f t="shared" ref="M579:M611" si="37">LEFT(L579,4)</f>
        <v>2011</v>
      </c>
      <c r="N579" s="3" t="str">
        <f t="shared" ref="N579:N611" si="38">RIGHT(L579,2)</f>
        <v>26</v>
      </c>
      <c r="O579" s="3">
        <f t="shared" ref="O579:O611" si="39">LEN(L579)</f>
        <v>10</v>
      </c>
    </row>
    <row r="580" spans="1:15" x14ac:dyDescent="0.35">
      <c r="A580" s="1">
        <v>579</v>
      </c>
      <c r="B580" s="2">
        <v>40569</v>
      </c>
      <c r="C580" s="1">
        <v>1</v>
      </c>
      <c r="D580" s="1">
        <v>0</v>
      </c>
      <c r="E580" s="1">
        <v>1</v>
      </c>
      <c r="F580" s="1">
        <v>9</v>
      </c>
      <c r="G580" s="1" t="b">
        <v>0</v>
      </c>
      <c r="H580" s="1">
        <v>3</v>
      </c>
      <c r="I580" s="1">
        <v>3</v>
      </c>
      <c r="J580" s="1">
        <v>0.22</v>
      </c>
      <c r="L580" s="3" t="str">
        <f t="shared" si="36"/>
        <v>2011-01-26</v>
      </c>
      <c r="M580" s="3" t="str">
        <f t="shared" si="37"/>
        <v>2011</v>
      </c>
      <c r="N580" s="3" t="str">
        <f t="shared" si="38"/>
        <v>26</v>
      </c>
      <c r="O580" s="3">
        <f t="shared" si="39"/>
        <v>10</v>
      </c>
    </row>
    <row r="581" spans="1:15" x14ac:dyDescent="0.35">
      <c r="A581" s="1">
        <v>580</v>
      </c>
      <c r="B581" s="2">
        <v>40569</v>
      </c>
      <c r="C581" s="1">
        <v>1</v>
      </c>
      <c r="D581" s="1">
        <v>0</v>
      </c>
      <c r="E581" s="1">
        <v>1</v>
      </c>
      <c r="F581" s="1">
        <v>10</v>
      </c>
      <c r="G581" s="1" t="b">
        <v>0</v>
      </c>
      <c r="H581" s="1">
        <v>3</v>
      </c>
      <c r="I581" s="1">
        <v>3</v>
      </c>
      <c r="J581" s="1">
        <v>0.22</v>
      </c>
      <c r="L581" s="3" t="str">
        <f t="shared" si="36"/>
        <v>2011-01-26</v>
      </c>
      <c r="M581" s="3" t="str">
        <f t="shared" si="37"/>
        <v>2011</v>
      </c>
      <c r="N581" s="3" t="str">
        <f t="shared" si="38"/>
        <v>26</v>
      </c>
      <c r="O581" s="3">
        <f t="shared" si="39"/>
        <v>10</v>
      </c>
    </row>
    <row r="582" spans="1:15" x14ac:dyDescent="0.35">
      <c r="A582" s="1">
        <v>581</v>
      </c>
      <c r="B582" s="2">
        <v>40569</v>
      </c>
      <c r="C582" s="1">
        <v>1</v>
      </c>
      <c r="D582" s="1">
        <v>0</v>
      </c>
      <c r="E582" s="1">
        <v>1</v>
      </c>
      <c r="F582" s="1">
        <v>11</v>
      </c>
      <c r="G582" s="1" t="b">
        <v>0</v>
      </c>
      <c r="H582" s="1">
        <v>3</v>
      </c>
      <c r="I582" s="1">
        <v>3</v>
      </c>
      <c r="J582" s="1">
        <v>0.22</v>
      </c>
      <c r="L582" s="3" t="str">
        <f t="shared" si="36"/>
        <v>2011-01-26</v>
      </c>
      <c r="M582" s="3" t="str">
        <f t="shared" si="37"/>
        <v>2011</v>
      </c>
      <c r="N582" s="3" t="str">
        <f t="shared" si="38"/>
        <v>26</v>
      </c>
      <c r="O582" s="3">
        <f t="shared" si="39"/>
        <v>10</v>
      </c>
    </row>
    <row r="583" spans="1:15" x14ac:dyDescent="0.35">
      <c r="A583" s="1">
        <v>582</v>
      </c>
      <c r="B583" s="2">
        <v>40569</v>
      </c>
      <c r="C583" s="1">
        <v>1</v>
      </c>
      <c r="D583" s="1">
        <v>0</v>
      </c>
      <c r="E583" s="1">
        <v>1</v>
      </c>
      <c r="F583" s="1">
        <v>12</v>
      </c>
      <c r="G583" s="1" t="b">
        <v>0</v>
      </c>
      <c r="H583" s="1">
        <v>3</v>
      </c>
      <c r="I583" s="1">
        <v>3</v>
      </c>
      <c r="J583" s="1">
        <v>0.22</v>
      </c>
      <c r="L583" s="3" t="str">
        <f t="shared" si="36"/>
        <v>2011-01-26</v>
      </c>
      <c r="M583" s="3" t="str">
        <f t="shared" si="37"/>
        <v>2011</v>
      </c>
      <c r="N583" s="3" t="str">
        <f t="shared" si="38"/>
        <v>26</v>
      </c>
      <c r="O583" s="3">
        <f t="shared" si="39"/>
        <v>10</v>
      </c>
    </row>
    <row r="584" spans="1:15" x14ac:dyDescent="0.35">
      <c r="A584" s="1">
        <v>583</v>
      </c>
      <c r="B584" s="2">
        <v>40569</v>
      </c>
      <c r="C584" s="1">
        <v>1</v>
      </c>
      <c r="D584" s="1">
        <v>0</v>
      </c>
      <c r="E584" s="1">
        <v>1</v>
      </c>
      <c r="F584" s="1">
        <v>13</v>
      </c>
      <c r="G584" s="1" t="b">
        <v>0</v>
      </c>
      <c r="H584" s="1">
        <v>3</v>
      </c>
      <c r="I584" s="1">
        <v>3</v>
      </c>
      <c r="J584" s="1">
        <v>0.22</v>
      </c>
      <c r="L584" s="3" t="str">
        <f t="shared" si="36"/>
        <v>2011-01-26</v>
      </c>
      <c r="M584" s="3" t="str">
        <f t="shared" si="37"/>
        <v>2011</v>
      </c>
      <c r="N584" s="3" t="str">
        <f t="shared" si="38"/>
        <v>26</v>
      </c>
      <c r="O584" s="3">
        <f t="shared" si="39"/>
        <v>10</v>
      </c>
    </row>
    <row r="585" spans="1:15" x14ac:dyDescent="0.35">
      <c r="A585" s="1">
        <v>584</v>
      </c>
      <c r="B585" s="2">
        <v>40569</v>
      </c>
      <c r="C585" s="1">
        <v>1</v>
      </c>
      <c r="D585" s="1">
        <v>0</v>
      </c>
      <c r="E585" s="1">
        <v>1</v>
      </c>
      <c r="F585" s="1">
        <v>14</v>
      </c>
      <c r="G585" s="1" t="b">
        <v>0</v>
      </c>
      <c r="H585" s="1">
        <v>3</v>
      </c>
      <c r="I585" s="1">
        <v>3</v>
      </c>
      <c r="J585" s="1">
        <v>0.22</v>
      </c>
      <c r="L585" s="3" t="str">
        <f t="shared" si="36"/>
        <v>2011-01-26</v>
      </c>
      <c r="M585" s="3" t="str">
        <f t="shared" si="37"/>
        <v>2011</v>
      </c>
      <c r="N585" s="3" t="str">
        <f t="shared" si="38"/>
        <v>26</v>
      </c>
      <c r="O585" s="3">
        <f t="shared" si="39"/>
        <v>10</v>
      </c>
    </row>
    <row r="586" spans="1:15" x14ac:dyDescent="0.35">
      <c r="A586" s="1">
        <v>585</v>
      </c>
      <c r="B586" s="2">
        <v>40569</v>
      </c>
      <c r="C586" s="1">
        <v>1</v>
      </c>
      <c r="D586" s="1">
        <v>0</v>
      </c>
      <c r="E586" s="1">
        <v>1</v>
      </c>
      <c r="F586" s="1">
        <v>15</v>
      </c>
      <c r="G586" s="1" t="b">
        <v>0</v>
      </c>
      <c r="H586" s="1">
        <v>3</v>
      </c>
      <c r="I586" s="1">
        <v>3</v>
      </c>
      <c r="J586" s="1">
        <v>0.22</v>
      </c>
      <c r="L586" s="3" t="str">
        <f t="shared" si="36"/>
        <v>2011-01-26</v>
      </c>
      <c r="M586" s="3" t="str">
        <f t="shared" si="37"/>
        <v>2011</v>
      </c>
      <c r="N586" s="3" t="str">
        <f t="shared" si="38"/>
        <v>26</v>
      </c>
      <c r="O586" s="3">
        <f t="shared" si="39"/>
        <v>10</v>
      </c>
    </row>
    <row r="587" spans="1:15" x14ac:dyDescent="0.35">
      <c r="A587" s="1">
        <v>586</v>
      </c>
      <c r="B587" s="2">
        <v>40569</v>
      </c>
      <c r="C587" s="1">
        <v>1</v>
      </c>
      <c r="D587" s="1">
        <v>0</v>
      </c>
      <c r="E587" s="1">
        <v>1</v>
      </c>
      <c r="F587" s="1">
        <v>16</v>
      </c>
      <c r="G587" s="1" t="b">
        <v>0</v>
      </c>
      <c r="H587" s="1">
        <v>3</v>
      </c>
      <c r="I587" s="1">
        <v>4</v>
      </c>
      <c r="J587" s="1">
        <v>0.22</v>
      </c>
      <c r="L587" s="3" t="str">
        <f t="shared" si="36"/>
        <v>2011-01-26</v>
      </c>
      <c r="M587" s="3" t="str">
        <f t="shared" si="37"/>
        <v>2011</v>
      </c>
      <c r="N587" s="3" t="str">
        <f t="shared" si="38"/>
        <v>26</v>
      </c>
      <c r="O587" s="3">
        <f t="shared" si="39"/>
        <v>10</v>
      </c>
    </row>
    <row r="588" spans="1:15" x14ac:dyDescent="0.35">
      <c r="A588" s="1">
        <v>587</v>
      </c>
      <c r="B588" s="2">
        <v>40569</v>
      </c>
      <c r="C588" s="1">
        <v>1</v>
      </c>
      <c r="D588" s="1">
        <v>0</v>
      </c>
      <c r="E588" s="1">
        <v>1</v>
      </c>
      <c r="F588" s="1">
        <v>17</v>
      </c>
      <c r="G588" s="1" t="b">
        <v>0</v>
      </c>
      <c r="H588" s="1">
        <v>3</v>
      </c>
      <c r="I588" s="1">
        <v>3</v>
      </c>
      <c r="J588" s="1">
        <v>0.2</v>
      </c>
      <c r="L588" s="3" t="str">
        <f t="shared" si="36"/>
        <v>2011-01-26</v>
      </c>
      <c r="M588" s="3" t="str">
        <f t="shared" si="37"/>
        <v>2011</v>
      </c>
      <c r="N588" s="3" t="str">
        <f t="shared" si="38"/>
        <v>26</v>
      </c>
      <c r="O588" s="3">
        <f t="shared" si="39"/>
        <v>10</v>
      </c>
    </row>
    <row r="589" spans="1:15" x14ac:dyDescent="0.35">
      <c r="A589" s="1">
        <v>588</v>
      </c>
      <c r="B589" s="2">
        <v>40570</v>
      </c>
      <c r="C589" s="1">
        <v>1</v>
      </c>
      <c r="D589" s="1">
        <v>0</v>
      </c>
      <c r="E589" s="1">
        <v>1</v>
      </c>
      <c r="F589" s="1">
        <v>16</v>
      </c>
      <c r="G589" s="1" t="b">
        <v>0</v>
      </c>
      <c r="H589" s="1">
        <v>4</v>
      </c>
      <c r="I589" s="1">
        <v>1</v>
      </c>
      <c r="J589" s="1">
        <v>0.22</v>
      </c>
      <c r="L589" s="3" t="str">
        <f t="shared" si="36"/>
        <v>2011-01-27</v>
      </c>
      <c r="M589" s="3" t="str">
        <f t="shared" si="37"/>
        <v>2011</v>
      </c>
      <c r="N589" s="3" t="str">
        <f t="shared" si="38"/>
        <v>27</v>
      </c>
      <c r="O589" s="3">
        <f t="shared" si="39"/>
        <v>10</v>
      </c>
    </row>
    <row r="590" spans="1:15" x14ac:dyDescent="0.35">
      <c r="A590" s="1">
        <v>589</v>
      </c>
      <c r="B590" s="2">
        <v>40570</v>
      </c>
      <c r="C590" s="1">
        <v>1</v>
      </c>
      <c r="D590" s="1">
        <v>0</v>
      </c>
      <c r="E590" s="1">
        <v>1</v>
      </c>
      <c r="F590" s="1">
        <v>17</v>
      </c>
      <c r="G590" s="1" t="b">
        <v>0</v>
      </c>
      <c r="H590" s="1">
        <v>4</v>
      </c>
      <c r="I590" s="1">
        <v>1</v>
      </c>
      <c r="J590" s="1">
        <v>0.22</v>
      </c>
      <c r="L590" s="3" t="str">
        <f t="shared" si="36"/>
        <v>2011-01-27</v>
      </c>
      <c r="M590" s="3" t="str">
        <f t="shared" si="37"/>
        <v>2011</v>
      </c>
      <c r="N590" s="3" t="str">
        <f t="shared" si="38"/>
        <v>27</v>
      </c>
      <c r="O590" s="3">
        <f t="shared" si="39"/>
        <v>10</v>
      </c>
    </row>
    <row r="591" spans="1:15" x14ac:dyDescent="0.35">
      <c r="A591" s="1">
        <v>590</v>
      </c>
      <c r="B591" s="2">
        <v>40570</v>
      </c>
      <c r="C591" s="1">
        <v>1</v>
      </c>
      <c r="D591" s="1">
        <v>0</v>
      </c>
      <c r="E591" s="1">
        <v>1</v>
      </c>
      <c r="F591" s="1">
        <v>18</v>
      </c>
      <c r="G591" s="1" t="b">
        <v>0</v>
      </c>
      <c r="H591" s="1">
        <v>4</v>
      </c>
      <c r="I591" s="1">
        <v>1</v>
      </c>
      <c r="J591" s="1">
        <v>0.2</v>
      </c>
      <c r="L591" s="3" t="str">
        <f t="shared" si="36"/>
        <v>2011-01-27</v>
      </c>
      <c r="M591" s="3" t="str">
        <f t="shared" si="37"/>
        <v>2011</v>
      </c>
      <c r="N591" s="3" t="str">
        <f t="shared" si="38"/>
        <v>27</v>
      </c>
      <c r="O591" s="3">
        <f t="shared" si="39"/>
        <v>10</v>
      </c>
    </row>
    <row r="592" spans="1:15" x14ac:dyDescent="0.35">
      <c r="A592" s="1">
        <v>591</v>
      </c>
      <c r="B592" s="2">
        <v>40570</v>
      </c>
      <c r="C592" s="1">
        <v>1</v>
      </c>
      <c r="D592" s="1">
        <v>0</v>
      </c>
      <c r="E592" s="1">
        <v>1</v>
      </c>
      <c r="F592" s="1">
        <v>19</v>
      </c>
      <c r="G592" s="1" t="b">
        <v>0</v>
      </c>
      <c r="H592" s="1">
        <v>4</v>
      </c>
      <c r="I592" s="1">
        <v>1</v>
      </c>
      <c r="J592" s="1">
        <v>0.2</v>
      </c>
      <c r="L592" s="3" t="str">
        <f t="shared" si="36"/>
        <v>2011-01-27</v>
      </c>
      <c r="M592" s="3" t="str">
        <f t="shared" si="37"/>
        <v>2011</v>
      </c>
      <c r="N592" s="3" t="str">
        <f t="shared" si="38"/>
        <v>27</v>
      </c>
      <c r="O592" s="3">
        <f t="shared" si="39"/>
        <v>10</v>
      </c>
    </row>
    <row r="593" spans="1:15" x14ac:dyDescent="0.35">
      <c r="A593" s="1">
        <v>592</v>
      </c>
      <c r="B593" s="2">
        <v>40570</v>
      </c>
      <c r="C593" s="1">
        <v>1</v>
      </c>
      <c r="D593" s="1">
        <v>0</v>
      </c>
      <c r="E593" s="1">
        <v>1</v>
      </c>
      <c r="F593" s="1">
        <v>20</v>
      </c>
      <c r="G593" s="1" t="b">
        <v>0</v>
      </c>
      <c r="H593" s="1">
        <v>4</v>
      </c>
      <c r="I593" s="1">
        <v>1</v>
      </c>
      <c r="J593" s="1">
        <v>0.18</v>
      </c>
      <c r="L593" s="3" t="str">
        <f t="shared" si="36"/>
        <v>2011-01-27</v>
      </c>
      <c r="M593" s="3" t="str">
        <f t="shared" si="37"/>
        <v>2011</v>
      </c>
      <c r="N593" s="3" t="str">
        <f t="shared" si="38"/>
        <v>27</v>
      </c>
      <c r="O593" s="3">
        <f t="shared" si="39"/>
        <v>10</v>
      </c>
    </row>
    <row r="594" spans="1:15" x14ac:dyDescent="0.35">
      <c r="A594" s="1">
        <v>593</v>
      </c>
      <c r="B594" s="2">
        <v>40570</v>
      </c>
      <c r="C594" s="1">
        <v>1</v>
      </c>
      <c r="D594" s="1">
        <v>0</v>
      </c>
      <c r="E594" s="1">
        <v>1</v>
      </c>
      <c r="F594" s="1">
        <v>21</v>
      </c>
      <c r="G594" s="1" t="b">
        <v>0</v>
      </c>
      <c r="H594" s="1">
        <v>4</v>
      </c>
      <c r="I594" s="1">
        <v>1</v>
      </c>
      <c r="J594" s="1">
        <v>0.18</v>
      </c>
      <c r="L594" s="3" t="str">
        <f t="shared" si="36"/>
        <v>2011-01-27</v>
      </c>
      <c r="M594" s="3" t="str">
        <f t="shared" si="37"/>
        <v>2011</v>
      </c>
      <c r="N594" s="3" t="str">
        <f t="shared" si="38"/>
        <v>27</v>
      </c>
      <c r="O594" s="3">
        <f t="shared" si="39"/>
        <v>10</v>
      </c>
    </row>
    <row r="595" spans="1:15" x14ac:dyDescent="0.35">
      <c r="A595" s="1">
        <v>594</v>
      </c>
      <c r="B595" s="2">
        <v>40570</v>
      </c>
      <c r="C595" s="1">
        <v>1</v>
      </c>
      <c r="D595" s="1">
        <v>0</v>
      </c>
      <c r="E595" s="1">
        <v>1</v>
      </c>
      <c r="F595" s="1">
        <v>22</v>
      </c>
      <c r="G595" s="1" t="b">
        <v>0</v>
      </c>
      <c r="H595" s="1">
        <v>4</v>
      </c>
      <c r="I595" s="1">
        <v>1</v>
      </c>
      <c r="J595" s="1">
        <v>0.18</v>
      </c>
      <c r="L595" s="3" t="str">
        <f t="shared" si="36"/>
        <v>2011-01-27</v>
      </c>
      <c r="M595" s="3" t="str">
        <f t="shared" si="37"/>
        <v>2011</v>
      </c>
      <c r="N595" s="3" t="str">
        <f t="shared" si="38"/>
        <v>27</v>
      </c>
      <c r="O595" s="3">
        <f t="shared" si="39"/>
        <v>10</v>
      </c>
    </row>
    <row r="596" spans="1:15" x14ac:dyDescent="0.35">
      <c r="A596" s="1">
        <v>595</v>
      </c>
      <c r="B596" s="2">
        <v>40570</v>
      </c>
      <c r="C596" s="1">
        <v>1</v>
      </c>
      <c r="D596" s="1">
        <v>0</v>
      </c>
      <c r="E596" s="1">
        <v>1</v>
      </c>
      <c r="F596" s="1">
        <v>23</v>
      </c>
      <c r="G596" s="1" t="b">
        <v>0</v>
      </c>
      <c r="H596" s="1">
        <v>4</v>
      </c>
      <c r="I596" s="1">
        <v>1</v>
      </c>
      <c r="J596" s="1">
        <v>0.18</v>
      </c>
      <c r="L596" s="3" t="str">
        <f t="shared" si="36"/>
        <v>2011-01-27</v>
      </c>
      <c r="M596" s="3" t="str">
        <f t="shared" si="37"/>
        <v>2011</v>
      </c>
      <c r="N596" s="3" t="str">
        <f t="shared" si="38"/>
        <v>27</v>
      </c>
      <c r="O596" s="3">
        <f t="shared" si="39"/>
        <v>10</v>
      </c>
    </row>
    <row r="597" spans="1:15" x14ac:dyDescent="0.35">
      <c r="A597" s="1">
        <v>596</v>
      </c>
      <c r="B597" s="2">
        <v>40571</v>
      </c>
      <c r="C597" s="1">
        <v>1</v>
      </c>
      <c r="D597" s="1">
        <v>0</v>
      </c>
      <c r="E597" s="1">
        <v>1</v>
      </c>
      <c r="F597" s="1">
        <v>0</v>
      </c>
      <c r="G597" s="1" t="b">
        <v>0</v>
      </c>
      <c r="H597" s="1">
        <v>5</v>
      </c>
      <c r="I597" s="1">
        <v>2</v>
      </c>
      <c r="J597" s="1">
        <v>0.2</v>
      </c>
      <c r="L597" s="3" t="str">
        <f t="shared" si="36"/>
        <v>2011-01-28</v>
      </c>
      <c r="M597" s="3" t="str">
        <f t="shared" si="37"/>
        <v>2011</v>
      </c>
      <c r="N597" s="3" t="str">
        <f t="shared" si="38"/>
        <v>28</v>
      </c>
      <c r="O597" s="3">
        <f t="shared" si="39"/>
        <v>10</v>
      </c>
    </row>
    <row r="598" spans="1:15" x14ac:dyDescent="0.35">
      <c r="A598" s="1">
        <v>597</v>
      </c>
      <c r="B598" s="2">
        <v>40571</v>
      </c>
      <c r="C598" s="1">
        <v>1</v>
      </c>
      <c r="D598" s="1">
        <v>0</v>
      </c>
      <c r="E598" s="1">
        <v>1</v>
      </c>
      <c r="F598" s="1">
        <v>1</v>
      </c>
      <c r="G598" s="1" t="b">
        <v>0</v>
      </c>
      <c r="H598" s="1">
        <v>5</v>
      </c>
      <c r="I598" s="1">
        <v>2</v>
      </c>
      <c r="J598" s="1">
        <v>0.2</v>
      </c>
      <c r="L598" s="3" t="str">
        <f t="shared" si="36"/>
        <v>2011-01-28</v>
      </c>
      <c r="M598" s="3" t="str">
        <f t="shared" si="37"/>
        <v>2011</v>
      </c>
      <c r="N598" s="3" t="str">
        <f t="shared" si="38"/>
        <v>28</v>
      </c>
      <c r="O598" s="3">
        <f t="shared" si="39"/>
        <v>10</v>
      </c>
    </row>
    <row r="599" spans="1:15" x14ac:dyDescent="0.35">
      <c r="A599" s="1">
        <v>598</v>
      </c>
      <c r="B599" s="2">
        <v>40571</v>
      </c>
      <c r="C599" s="1">
        <v>1</v>
      </c>
      <c r="D599" s="1">
        <v>0</v>
      </c>
      <c r="E599" s="1">
        <v>1</v>
      </c>
      <c r="F599" s="1">
        <v>2</v>
      </c>
      <c r="G599" s="1" t="b">
        <v>0</v>
      </c>
      <c r="H599" s="1">
        <v>5</v>
      </c>
      <c r="I599" s="1">
        <v>2</v>
      </c>
      <c r="J599" s="1">
        <v>0.2</v>
      </c>
      <c r="L599" s="3" t="str">
        <f t="shared" si="36"/>
        <v>2011-01-28</v>
      </c>
      <c r="M599" s="3" t="str">
        <f t="shared" si="37"/>
        <v>2011</v>
      </c>
      <c r="N599" s="3" t="str">
        <f t="shared" si="38"/>
        <v>28</v>
      </c>
      <c r="O599" s="3">
        <f t="shared" si="39"/>
        <v>10</v>
      </c>
    </row>
    <row r="600" spans="1:15" x14ac:dyDescent="0.35">
      <c r="A600" s="1">
        <v>599</v>
      </c>
      <c r="B600" s="2">
        <v>40571</v>
      </c>
      <c r="C600" s="1">
        <v>1</v>
      </c>
      <c r="D600" s="1">
        <v>0</v>
      </c>
      <c r="E600" s="1">
        <v>1</v>
      </c>
      <c r="F600" s="1">
        <v>3</v>
      </c>
      <c r="G600" s="1" t="b">
        <v>0</v>
      </c>
      <c r="H600" s="1">
        <v>5</v>
      </c>
      <c r="I600" s="1">
        <v>2</v>
      </c>
      <c r="J600" s="1">
        <v>0.2</v>
      </c>
      <c r="L600" s="3" t="str">
        <f t="shared" si="36"/>
        <v>2011-01-28</v>
      </c>
      <c r="M600" s="3" t="str">
        <f t="shared" si="37"/>
        <v>2011</v>
      </c>
      <c r="N600" s="3" t="str">
        <f t="shared" si="38"/>
        <v>28</v>
      </c>
      <c r="O600" s="3">
        <f t="shared" si="39"/>
        <v>10</v>
      </c>
    </row>
    <row r="601" spans="1:15" x14ac:dyDescent="0.35">
      <c r="A601" s="1">
        <v>600</v>
      </c>
      <c r="B601" s="2">
        <v>40571</v>
      </c>
      <c r="C601" s="1">
        <v>1</v>
      </c>
      <c r="D601" s="1">
        <v>0</v>
      </c>
      <c r="E601" s="1">
        <v>1</v>
      </c>
      <c r="F601" s="1">
        <v>5</v>
      </c>
      <c r="G601" s="1" t="b">
        <v>0</v>
      </c>
      <c r="H601" s="1">
        <v>5</v>
      </c>
      <c r="I601" s="1">
        <v>2</v>
      </c>
      <c r="J601" s="1">
        <v>0.18</v>
      </c>
      <c r="L601" s="3" t="str">
        <f t="shared" si="36"/>
        <v>2011-01-28</v>
      </c>
      <c r="M601" s="3" t="str">
        <f t="shared" si="37"/>
        <v>2011</v>
      </c>
      <c r="N601" s="3" t="str">
        <f t="shared" si="38"/>
        <v>28</v>
      </c>
      <c r="O601" s="3">
        <f t="shared" si="39"/>
        <v>10</v>
      </c>
    </row>
    <row r="602" spans="1:15" x14ac:dyDescent="0.35">
      <c r="A602" s="1">
        <v>601</v>
      </c>
      <c r="B602" s="2">
        <v>40571</v>
      </c>
      <c r="C602" s="1">
        <v>1</v>
      </c>
      <c r="D602" s="1">
        <v>0</v>
      </c>
      <c r="E602" s="1">
        <v>1</v>
      </c>
      <c r="F602" s="1">
        <v>6</v>
      </c>
      <c r="G602" s="1" t="b">
        <v>0</v>
      </c>
      <c r="H602" s="1">
        <v>5</v>
      </c>
      <c r="I602" s="1">
        <v>2</v>
      </c>
      <c r="J602" s="1">
        <v>0.18</v>
      </c>
      <c r="L602" s="3" t="str">
        <f t="shared" si="36"/>
        <v>2011-01-28</v>
      </c>
      <c r="M602" s="3" t="str">
        <f t="shared" si="37"/>
        <v>2011</v>
      </c>
      <c r="N602" s="3" t="str">
        <f t="shared" si="38"/>
        <v>28</v>
      </c>
      <c r="O602" s="3">
        <f t="shared" si="39"/>
        <v>10</v>
      </c>
    </row>
    <row r="603" spans="1:15" x14ac:dyDescent="0.35">
      <c r="A603" s="1">
        <v>602</v>
      </c>
      <c r="B603" s="2">
        <v>40571</v>
      </c>
      <c r="C603" s="1">
        <v>1</v>
      </c>
      <c r="D603" s="1">
        <v>0</v>
      </c>
      <c r="E603" s="1">
        <v>1</v>
      </c>
      <c r="F603" s="1">
        <v>7</v>
      </c>
      <c r="G603" s="1" t="b">
        <v>0</v>
      </c>
      <c r="H603" s="1">
        <v>5</v>
      </c>
      <c r="I603" s="1">
        <v>2</v>
      </c>
      <c r="J603" s="1">
        <v>0.16</v>
      </c>
      <c r="L603" s="3" t="str">
        <f t="shared" si="36"/>
        <v>2011-01-28</v>
      </c>
      <c r="M603" s="3" t="str">
        <f t="shared" si="37"/>
        <v>2011</v>
      </c>
      <c r="N603" s="3" t="str">
        <f t="shared" si="38"/>
        <v>28</v>
      </c>
      <c r="O603" s="3">
        <f t="shared" si="39"/>
        <v>10</v>
      </c>
    </row>
    <row r="604" spans="1:15" x14ac:dyDescent="0.35">
      <c r="A604" s="1">
        <v>603</v>
      </c>
      <c r="B604" s="2">
        <v>40571</v>
      </c>
      <c r="C604" s="1">
        <v>1</v>
      </c>
      <c r="D604" s="1">
        <v>0</v>
      </c>
      <c r="E604" s="1">
        <v>1</v>
      </c>
      <c r="F604" s="1">
        <v>8</v>
      </c>
      <c r="G604" s="1" t="b">
        <v>0</v>
      </c>
      <c r="H604" s="1">
        <v>5</v>
      </c>
      <c r="I604" s="1">
        <v>2</v>
      </c>
      <c r="J604" s="1">
        <v>0.16</v>
      </c>
      <c r="L604" s="3" t="str">
        <f t="shared" si="36"/>
        <v>2011-01-28</v>
      </c>
      <c r="M604" s="3" t="str">
        <f t="shared" si="37"/>
        <v>2011</v>
      </c>
      <c r="N604" s="3" t="str">
        <f t="shared" si="38"/>
        <v>28</v>
      </c>
      <c r="O604" s="3">
        <f t="shared" si="39"/>
        <v>10</v>
      </c>
    </row>
    <row r="605" spans="1:15" x14ac:dyDescent="0.35">
      <c r="A605" s="1">
        <v>604</v>
      </c>
      <c r="B605" s="2">
        <v>40571</v>
      </c>
      <c r="C605" s="1">
        <v>1</v>
      </c>
      <c r="D605" s="1">
        <v>0</v>
      </c>
      <c r="E605" s="1">
        <v>1</v>
      </c>
      <c r="F605" s="1">
        <v>9</v>
      </c>
      <c r="G605" s="1" t="b">
        <v>0</v>
      </c>
      <c r="H605" s="1">
        <v>5</v>
      </c>
      <c r="I605" s="1">
        <v>3</v>
      </c>
      <c r="J605" s="1">
        <v>0.18</v>
      </c>
      <c r="L605" s="3" t="str">
        <f t="shared" si="36"/>
        <v>2011-01-28</v>
      </c>
      <c r="M605" s="3" t="str">
        <f t="shared" si="37"/>
        <v>2011</v>
      </c>
      <c r="N605" s="3" t="str">
        <f t="shared" si="38"/>
        <v>28</v>
      </c>
      <c r="O605" s="3">
        <f t="shared" si="39"/>
        <v>10</v>
      </c>
    </row>
    <row r="606" spans="1:15" x14ac:dyDescent="0.35">
      <c r="A606" s="1">
        <v>605</v>
      </c>
      <c r="B606" s="2">
        <v>40571</v>
      </c>
      <c r="C606" s="1">
        <v>1</v>
      </c>
      <c r="D606" s="1">
        <v>0</v>
      </c>
      <c r="E606" s="1">
        <v>1</v>
      </c>
      <c r="F606" s="1">
        <v>10</v>
      </c>
      <c r="G606" s="1" t="b">
        <v>0</v>
      </c>
      <c r="H606" s="1">
        <v>5</v>
      </c>
      <c r="I606" s="1">
        <v>3</v>
      </c>
      <c r="J606" s="1">
        <v>0.18</v>
      </c>
      <c r="L606" s="3" t="str">
        <f t="shared" si="36"/>
        <v>2011-01-28</v>
      </c>
      <c r="M606" s="3" t="str">
        <f t="shared" si="37"/>
        <v>2011</v>
      </c>
      <c r="N606" s="3" t="str">
        <f t="shared" si="38"/>
        <v>28</v>
      </c>
      <c r="O606" s="3">
        <f t="shared" si="39"/>
        <v>10</v>
      </c>
    </row>
    <row r="607" spans="1:15" x14ac:dyDescent="0.35">
      <c r="A607" s="1">
        <v>606</v>
      </c>
      <c r="B607" s="2">
        <v>40571</v>
      </c>
      <c r="C607" s="1">
        <v>1</v>
      </c>
      <c r="D607" s="1">
        <v>0</v>
      </c>
      <c r="E607" s="1">
        <v>1</v>
      </c>
      <c r="F607" s="1">
        <v>11</v>
      </c>
      <c r="G607" s="1" t="b">
        <v>0</v>
      </c>
      <c r="H607" s="1">
        <v>5</v>
      </c>
      <c r="I607" s="1">
        <v>3</v>
      </c>
      <c r="J607" s="1">
        <v>0.18</v>
      </c>
      <c r="L607" s="3" t="str">
        <f t="shared" si="36"/>
        <v>2011-01-28</v>
      </c>
      <c r="M607" s="3" t="str">
        <f t="shared" si="37"/>
        <v>2011</v>
      </c>
      <c r="N607" s="3" t="str">
        <f t="shared" si="38"/>
        <v>28</v>
      </c>
      <c r="O607" s="3">
        <f t="shared" si="39"/>
        <v>10</v>
      </c>
    </row>
    <row r="608" spans="1:15" x14ac:dyDescent="0.35">
      <c r="A608" s="1">
        <v>607</v>
      </c>
      <c r="B608" s="2">
        <v>40571</v>
      </c>
      <c r="C608" s="1">
        <v>1</v>
      </c>
      <c r="D608" s="1">
        <v>0</v>
      </c>
      <c r="E608" s="1">
        <v>1</v>
      </c>
      <c r="F608" s="1">
        <v>12</v>
      </c>
      <c r="G608" s="1" t="b">
        <v>0</v>
      </c>
      <c r="H608" s="1">
        <v>5</v>
      </c>
      <c r="I608" s="1">
        <v>3</v>
      </c>
      <c r="J608" s="1">
        <v>0.18</v>
      </c>
      <c r="L608" s="3" t="str">
        <f t="shared" si="36"/>
        <v>2011-01-28</v>
      </c>
      <c r="M608" s="3" t="str">
        <f t="shared" si="37"/>
        <v>2011</v>
      </c>
      <c r="N608" s="3" t="str">
        <f t="shared" si="38"/>
        <v>28</v>
      </c>
      <c r="O608" s="3">
        <f t="shared" si="39"/>
        <v>10</v>
      </c>
    </row>
    <row r="609" spans="1:15" x14ac:dyDescent="0.35">
      <c r="A609" s="1">
        <v>608</v>
      </c>
      <c r="B609" s="2">
        <v>40571</v>
      </c>
      <c r="C609" s="1">
        <v>1</v>
      </c>
      <c r="D609" s="1">
        <v>0</v>
      </c>
      <c r="E609" s="1">
        <v>1</v>
      </c>
      <c r="F609" s="1">
        <v>13</v>
      </c>
      <c r="G609" s="1" t="b">
        <v>0</v>
      </c>
      <c r="H609" s="1">
        <v>5</v>
      </c>
      <c r="I609" s="1">
        <v>3</v>
      </c>
      <c r="J609" s="1">
        <v>0.18</v>
      </c>
      <c r="L609" s="3" t="str">
        <f t="shared" si="36"/>
        <v>2011-01-28</v>
      </c>
      <c r="M609" s="3" t="str">
        <f t="shared" si="37"/>
        <v>2011</v>
      </c>
      <c r="N609" s="3" t="str">
        <f t="shared" si="38"/>
        <v>28</v>
      </c>
      <c r="O609" s="3">
        <f t="shared" si="39"/>
        <v>10</v>
      </c>
    </row>
    <row r="610" spans="1:15" x14ac:dyDescent="0.35">
      <c r="A610" s="1">
        <v>609</v>
      </c>
      <c r="B610" s="2">
        <v>40571</v>
      </c>
      <c r="C610" s="1">
        <v>1</v>
      </c>
      <c r="D610" s="1">
        <v>0</v>
      </c>
      <c r="E610" s="1">
        <v>1</v>
      </c>
      <c r="F610" s="1">
        <v>14</v>
      </c>
      <c r="G610" s="1" t="b">
        <v>0</v>
      </c>
      <c r="H610" s="1">
        <v>5</v>
      </c>
      <c r="I610" s="1">
        <v>3</v>
      </c>
      <c r="J610" s="1">
        <v>0.22</v>
      </c>
      <c r="L610" s="3" t="str">
        <f t="shared" si="36"/>
        <v>2011-01-28</v>
      </c>
      <c r="M610" s="3" t="str">
        <f t="shared" si="37"/>
        <v>2011</v>
      </c>
      <c r="N610" s="3" t="str">
        <f t="shared" si="38"/>
        <v>28</v>
      </c>
      <c r="O610" s="3">
        <f t="shared" si="39"/>
        <v>10</v>
      </c>
    </row>
    <row r="611" spans="1:15" x14ac:dyDescent="0.35">
      <c r="A611" s="1">
        <v>610</v>
      </c>
      <c r="B611" s="2">
        <v>40571</v>
      </c>
      <c r="C611" s="1">
        <v>1</v>
      </c>
      <c r="D611" s="1">
        <v>0</v>
      </c>
      <c r="E611" s="1">
        <v>1</v>
      </c>
      <c r="F611" s="1">
        <v>15</v>
      </c>
      <c r="G611" s="1" t="b">
        <v>0</v>
      </c>
      <c r="H611" s="1">
        <v>5</v>
      </c>
      <c r="I611" s="1">
        <v>2</v>
      </c>
      <c r="J611" s="1">
        <v>0.2</v>
      </c>
      <c r="L611" s="3" t="str">
        <f t="shared" si="36"/>
        <v>2011-01-28</v>
      </c>
      <c r="M611" s="3" t="str">
        <f t="shared" si="37"/>
        <v>2011</v>
      </c>
      <c r="N611" s="3" t="str">
        <f t="shared" si="38"/>
        <v>28</v>
      </c>
      <c r="O611" s="3">
        <f t="shared" si="39"/>
        <v>10</v>
      </c>
    </row>
  </sheetData>
  <conditionalFormatting sqref="J2:J611">
    <cfRule type="cellIs" dxfId="12" priority="2" operator="greaterThan">
      <formula>0.24</formula>
    </cfRule>
  </conditionalFormatting>
  <conditionalFormatting sqref="G2:G611">
    <cfRule type="cellIs" dxfId="11" priority="1" operator="equal">
      <formula>TRUE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461F9-42E1-4621-8997-D9763B0F9771}">
  <dimension ref="A1:P611"/>
  <sheetViews>
    <sheetView workbookViewId="0">
      <selection activeCell="H4" sqref="H4"/>
    </sheetView>
  </sheetViews>
  <sheetFormatPr defaultRowHeight="14.5" x14ac:dyDescent="0.35"/>
  <cols>
    <col min="1" max="1" width="10.90625" customWidth="1"/>
    <col min="5" max="5" width="11.90625" customWidth="1"/>
    <col min="7" max="7" width="11.26953125" customWidth="1"/>
    <col min="9" max="9" width="10" bestFit="1" customWidth="1"/>
    <col min="11" max="11" width="9.81640625" bestFit="1" customWidth="1"/>
    <col min="14" max="14" width="16.7265625" bestFit="1" customWidth="1"/>
  </cols>
  <sheetData>
    <row r="1" spans="1:16" x14ac:dyDescent="0.35">
      <c r="A1" s="7" t="s">
        <v>32</v>
      </c>
      <c r="B1" s="8" t="s">
        <v>0</v>
      </c>
      <c r="C1" s="10" t="s">
        <v>9</v>
      </c>
      <c r="D1" s="10" t="s">
        <v>37</v>
      </c>
      <c r="E1" s="8" t="s">
        <v>12</v>
      </c>
      <c r="F1" s="8" t="s">
        <v>13</v>
      </c>
      <c r="G1" s="8" t="s">
        <v>14</v>
      </c>
      <c r="H1" s="9" t="s">
        <v>15</v>
      </c>
      <c r="I1" s="11" t="s">
        <v>33</v>
      </c>
      <c r="J1" s="11" t="s">
        <v>34</v>
      </c>
      <c r="K1" s="11" t="s">
        <v>35</v>
      </c>
      <c r="L1" s="11" t="s">
        <v>36</v>
      </c>
      <c r="N1" s="111" t="s">
        <v>38</v>
      </c>
      <c r="O1" s="111"/>
      <c r="P1" s="12"/>
    </row>
    <row r="2" spans="1:16" x14ac:dyDescent="0.35">
      <c r="A2" s="14">
        <v>439</v>
      </c>
      <c r="B2" s="15">
        <v>440</v>
      </c>
      <c r="C2" s="15">
        <v>0.21210000000000001</v>
      </c>
      <c r="D2" s="15">
        <v>0.55000000000000004</v>
      </c>
      <c r="E2" s="15">
        <v>0.28360000000000002</v>
      </c>
      <c r="F2" s="15">
        <v>2</v>
      </c>
      <c r="G2" s="15">
        <v>247</v>
      </c>
      <c r="H2" s="16">
        <v>249</v>
      </c>
      <c r="I2" t="str">
        <f>"REC-"&amp;TEXT(A2,"000")</f>
        <v>REC-439</v>
      </c>
      <c r="J2" t="str">
        <f>LEFT(I2,3)</f>
        <v>REC</v>
      </c>
      <c r="K2" t="str">
        <f>RIGHT(I2,3)</f>
        <v>439</v>
      </c>
      <c r="L2">
        <f>LEN(I2)</f>
        <v>7</v>
      </c>
      <c r="N2" s="13" t="s">
        <v>39</v>
      </c>
      <c r="O2" s="13">
        <f>SUM($H$2:$H$611)</f>
        <v>33898</v>
      </c>
    </row>
    <row r="3" spans="1:16" x14ac:dyDescent="0.35">
      <c r="A3" s="14">
        <v>555</v>
      </c>
      <c r="B3" s="15">
        <v>556</v>
      </c>
      <c r="C3" s="15">
        <v>0.18179999999999999</v>
      </c>
      <c r="D3" s="15">
        <v>0.74</v>
      </c>
      <c r="E3" s="15">
        <v>0.1343</v>
      </c>
      <c r="F3" s="15">
        <v>5</v>
      </c>
      <c r="G3" s="15">
        <v>233</v>
      </c>
      <c r="H3" s="16">
        <v>238</v>
      </c>
      <c r="I3" t="str">
        <f t="shared" ref="I3:I66" si="0">"REC-"&amp;TEXT(A3,"000")</f>
        <v>REC-555</v>
      </c>
      <c r="J3" t="str">
        <f t="shared" ref="J3:J66" si="1">LEFT(I3,3)</f>
        <v>REC</v>
      </c>
      <c r="K3" t="str">
        <f t="shared" ref="K3:K66" si="2">RIGHT(I3,3)</f>
        <v>555</v>
      </c>
      <c r="L3">
        <f t="shared" ref="L3:L66" si="3">LEN(I3)</f>
        <v>7</v>
      </c>
      <c r="N3" s="13" t="s">
        <v>40</v>
      </c>
      <c r="O3" s="13">
        <f>AVERAGE($H$2:$H$611)</f>
        <v>55.570491803278685</v>
      </c>
    </row>
    <row r="4" spans="1:16" x14ac:dyDescent="0.35">
      <c r="A4" s="14">
        <v>565</v>
      </c>
      <c r="B4" s="15">
        <v>566</v>
      </c>
      <c r="C4" s="15">
        <v>0.31819999999999998</v>
      </c>
      <c r="D4" s="15">
        <v>0.49</v>
      </c>
      <c r="E4" s="15">
        <v>8.9599999999999999E-2</v>
      </c>
      <c r="F4" s="15">
        <v>7</v>
      </c>
      <c r="G4" s="15">
        <v>218</v>
      </c>
      <c r="H4" s="16">
        <v>225</v>
      </c>
      <c r="I4" t="str">
        <f t="shared" si="0"/>
        <v>REC-565</v>
      </c>
      <c r="J4" t="str">
        <f t="shared" si="1"/>
        <v>REC</v>
      </c>
      <c r="K4" t="str">
        <f t="shared" si="2"/>
        <v>565</v>
      </c>
      <c r="L4">
        <f t="shared" si="3"/>
        <v>7</v>
      </c>
      <c r="N4" s="13" t="s">
        <v>30</v>
      </c>
      <c r="O4" s="13">
        <f>COUNT($H$2:$H$611)</f>
        <v>610</v>
      </c>
    </row>
    <row r="5" spans="1:16" x14ac:dyDescent="0.35">
      <c r="A5" s="14">
        <v>564</v>
      </c>
      <c r="B5" s="15">
        <v>565</v>
      </c>
      <c r="C5" s="15">
        <v>0.33329999999999999</v>
      </c>
      <c r="D5" s="15">
        <v>0.45</v>
      </c>
      <c r="E5" s="15">
        <v>0</v>
      </c>
      <c r="F5" s="15">
        <v>14</v>
      </c>
      <c r="G5" s="15">
        <v>208</v>
      </c>
      <c r="H5" s="16">
        <v>222</v>
      </c>
      <c r="I5" t="str">
        <f t="shared" si="0"/>
        <v>REC-564</v>
      </c>
      <c r="J5" t="str">
        <f t="shared" si="1"/>
        <v>REC</v>
      </c>
      <c r="K5" t="str">
        <f t="shared" si="2"/>
        <v>564</v>
      </c>
      <c r="L5">
        <f t="shared" si="3"/>
        <v>7</v>
      </c>
      <c r="N5" s="13" t="s">
        <v>41</v>
      </c>
      <c r="O5" s="13">
        <f>MAX($H$2:$H$611)</f>
        <v>249</v>
      </c>
    </row>
    <row r="6" spans="1:16" x14ac:dyDescent="0.35">
      <c r="A6" s="14">
        <v>122</v>
      </c>
      <c r="B6" s="15">
        <v>123</v>
      </c>
      <c r="C6" s="15">
        <v>0.2273</v>
      </c>
      <c r="D6" s="15">
        <v>0.59</v>
      </c>
      <c r="E6" s="15">
        <v>0</v>
      </c>
      <c r="F6" s="15">
        <v>3</v>
      </c>
      <c r="G6" s="15">
        <v>216</v>
      </c>
      <c r="H6" s="16">
        <v>219</v>
      </c>
      <c r="I6" t="str">
        <f t="shared" si="0"/>
        <v>REC-122</v>
      </c>
      <c r="J6" t="str">
        <f t="shared" si="1"/>
        <v>REC</v>
      </c>
      <c r="K6" t="str">
        <f t="shared" si="2"/>
        <v>122</v>
      </c>
      <c r="L6">
        <f t="shared" si="3"/>
        <v>7</v>
      </c>
    </row>
    <row r="7" spans="1:16" x14ac:dyDescent="0.35">
      <c r="A7" s="14">
        <v>239</v>
      </c>
      <c r="B7" s="15">
        <v>240</v>
      </c>
      <c r="C7" s="15">
        <v>0.21210000000000001</v>
      </c>
      <c r="D7" s="15">
        <v>0.51</v>
      </c>
      <c r="E7" s="15">
        <v>8.9599999999999999E-2</v>
      </c>
      <c r="F7" s="15">
        <v>3</v>
      </c>
      <c r="G7" s="15">
        <v>214</v>
      </c>
      <c r="H7" s="16">
        <v>217</v>
      </c>
      <c r="I7" t="str">
        <f t="shared" si="0"/>
        <v>REC-239</v>
      </c>
      <c r="J7" t="str">
        <f t="shared" si="1"/>
        <v>REC</v>
      </c>
      <c r="K7" t="str">
        <f t="shared" si="2"/>
        <v>239</v>
      </c>
      <c r="L7">
        <f t="shared" si="3"/>
        <v>7</v>
      </c>
    </row>
    <row r="8" spans="1:16" x14ac:dyDescent="0.35">
      <c r="A8" s="14">
        <v>463</v>
      </c>
      <c r="B8" s="15">
        <v>464</v>
      </c>
      <c r="C8" s="15">
        <v>0.18179999999999999</v>
      </c>
      <c r="D8" s="15">
        <v>0.47</v>
      </c>
      <c r="E8" s="15">
        <v>0.32840000000000003</v>
      </c>
      <c r="F8" s="15">
        <v>7</v>
      </c>
      <c r="G8" s="15">
        <v>210</v>
      </c>
      <c r="H8" s="16">
        <v>217</v>
      </c>
      <c r="I8" t="str">
        <f t="shared" si="0"/>
        <v>REC-463</v>
      </c>
      <c r="J8" t="str">
        <f t="shared" si="1"/>
        <v>REC</v>
      </c>
      <c r="K8" t="str">
        <f t="shared" si="2"/>
        <v>463</v>
      </c>
      <c r="L8">
        <f t="shared" si="3"/>
        <v>7</v>
      </c>
    </row>
    <row r="9" spans="1:16" x14ac:dyDescent="0.35">
      <c r="A9" s="14">
        <v>448</v>
      </c>
      <c r="B9" s="15">
        <v>449</v>
      </c>
      <c r="C9" s="15">
        <v>0.31819999999999998</v>
      </c>
      <c r="D9" s="15">
        <v>0.49</v>
      </c>
      <c r="E9" s="15">
        <v>0.1045</v>
      </c>
      <c r="F9" s="15">
        <v>8</v>
      </c>
      <c r="G9" s="15">
        <v>207</v>
      </c>
      <c r="H9" s="16">
        <v>215</v>
      </c>
      <c r="I9" t="str">
        <f t="shared" si="0"/>
        <v>REC-448</v>
      </c>
      <c r="J9" t="str">
        <f t="shared" si="1"/>
        <v>REC</v>
      </c>
      <c r="K9" t="str">
        <f t="shared" si="2"/>
        <v>448</v>
      </c>
      <c r="L9">
        <f t="shared" si="3"/>
        <v>7</v>
      </c>
    </row>
    <row r="10" spans="1:16" x14ac:dyDescent="0.35">
      <c r="A10" s="14">
        <v>85</v>
      </c>
      <c r="B10" s="15">
        <v>86</v>
      </c>
      <c r="C10" s="15">
        <v>0.2727</v>
      </c>
      <c r="D10" s="15">
        <v>0.48</v>
      </c>
      <c r="E10" s="15">
        <v>0.22389999999999999</v>
      </c>
      <c r="F10" s="15">
        <v>10</v>
      </c>
      <c r="G10" s="15">
        <v>202</v>
      </c>
      <c r="H10" s="16">
        <v>212</v>
      </c>
      <c r="I10" t="str">
        <f t="shared" si="0"/>
        <v>REC-085</v>
      </c>
      <c r="J10" t="str">
        <f t="shared" si="1"/>
        <v>REC</v>
      </c>
      <c r="K10" t="str">
        <f t="shared" si="2"/>
        <v>085</v>
      </c>
      <c r="L10">
        <f t="shared" si="3"/>
        <v>7</v>
      </c>
    </row>
    <row r="11" spans="1:16" x14ac:dyDescent="0.35">
      <c r="A11" s="14">
        <v>145</v>
      </c>
      <c r="B11" s="15">
        <v>146</v>
      </c>
      <c r="C11" s="15">
        <v>0.19700000000000001</v>
      </c>
      <c r="D11" s="15">
        <v>0.51</v>
      </c>
      <c r="E11" s="15">
        <v>0.25369999999999998</v>
      </c>
      <c r="F11" s="15">
        <v>20</v>
      </c>
      <c r="G11" s="15">
        <v>190</v>
      </c>
      <c r="H11" s="16">
        <v>210</v>
      </c>
      <c r="I11" t="str">
        <f t="shared" si="0"/>
        <v>REC-145</v>
      </c>
      <c r="J11" t="str">
        <f t="shared" si="1"/>
        <v>REC</v>
      </c>
      <c r="K11" t="str">
        <f t="shared" si="2"/>
        <v>145</v>
      </c>
      <c r="L11">
        <f t="shared" si="3"/>
        <v>7</v>
      </c>
    </row>
    <row r="12" spans="1:16" x14ac:dyDescent="0.35">
      <c r="A12" s="14">
        <v>285</v>
      </c>
      <c r="B12" s="15">
        <v>286</v>
      </c>
      <c r="C12" s="15">
        <v>0.13639999999999999</v>
      </c>
      <c r="D12" s="15">
        <v>0.5</v>
      </c>
      <c r="E12" s="15">
        <v>0.19400000000000001</v>
      </c>
      <c r="F12" s="15">
        <v>5</v>
      </c>
      <c r="G12" s="15">
        <v>197</v>
      </c>
      <c r="H12" s="16">
        <v>202</v>
      </c>
      <c r="I12" t="str">
        <f t="shared" si="0"/>
        <v>REC-285</v>
      </c>
      <c r="J12" t="str">
        <f t="shared" si="1"/>
        <v>REC</v>
      </c>
      <c r="K12" t="str">
        <f t="shared" si="2"/>
        <v>285</v>
      </c>
      <c r="L12">
        <f t="shared" si="3"/>
        <v>7</v>
      </c>
    </row>
    <row r="13" spans="1:16" x14ac:dyDescent="0.35">
      <c r="A13" s="14">
        <v>415</v>
      </c>
      <c r="B13" s="15">
        <v>416</v>
      </c>
      <c r="C13" s="15">
        <v>0.2576</v>
      </c>
      <c r="D13" s="15">
        <v>0.93</v>
      </c>
      <c r="E13" s="15">
        <v>0.1045</v>
      </c>
      <c r="F13" s="15">
        <v>1</v>
      </c>
      <c r="G13" s="15">
        <v>196</v>
      </c>
      <c r="H13" s="16">
        <v>197</v>
      </c>
      <c r="I13" t="str">
        <f t="shared" si="0"/>
        <v>REC-415</v>
      </c>
      <c r="J13" t="str">
        <f t="shared" si="1"/>
        <v>REC</v>
      </c>
      <c r="K13" t="str">
        <f t="shared" si="2"/>
        <v>415</v>
      </c>
      <c r="L13">
        <f t="shared" si="3"/>
        <v>7</v>
      </c>
    </row>
    <row r="14" spans="1:16" x14ac:dyDescent="0.35">
      <c r="A14" s="14">
        <v>424</v>
      </c>
      <c r="B14" s="15">
        <v>425</v>
      </c>
      <c r="C14" s="15">
        <v>0.33329999999999999</v>
      </c>
      <c r="D14" s="15">
        <v>0.56999999999999995</v>
      </c>
      <c r="E14" s="15">
        <v>0.32840000000000003</v>
      </c>
      <c r="F14" s="15">
        <v>7</v>
      </c>
      <c r="G14" s="15">
        <v>190</v>
      </c>
      <c r="H14" s="16">
        <v>197</v>
      </c>
      <c r="I14" t="str">
        <f t="shared" si="0"/>
        <v>REC-424</v>
      </c>
      <c r="J14" t="str">
        <f t="shared" si="1"/>
        <v>REC</v>
      </c>
      <c r="K14" t="str">
        <f t="shared" si="2"/>
        <v>424</v>
      </c>
      <c r="L14">
        <f t="shared" si="3"/>
        <v>7</v>
      </c>
    </row>
    <row r="15" spans="1:16" x14ac:dyDescent="0.35">
      <c r="A15" s="14">
        <v>99</v>
      </c>
      <c r="B15" s="15">
        <v>100</v>
      </c>
      <c r="C15" s="15">
        <v>0.18179999999999999</v>
      </c>
      <c r="D15" s="15">
        <v>0.4</v>
      </c>
      <c r="E15" s="15">
        <v>0.29849999999999999</v>
      </c>
      <c r="F15" s="15">
        <v>3</v>
      </c>
      <c r="G15" s="15">
        <v>192</v>
      </c>
      <c r="H15" s="16">
        <v>195</v>
      </c>
      <c r="I15" t="str">
        <f t="shared" si="0"/>
        <v>REC-099</v>
      </c>
      <c r="J15" t="str">
        <f t="shared" si="1"/>
        <v>REC</v>
      </c>
      <c r="K15" t="str">
        <f t="shared" si="2"/>
        <v>099</v>
      </c>
      <c r="L15">
        <f t="shared" si="3"/>
        <v>7</v>
      </c>
    </row>
    <row r="16" spans="1:16" x14ac:dyDescent="0.35">
      <c r="A16" s="14">
        <v>108</v>
      </c>
      <c r="B16" s="15">
        <v>109</v>
      </c>
      <c r="C16" s="15">
        <v>0.2273</v>
      </c>
      <c r="D16" s="15">
        <v>0.38</v>
      </c>
      <c r="E16" s="15">
        <v>0.19400000000000001</v>
      </c>
      <c r="F16" s="15">
        <v>4</v>
      </c>
      <c r="G16" s="15">
        <v>186</v>
      </c>
      <c r="H16" s="16">
        <v>190</v>
      </c>
      <c r="I16" t="str">
        <f t="shared" si="0"/>
        <v>REC-108</v>
      </c>
      <c r="J16" t="str">
        <f t="shared" si="1"/>
        <v>REC</v>
      </c>
      <c r="K16" t="str">
        <f t="shared" si="2"/>
        <v>108</v>
      </c>
      <c r="L16">
        <f t="shared" si="3"/>
        <v>7</v>
      </c>
    </row>
    <row r="17" spans="1:12" x14ac:dyDescent="0.35">
      <c r="A17" s="14">
        <v>217</v>
      </c>
      <c r="B17" s="15">
        <v>218</v>
      </c>
      <c r="C17" s="15">
        <v>0.1212</v>
      </c>
      <c r="D17" s="15">
        <v>0.5</v>
      </c>
      <c r="E17" s="15">
        <v>0.28360000000000002</v>
      </c>
      <c r="F17" s="15">
        <v>4</v>
      </c>
      <c r="G17" s="15">
        <v>184</v>
      </c>
      <c r="H17" s="16">
        <v>188</v>
      </c>
      <c r="I17" t="str">
        <f t="shared" si="0"/>
        <v>REC-217</v>
      </c>
      <c r="J17" t="str">
        <f t="shared" si="1"/>
        <v>REC</v>
      </c>
      <c r="K17" t="str">
        <f t="shared" si="2"/>
        <v>217</v>
      </c>
      <c r="L17">
        <f t="shared" si="3"/>
        <v>7</v>
      </c>
    </row>
    <row r="18" spans="1:12" x14ac:dyDescent="0.35">
      <c r="A18" s="14">
        <v>154</v>
      </c>
      <c r="B18" s="15">
        <v>155</v>
      </c>
      <c r="C18" s="15">
        <v>0.2576</v>
      </c>
      <c r="D18" s="15">
        <v>0.37</v>
      </c>
      <c r="E18" s="15">
        <v>0</v>
      </c>
      <c r="F18" s="15">
        <v>9</v>
      </c>
      <c r="G18" s="15">
        <v>178</v>
      </c>
      <c r="H18" s="16">
        <v>187</v>
      </c>
      <c r="I18" t="str">
        <f t="shared" si="0"/>
        <v>REC-154</v>
      </c>
      <c r="J18" t="str">
        <f t="shared" si="1"/>
        <v>REC</v>
      </c>
      <c r="K18" t="str">
        <f t="shared" si="2"/>
        <v>154</v>
      </c>
      <c r="L18">
        <f t="shared" si="3"/>
        <v>7</v>
      </c>
    </row>
    <row r="19" spans="1:12" x14ac:dyDescent="0.35">
      <c r="A19" s="14">
        <v>449</v>
      </c>
      <c r="B19" s="15">
        <v>450</v>
      </c>
      <c r="C19" s="15">
        <v>0.2576</v>
      </c>
      <c r="D19" s="15">
        <v>0.56000000000000005</v>
      </c>
      <c r="E19" s="15">
        <v>0.19400000000000001</v>
      </c>
      <c r="F19" s="15">
        <v>1</v>
      </c>
      <c r="G19" s="15">
        <v>184</v>
      </c>
      <c r="H19" s="16">
        <v>185</v>
      </c>
      <c r="I19" t="str">
        <f t="shared" si="0"/>
        <v>REC-449</v>
      </c>
      <c r="J19" t="str">
        <f t="shared" si="1"/>
        <v>REC</v>
      </c>
      <c r="K19" t="str">
        <f t="shared" si="2"/>
        <v>449</v>
      </c>
      <c r="L19">
        <f t="shared" si="3"/>
        <v>7</v>
      </c>
    </row>
    <row r="20" spans="1:12" x14ac:dyDescent="0.35">
      <c r="A20" s="14">
        <v>541</v>
      </c>
      <c r="B20" s="15">
        <v>542</v>
      </c>
      <c r="C20" s="15">
        <v>0.1212</v>
      </c>
      <c r="D20" s="15">
        <v>0.5</v>
      </c>
      <c r="E20" s="15">
        <v>0.25369999999999998</v>
      </c>
      <c r="F20" s="15">
        <v>6</v>
      </c>
      <c r="G20" s="15">
        <v>178</v>
      </c>
      <c r="H20" s="16">
        <v>184</v>
      </c>
      <c r="I20" t="str">
        <f t="shared" si="0"/>
        <v>REC-541</v>
      </c>
      <c r="J20" t="str">
        <f t="shared" si="1"/>
        <v>REC</v>
      </c>
      <c r="K20" t="str">
        <f t="shared" si="2"/>
        <v>541</v>
      </c>
      <c r="L20">
        <f t="shared" si="3"/>
        <v>7</v>
      </c>
    </row>
    <row r="21" spans="1:12" x14ac:dyDescent="0.35">
      <c r="A21" s="14">
        <v>86</v>
      </c>
      <c r="B21" s="15">
        <v>87</v>
      </c>
      <c r="C21" s="15">
        <v>0.2576</v>
      </c>
      <c r="D21" s="15">
        <v>0.48</v>
      </c>
      <c r="E21" s="15">
        <v>0.19400000000000001</v>
      </c>
      <c r="F21" s="15">
        <v>3</v>
      </c>
      <c r="G21" s="15">
        <v>179</v>
      </c>
      <c r="H21" s="16">
        <v>182</v>
      </c>
      <c r="I21" t="str">
        <f t="shared" si="0"/>
        <v>REC-086</v>
      </c>
      <c r="J21" t="str">
        <f t="shared" si="1"/>
        <v>REC</v>
      </c>
      <c r="K21" t="str">
        <f t="shared" si="2"/>
        <v>086</v>
      </c>
      <c r="L21">
        <f t="shared" si="3"/>
        <v>7</v>
      </c>
    </row>
    <row r="22" spans="1:12" x14ac:dyDescent="0.35">
      <c r="A22" s="14">
        <v>76</v>
      </c>
      <c r="B22" s="15">
        <v>77</v>
      </c>
      <c r="C22" s="15">
        <v>0.1515</v>
      </c>
      <c r="D22" s="15">
        <v>0.69</v>
      </c>
      <c r="E22" s="15">
        <v>0.16420000000000001</v>
      </c>
      <c r="F22" s="15">
        <v>2</v>
      </c>
      <c r="G22" s="15">
        <v>177</v>
      </c>
      <c r="H22" s="16">
        <v>179</v>
      </c>
      <c r="I22" t="str">
        <f t="shared" si="0"/>
        <v>REC-076</v>
      </c>
      <c r="J22" t="str">
        <f t="shared" si="1"/>
        <v>REC</v>
      </c>
      <c r="K22" t="str">
        <f t="shared" si="2"/>
        <v>076</v>
      </c>
      <c r="L22">
        <f t="shared" si="3"/>
        <v>7</v>
      </c>
    </row>
    <row r="23" spans="1:12" x14ac:dyDescent="0.35">
      <c r="A23" s="14">
        <v>226</v>
      </c>
      <c r="B23" s="15">
        <v>227</v>
      </c>
      <c r="C23" s="15">
        <v>0.2273</v>
      </c>
      <c r="D23" s="15">
        <v>0.4</v>
      </c>
      <c r="E23" s="15">
        <v>0.1045</v>
      </c>
      <c r="F23" s="15">
        <v>4</v>
      </c>
      <c r="G23" s="15">
        <v>174</v>
      </c>
      <c r="H23" s="16">
        <v>178</v>
      </c>
      <c r="I23" t="str">
        <f t="shared" si="0"/>
        <v>REC-226</v>
      </c>
      <c r="J23" t="str">
        <f t="shared" si="1"/>
        <v>REC</v>
      </c>
      <c r="K23" t="str">
        <f t="shared" si="2"/>
        <v>226</v>
      </c>
      <c r="L23">
        <f t="shared" si="3"/>
        <v>7</v>
      </c>
    </row>
    <row r="24" spans="1:12" x14ac:dyDescent="0.35">
      <c r="A24" s="14">
        <v>532</v>
      </c>
      <c r="B24" s="15">
        <v>533</v>
      </c>
      <c r="C24" s="15">
        <v>0.13639999999999999</v>
      </c>
      <c r="D24" s="15">
        <v>0.49</v>
      </c>
      <c r="E24" s="15">
        <v>0</v>
      </c>
      <c r="F24" s="15">
        <v>6</v>
      </c>
      <c r="G24" s="15">
        <v>171</v>
      </c>
      <c r="H24" s="16">
        <v>177</v>
      </c>
      <c r="I24" t="str">
        <f t="shared" si="0"/>
        <v>REC-532</v>
      </c>
      <c r="J24" t="str">
        <f t="shared" si="1"/>
        <v>REC</v>
      </c>
      <c r="K24" t="str">
        <f t="shared" si="2"/>
        <v>532</v>
      </c>
      <c r="L24">
        <f t="shared" si="3"/>
        <v>7</v>
      </c>
    </row>
    <row r="25" spans="1:12" x14ac:dyDescent="0.35">
      <c r="A25" s="14">
        <v>131</v>
      </c>
      <c r="B25" s="15">
        <v>132</v>
      </c>
      <c r="C25" s="15">
        <v>0.2273</v>
      </c>
      <c r="D25" s="15">
        <v>0.51</v>
      </c>
      <c r="E25" s="15">
        <v>0.16420000000000001</v>
      </c>
      <c r="F25" s="15">
        <v>9</v>
      </c>
      <c r="G25" s="15">
        <v>163</v>
      </c>
      <c r="H25" s="16">
        <v>172</v>
      </c>
      <c r="I25" t="str">
        <f t="shared" si="0"/>
        <v>REC-131</v>
      </c>
      <c r="J25" t="str">
        <f t="shared" si="1"/>
        <v>REC</v>
      </c>
      <c r="K25" t="str">
        <f t="shared" si="2"/>
        <v>131</v>
      </c>
      <c r="L25">
        <f t="shared" si="3"/>
        <v>7</v>
      </c>
    </row>
    <row r="26" spans="1:12" x14ac:dyDescent="0.35">
      <c r="A26" s="14">
        <v>109</v>
      </c>
      <c r="B26" s="15">
        <v>110</v>
      </c>
      <c r="C26" s="15">
        <v>0.2424</v>
      </c>
      <c r="D26" s="15">
        <v>0.38</v>
      </c>
      <c r="E26" s="15">
        <v>0.1343</v>
      </c>
      <c r="F26" s="15">
        <v>3</v>
      </c>
      <c r="G26" s="15">
        <v>166</v>
      </c>
      <c r="H26" s="16">
        <v>169</v>
      </c>
      <c r="I26" t="str">
        <f t="shared" si="0"/>
        <v>REC-109</v>
      </c>
      <c r="J26" t="str">
        <f t="shared" si="1"/>
        <v>REC</v>
      </c>
      <c r="K26" t="str">
        <f t="shared" si="2"/>
        <v>109</v>
      </c>
      <c r="L26">
        <f t="shared" si="3"/>
        <v>7</v>
      </c>
    </row>
    <row r="27" spans="1:12" x14ac:dyDescent="0.35">
      <c r="A27" s="14">
        <v>464</v>
      </c>
      <c r="B27" s="15">
        <v>465</v>
      </c>
      <c r="C27" s="15">
        <v>0.18179999999999999</v>
      </c>
      <c r="D27" s="15">
        <v>0.51</v>
      </c>
      <c r="E27" s="15">
        <v>0.35820000000000002</v>
      </c>
      <c r="F27" s="15">
        <v>7</v>
      </c>
      <c r="G27" s="15">
        <v>159</v>
      </c>
      <c r="H27" s="16">
        <v>166</v>
      </c>
      <c r="I27" t="str">
        <f t="shared" si="0"/>
        <v>REC-464</v>
      </c>
      <c r="J27" t="str">
        <f t="shared" si="1"/>
        <v>REC</v>
      </c>
      <c r="K27" t="str">
        <f t="shared" si="2"/>
        <v>464</v>
      </c>
      <c r="L27">
        <f t="shared" si="3"/>
        <v>7</v>
      </c>
    </row>
    <row r="28" spans="1:12" x14ac:dyDescent="0.35">
      <c r="A28" s="14">
        <v>132</v>
      </c>
      <c r="B28" s="15">
        <v>133</v>
      </c>
      <c r="C28" s="15">
        <v>0.2273</v>
      </c>
      <c r="D28" s="15">
        <v>0.51</v>
      </c>
      <c r="E28" s="15">
        <v>0.1343</v>
      </c>
      <c r="F28" s="15">
        <v>5</v>
      </c>
      <c r="G28" s="15">
        <v>158</v>
      </c>
      <c r="H28" s="16">
        <v>163</v>
      </c>
      <c r="I28" t="str">
        <f t="shared" si="0"/>
        <v>REC-132</v>
      </c>
      <c r="J28" t="str">
        <f t="shared" si="1"/>
        <v>REC</v>
      </c>
      <c r="K28" t="str">
        <f t="shared" si="2"/>
        <v>132</v>
      </c>
      <c r="L28">
        <f t="shared" si="3"/>
        <v>7</v>
      </c>
    </row>
    <row r="29" spans="1:12" x14ac:dyDescent="0.35">
      <c r="A29" s="14">
        <v>294</v>
      </c>
      <c r="B29" s="15">
        <v>295</v>
      </c>
      <c r="C29" s="15">
        <v>0.18179999999999999</v>
      </c>
      <c r="D29" s="15">
        <v>0.4</v>
      </c>
      <c r="E29" s="15">
        <v>0.28360000000000002</v>
      </c>
      <c r="F29" s="15">
        <v>4</v>
      </c>
      <c r="G29" s="15">
        <v>158</v>
      </c>
      <c r="H29" s="16">
        <v>162</v>
      </c>
      <c r="I29" t="str">
        <f t="shared" si="0"/>
        <v>REC-294</v>
      </c>
      <c r="J29" t="str">
        <f t="shared" si="1"/>
        <v>REC</v>
      </c>
      <c r="K29" t="str">
        <f t="shared" si="2"/>
        <v>294</v>
      </c>
      <c r="L29">
        <f t="shared" si="3"/>
        <v>7</v>
      </c>
    </row>
    <row r="30" spans="1:12" x14ac:dyDescent="0.35">
      <c r="A30" s="14">
        <v>425</v>
      </c>
      <c r="B30" s="15">
        <v>426</v>
      </c>
      <c r="C30" s="15">
        <v>0.31819999999999998</v>
      </c>
      <c r="D30" s="15">
        <v>0.61</v>
      </c>
      <c r="E30" s="15">
        <v>0.28360000000000002</v>
      </c>
      <c r="F30" s="15">
        <v>5</v>
      </c>
      <c r="G30" s="15">
        <v>156</v>
      </c>
      <c r="H30" s="16">
        <v>161</v>
      </c>
      <c r="I30" t="str">
        <f t="shared" si="0"/>
        <v>REC-425</v>
      </c>
      <c r="J30" t="str">
        <f t="shared" si="1"/>
        <v>REC</v>
      </c>
      <c r="K30" t="str">
        <f t="shared" si="2"/>
        <v>425</v>
      </c>
      <c r="L30">
        <f t="shared" si="3"/>
        <v>7</v>
      </c>
    </row>
    <row r="31" spans="1:12" x14ac:dyDescent="0.35">
      <c r="A31" s="14">
        <v>472</v>
      </c>
      <c r="B31" s="15">
        <v>473</v>
      </c>
      <c r="C31" s="15">
        <v>0.1212</v>
      </c>
      <c r="D31" s="15">
        <v>0.28000000000000003</v>
      </c>
      <c r="E31" s="15">
        <v>0.35820000000000002</v>
      </c>
      <c r="F31" s="15">
        <v>10</v>
      </c>
      <c r="G31" s="15">
        <v>151</v>
      </c>
      <c r="H31" s="16">
        <v>161</v>
      </c>
      <c r="I31" t="str">
        <f t="shared" si="0"/>
        <v>REC-472</v>
      </c>
      <c r="J31" t="str">
        <f t="shared" si="1"/>
        <v>REC</v>
      </c>
      <c r="K31" t="str">
        <f t="shared" si="2"/>
        <v>472</v>
      </c>
      <c r="L31">
        <f t="shared" si="3"/>
        <v>7</v>
      </c>
    </row>
    <row r="32" spans="1:12" x14ac:dyDescent="0.35">
      <c r="A32" s="14">
        <v>317</v>
      </c>
      <c r="B32" s="15">
        <v>318</v>
      </c>
      <c r="C32" s="15">
        <v>0.2273</v>
      </c>
      <c r="D32" s="15">
        <v>0.41</v>
      </c>
      <c r="E32" s="15">
        <v>0.16420000000000001</v>
      </c>
      <c r="F32" s="15">
        <v>4</v>
      </c>
      <c r="G32" s="15">
        <v>155</v>
      </c>
      <c r="H32" s="16">
        <v>159</v>
      </c>
      <c r="I32" t="str">
        <f t="shared" si="0"/>
        <v>REC-317</v>
      </c>
      <c r="J32" t="str">
        <f t="shared" si="1"/>
        <v>REC</v>
      </c>
      <c r="K32" t="str">
        <f t="shared" si="2"/>
        <v>317</v>
      </c>
      <c r="L32">
        <f t="shared" si="3"/>
        <v>7</v>
      </c>
    </row>
    <row r="33" spans="1:12" x14ac:dyDescent="0.35">
      <c r="A33" s="14">
        <v>308</v>
      </c>
      <c r="B33" s="15">
        <v>309</v>
      </c>
      <c r="C33" s="15">
        <v>0.16669999999999999</v>
      </c>
      <c r="D33" s="15">
        <v>0.68</v>
      </c>
      <c r="E33" s="15">
        <v>0</v>
      </c>
      <c r="F33" s="15">
        <v>2</v>
      </c>
      <c r="G33" s="15">
        <v>156</v>
      </c>
      <c r="H33" s="16">
        <v>158</v>
      </c>
      <c r="I33" t="str">
        <f t="shared" si="0"/>
        <v>REC-308</v>
      </c>
      <c r="J33" t="str">
        <f t="shared" si="1"/>
        <v>REC</v>
      </c>
      <c r="K33" t="str">
        <f t="shared" si="2"/>
        <v>308</v>
      </c>
      <c r="L33">
        <f t="shared" si="3"/>
        <v>7</v>
      </c>
    </row>
    <row r="34" spans="1:12" x14ac:dyDescent="0.35">
      <c r="A34" s="14">
        <v>602</v>
      </c>
      <c r="B34" s="15">
        <v>603</v>
      </c>
      <c r="C34" s="15">
        <v>0.19700000000000001</v>
      </c>
      <c r="D34" s="15">
        <v>0.86</v>
      </c>
      <c r="E34" s="15">
        <v>8.9599999999999999E-2</v>
      </c>
      <c r="F34" s="15">
        <v>2</v>
      </c>
      <c r="G34" s="15">
        <v>155</v>
      </c>
      <c r="H34" s="16">
        <v>157</v>
      </c>
      <c r="I34" t="str">
        <f t="shared" si="0"/>
        <v>REC-602</v>
      </c>
      <c r="J34" t="str">
        <f t="shared" si="1"/>
        <v>REC</v>
      </c>
      <c r="K34" t="str">
        <f t="shared" si="2"/>
        <v>602</v>
      </c>
      <c r="L34">
        <f t="shared" si="3"/>
        <v>7</v>
      </c>
    </row>
    <row r="35" spans="1:12" x14ac:dyDescent="0.35">
      <c r="A35" s="14">
        <v>63</v>
      </c>
      <c r="B35" s="15">
        <v>64</v>
      </c>
      <c r="C35" s="15">
        <v>0.2576</v>
      </c>
      <c r="D35" s="15">
        <v>0.32</v>
      </c>
      <c r="E35" s="15">
        <v>0.1045</v>
      </c>
      <c r="F35" s="15">
        <v>9</v>
      </c>
      <c r="G35" s="15">
        <v>148</v>
      </c>
      <c r="H35" s="16">
        <v>157</v>
      </c>
      <c r="I35" t="str">
        <f t="shared" si="0"/>
        <v>REC-063</v>
      </c>
      <c r="J35" t="str">
        <f t="shared" si="1"/>
        <v>REC</v>
      </c>
      <c r="K35" t="str">
        <f t="shared" si="2"/>
        <v>063</v>
      </c>
      <c r="L35">
        <f t="shared" si="3"/>
        <v>7</v>
      </c>
    </row>
    <row r="36" spans="1:12" x14ac:dyDescent="0.35">
      <c r="A36" s="14">
        <v>62</v>
      </c>
      <c r="B36" s="15">
        <v>63</v>
      </c>
      <c r="C36" s="15">
        <v>0.2273</v>
      </c>
      <c r="D36" s="15">
        <v>0.3</v>
      </c>
      <c r="E36" s="15">
        <v>0.22389999999999999</v>
      </c>
      <c r="F36" s="15">
        <v>11</v>
      </c>
      <c r="G36" s="15">
        <v>146</v>
      </c>
      <c r="H36" s="16">
        <v>157</v>
      </c>
      <c r="I36" t="str">
        <f t="shared" si="0"/>
        <v>REC-062</v>
      </c>
      <c r="J36" t="str">
        <f t="shared" si="1"/>
        <v>REC</v>
      </c>
      <c r="K36" t="str">
        <f t="shared" si="2"/>
        <v>062</v>
      </c>
      <c r="L36">
        <f t="shared" si="3"/>
        <v>7</v>
      </c>
    </row>
    <row r="37" spans="1:12" x14ac:dyDescent="0.35">
      <c r="A37" s="14">
        <v>227</v>
      </c>
      <c r="B37" s="15">
        <v>228</v>
      </c>
      <c r="C37" s="15">
        <v>0.19700000000000001</v>
      </c>
      <c r="D37" s="15">
        <v>0.4</v>
      </c>
      <c r="E37" s="15">
        <v>0.22389999999999999</v>
      </c>
      <c r="F37" s="15">
        <v>1</v>
      </c>
      <c r="G37" s="15">
        <v>154</v>
      </c>
      <c r="H37" s="16">
        <v>155</v>
      </c>
      <c r="I37" t="str">
        <f t="shared" si="0"/>
        <v>REC-227</v>
      </c>
      <c r="J37" t="str">
        <f t="shared" si="1"/>
        <v>REC</v>
      </c>
      <c r="K37" t="str">
        <f t="shared" si="2"/>
        <v>227</v>
      </c>
      <c r="L37">
        <f t="shared" si="3"/>
        <v>7</v>
      </c>
    </row>
    <row r="38" spans="1:12" x14ac:dyDescent="0.35">
      <c r="A38" s="14">
        <v>53</v>
      </c>
      <c r="B38" s="15">
        <v>54</v>
      </c>
      <c r="C38" s="15">
        <v>0.1212</v>
      </c>
      <c r="D38" s="15">
        <v>0.5</v>
      </c>
      <c r="E38" s="15">
        <v>0.28360000000000002</v>
      </c>
      <c r="F38" s="15">
        <v>1</v>
      </c>
      <c r="G38" s="15">
        <v>153</v>
      </c>
      <c r="H38" s="16">
        <v>154</v>
      </c>
      <c r="I38" t="str">
        <f t="shared" si="0"/>
        <v>REC-053</v>
      </c>
      <c r="J38" t="str">
        <f t="shared" si="1"/>
        <v>REC</v>
      </c>
      <c r="K38" t="str">
        <f t="shared" si="2"/>
        <v>053</v>
      </c>
      <c r="L38">
        <f t="shared" si="3"/>
        <v>7</v>
      </c>
    </row>
    <row r="39" spans="1:12" x14ac:dyDescent="0.35">
      <c r="A39" s="14">
        <v>542</v>
      </c>
      <c r="B39" s="15">
        <v>543</v>
      </c>
      <c r="C39" s="15">
        <v>0.13639999999999999</v>
      </c>
      <c r="D39" s="15">
        <v>0.59</v>
      </c>
      <c r="E39" s="15">
        <v>0.19400000000000001</v>
      </c>
      <c r="F39" s="15">
        <v>8</v>
      </c>
      <c r="G39" s="15">
        <v>145</v>
      </c>
      <c r="H39" s="16">
        <v>153</v>
      </c>
      <c r="I39" t="str">
        <f t="shared" si="0"/>
        <v>REC-542</v>
      </c>
      <c r="J39" t="str">
        <f t="shared" si="1"/>
        <v>REC</v>
      </c>
      <c r="K39" t="str">
        <f t="shared" si="2"/>
        <v>542</v>
      </c>
      <c r="L39">
        <f t="shared" si="3"/>
        <v>7</v>
      </c>
    </row>
    <row r="40" spans="1:12" x14ac:dyDescent="0.35">
      <c r="A40" s="14">
        <v>450</v>
      </c>
      <c r="B40" s="15">
        <v>451</v>
      </c>
      <c r="C40" s="15">
        <v>0.2273</v>
      </c>
      <c r="D40" s="15">
        <v>0.56000000000000005</v>
      </c>
      <c r="E40" s="15">
        <v>0.32840000000000003</v>
      </c>
      <c r="F40" s="15">
        <v>6</v>
      </c>
      <c r="G40" s="15">
        <v>146</v>
      </c>
      <c r="H40" s="16">
        <v>152</v>
      </c>
      <c r="I40" t="str">
        <f t="shared" si="0"/>
        <v>REC-450</v>
      </c>
      <c r="J40" t="str">
        <f t="shared" si="1"/>
        <v>REC</v>
      </c>
      <c r="K40" t="str">
        <f t="shared" si="2"/>
        <v>450</v>
      </c>
      <c r="L40">
        <f t="shared" si="3"/>
        <v>7</v>
      </c>
    </row>
    <row r="41" spans="1:12" x14ac:dyDescent="0.35">
      <c r="A41" s="14">
        <v>566</v>
      </c>
      <c r="B41" s="15">
        <v>567</v>
      </c>
      <c r="C41" s="15">
        <v>0.2576</v>
      </c>
      <c r="D41" s="15">
        <v>0.65</v>
      </c>
      <c r="E41" s="15">
        <v>0.16420000000000001</v>
      </c>
      <c r="F41" s="15">
        <v>13</v>
      </c>
      <c r="G41" s="15">
        <v>133</v>
      </c>
      <c r="H41" s="16">
        <v>146</v>
      </c>
      <c r="I41" t="str">
        <f t="shared" si="0"/>
        <v>REC-566</v>
      </c>
      <c r="J41" t="str">
        <f t="shared" si="1"/>
        <v>REC</v>
      </c>
      <c r="K41" t="str">
        <f t="shared" si="2"/>
        <v>566</v>
      </c>
      <c r="L41">
        <f t="shared" si="3"/>
        <v>7</v>
      </c>
    </row>
    <row r="42" spans="1:12" x14ac:dyDescent="0.35">
      <c r="A42" s="14">
        <v>295</v>
      </c>
      <c r="B42" s="15">
        <v>296</v>
      </c>
      <c r="C42" s="15">
        <v>0.18179999999999999</v>
      </c>
      <c r="D42" s="15">
        <v>0.4</v>
      </c>
      <c r="E42" s="15">
        <v>0.32840000000000003</v>
      </c>
      <c r="F42" s="15">
        <v>3</v>
      </c>
      <c r="G42" s="15">
        <v>141</v>
      </c>
      <c r="H42" s="16">
        <v>144</v>
      </c>
      <c r="I42" t="str">
        <f t="shared" si="0"/>
        <v>REC-295</v>
      </c>
      <c r="J42" t="str">
        <f t="shared" si="1"/>
        <v>REC</v>
      </c>
      <c r="K42" t="str">
        <f t="shared" si="2"/>
        <v>295</v>
      </c>
      <c r="L42">
        <f t="shared" si="3"/>
        <v>7</v>
      </c>
    </row>
    <row r="43" spans="1:12" x14ac:dyDescent="0.35">
      <c r="A43" s="14">
        <v>556</v>
      </c>
      <c r="B43" s="15">
        <v>557</v>
      </c>
      <c r="C43" s="15">
        <v>0.2273</v>
      </c>
      <c r="D43" s="15">
        <v>0.64</v>
      </c>
      <c r="E43" s="15">
        <v>8.9599999999999999E-2</v>
      </c>
      <c r="F43" s="15">
        <v>10</v>
      </c>
      <c r="G43" s="15">
        <v>134</v>
      </c>
      <c r="H43" s="16">
        <v>144</v>
      </c>
      <c r="I43" t="str">
        <f t="shared" si="0"/>
        <v>REC-556</v>
      </c>
      <c r="J43" t="str">
        <f t="shared" si="1"/>
        <v>REC</v>
      </c>
      <c r="K43" t="str">
        <f t="shared" si="2"/>
        <v>556</v>
      </c>
      <c r="L43">
        <f t="shared" si="3"/>
        <v>7</v>
      </c>
    </row>
    <row r="44" spans="1:12" x14ac:dyDescent="0.35">
      <c r="A44" s="14">
        <v>440</v>
      </c>
      <c r="B44" s="15">
        <v>441</v>
      </c>
      <c r="C44" s="15">
        <v>0.2273</v>
      </c>
      <c r="D44" s="15">
        <v>0.52</v>
      </c>
      <c r="E44" s="15">
        <v>0.22389999999999999</v>
      </c>
      <c r="F44" s="15">
        <v>3</v>
      </c>
      <c r="G44" s="15">
        <v>140</v>
      </c>
      <c r="H44" s="16">
        <v>143</v>
      </c>
      <c r="I44" t="str">
        <f t="shared" si="0"/>
        <v>REC-440</v>
      </c>
      <c r="J44" t="str">
        <f t="shared" si="1"/>
        <v>REC</v>
      </c>
      <c r="K44" t="str">
        <f t="shared" si="2"/>
        <v>440</v>
      </c>
      <c r="L44">
        <f t="shared" si="3"/>
        <v>7</v>
      </c>
    </row>
    <row r="45" spans="1:12" x14ac:dyDescent="0.35">
      <c r="A45" s="14">
        <v>270</v>
      </c>
      <c r="B45" s="15">
        <v>271</v>
      </c>
      <c r="C45" s="15">
        <v>0.18179999999999999</v>
      </c>
      <c r="D45" s="15">
        <v>0.47</v>
      </c>
      <c r="E45" s="15">
        <v>0.35820000000000002</v>
      </c>
      <c r="F45" s="15">
        <v>0</v>
      </c>
      <c r="G45" s="15">
        <v>139</v>
      </c>
      <c r="H45" s="16">
        <v>139</v>
      </c>
      <c r="I45" t="str">
        <f t="shared" si="0"/>
        <v>REC-270</v>
      </c>
      <c r="J45" t="str">
        <f t="shared" si="1"/>
        <v>REC</v>
      </c>
      <c r="K45" t="str">
        <f t="shared" si="2"/>
        <v>270</v>
      </c>
      <c r="L45">
        <f t="shared" si="3"/>
        <v>7</v>
      </c>
    </row>
    <row r="46" spans="1:12" x14ac:dyDescent="0.35">
      <c r="A46" s="14">
        <v>286</v>
      </c>
      <c r="B46" s="15">
        <v>287</v>
      </c>
      <c r="C46" s="15">
        <v>0.1212</v>
      </c>
      <c r="D46" s="15">
        <v>0.5</v>
      </c>
      <c r="E46" s="15">
        <v>0.32840000000000003</v>
      </c>
      <c r="F46" s="15">
        <v>2</v>
      </c>
      <c r="G46" s="15">
        <v>137</v>
      </c>
      <c r="H46" s="16">
        <v>139</v>
      </c>
      <c r="I46" t="str">
        <f t="shared" si="0"/>
        <v>REC-286</v>
      </c>
      <c r="J46" t="str">
        <f t="shared" si="1"/>
        <v>REC</v>
      </c>
      <c r="K46" t="str">
        <f t="shared" si="2"/>
        <v>286</v>
      </c>
      <c r="L46">
        <f t="shared" si="3"/>
        <v>7</v>
      </c>
    </row>
    <row r="47" spans="1:12" x14ac:dyDescent="0.35">
      <c r="A47" s="14">
        <v>318</v>
      </c>
      <c r="B47" s="15">
        <v>319</v>
      </c>
      <c r="C47" s="15">
        <v>0.2576</v>
      </c>
      <c r="D47" s="15">
        <v>0.47</v>
      </c>
      <c r="E47" s="15">
        <v>0</v>
      </c>
      <c r="F47" s="15">
        <v>5</v>
      </c>
      <c r="G47" s="15">
        <v>134</v>
      </c>
      <c r="H47" s="16">
        <v>139</v>
      </c>
      <c r="I47" t="str">
        <f t="shared" si="0"/>
        <v>REC-318</v>
      </c>
      <c r="J47" t="str">
        <f t="shared" si="1"/>
        <v>REC</v>
      </c>
      <c r="K47" t="str">
        <f t="shared" si="2"/>
        <v>318</v>
      </c>
      <c r="L47">
        <f t="shared" si="3"/>
        <v>7</v>
      </c>
    </row>
    <row r="48" spans="1:12" x14ac:dyDescent="0.35">
      <c r="A48" s="14">
        <v>271</v>
      </c>
      <c r="B48" s="15">
        <v>272</v>
      </c>
      <c r="C48" s="15">
        <v>0.1515</v>
      </c>
      <c r="D48" s="15">
        <v>0.47</v>
      </c>
      <c r="E48" s="15">
        <v>0.52239999999999998</v>
      </c>
      <c r="F48" s="15">
        <v>2</v>
      </c>
      <c r="G48" s="15">
        <v>135</v>
      </c>
      <c r="H48" s="16">
        <v>137</v>
      </c>
      <c r="I48" t="str">
        <f t="shared" si="0"/>
        <v>REC-271</v>
      </c>
      <c r="J48" t="str">
        <f t="shared" si="1"/>
        <v>REC</v>
      </c>
      <c r="K48" t="str">
        <f t="shared" si="2"/>
        <v>271</v>
      </c>
      <c r="L48">
        <f t="shared" si="3"/>
        <v>7</v>
      </c>
    </row>
    <row r="49" spans="1:12" x14ac:dyDescent="0.35">
      <c r="A49" s="14">
        <v>248</v>
      </c>
      <c r="B49" s="15">
        <v>249</v>
      </c>
      <c r="C49" s="15">
        <v>0.1515</v>
      </c>
      <c r="D49" s="15">
        <v>0.86</v>
      </c>
      <c r="E49" s="15">
        <v>0.22389999999999999</v>
      </c>
      <c r="F49" s="15">
        <v>6</v>
      </c>
      <c r="G49" s="15">
        <v>130</v>
      </c>
      <c r="H49" s="16">
        <v>136</v>
      </c>
      <c r="I49" t="str">
        <f t="shared" si="0"/>
        <v>REC-248</v>
      </c>
      <c r="J49" t="str">
        <f t="shared" si="1"/>
        <v>REC</v>
      </c>
      <c r="K49" t="str">
        <f t="shared" si="2"/>
        <v>248</v>
      </c>
      <c r="L49">
        <f t="shared" si="3"/>
        <v>7</v>
      </c>
    </row>
    <row r="50" spans="1:12" x14ac:dyDescent="0.35">
      <c r="A50" s="14">
        <v>146</v>
      </c>
      <c r="B50" s="15">
        <v>147</v>
      </c>
      <c r="C50" s="15">
        <v>0.18179999999999999</v>
      </c>
      <c r="D50" s="15">
        <v>0.47</v>
      </c>
      <c r="E50" s="15">
        <v>0.29849999999999999</v>
      </c>
      <c r="F50" s="15">
        <v>9</v>
      </c>
      <c r="G50" s="15">
        <v>125</v>
      </c>
      <c r="H50" s="16">
        <v>134</v>
      </c>
      <c r="I50" t="str">
        <f t="shared" si="0"/>
        <v>REC-146</v>
      </c>
      <c r="J50" t="str">
        <f t="shared" si="1"/>
        <v>REC</v>
      </c>
      <c r="K50" t="str">
        <f t="shared" si="2"/>
        <v>146</v>
      </c>
      <c r="L50">
        <f t="shared" si="3"/>
        <v>7</v>
      </c>
    </row>
    <row r="51" spans="1:12" x14ac:dyDescent="0.35">
      <c r="A51" s="14">
        <v>402</v>
      </c>
      <c r="B51" s="15">
        <v>403</v>
      </c>
      <c r="C51" s="15">
        <v>0.2273</v>
      </c>
      <c r="D51" s="15">
        <v>0.8</v>
      </c>
      <c r="E51" s="15">
        <v>0.16420000000000001</v>
      </c>
      <c r="F51" s="15">
        <v>1</v>
      </c>
      <c r="G51" s="15">
        <v>132</v>
      </c>
      <c r="H51" s="16">
        <v>133</v>
      </c>
      <c r="I51" t="str">
        <f t="shared" si="0"/>
        <v>REC-402</v>
      </c>
      <c r="J51" t="str">
        <f t="shared" si="1"/>
        <v>REC</v>
      </c>
      <c r="K51" t="str">
        <f t="shared" si="2"/>
        <v>402</v>
      </c>
      <c r="L51">
        <f t="shared" si="3"/>
        <v>7</v>
      </c>
    </row>
    <row r="52" spans="1:12" x14ac:dyDescent="0.35">
      <c r="A52" s="14">
        <v>110</v>
      </c>
      <c r="B52" s="15">
        <v>111</v>
      </c>
      <c r="C52" s="15">
        <v>0.2576</v>
      </c>
      <c r="D52" s="15">
        <v>0.38</v>
      </c>
      <c r="E52" s="15">
        <v>0.1045</v>
      </c>
      <c r="F52" s="15">
        <v>5</v>
      </c>
      <c r="G52" s="15">
        <v>127</v>
      </c>
      <c r="H52" s="16">
        <v>132</v>
      </c>
      <c r="I52" t="str">
        <f t="shared" si="0"/>
        <v>REC-110</v>
      </c>
      <c r="J52" t="str">
        <f t="shared" si="1"/>
        <v>REC</v>
      </c>
      <c r="K52" t="str">
        <f t="shared" si="2"/>
        <v>110</v>
      </c>
      <c r="L52">
        <f t="shared" si="3"/>
        <v>7</v>
      </c>
    </row>
    <row r="53" spans="1:12" x14ac:dyDescent="0.35">
      <c r="A53" s="14">
        <v>240</v>
      </c>
      <c r="B53" s="15">
        <v>241</v>
      </c>
      <c r="C53" s="15">
        <v>0.19700000000000001</v>
      </c>
      <c r="D53" s="15">
        <v>0.51</v>
      </c>
      <c r="E53" s="15">
        <v>0.16420000000000001</v>
      </c>
      <c r="F53" s="15">
        <v>3</v>
      </c>
      <c r="G53" s="15">
        <v>127</v>
      </c>
      <c r="H53" s="16">
        <v>130</v>
      </c>
      <c r="I53" t="str">
        <f t="shared" si="0"/>
        <v>REC-240</v>
      </c>
      <c r="J53" t="str">
        <f t="shared" si="1"/>
        <v>REC</v>
      </c>
      <c r="K53" t="str">
        <f t="shared" si="2"/>
        <v>240</v>
      </c>
      <c r="L53">
        <f t="shared" si="3"/>
        <v>7</v>
      </c>
    </row>
    <row r="54" spans="1:12" x14ac:dyDescent="0.35">
      <c r="A54" s="14">
        <v>339</v>
      </c>
      <c r="B54" s="15">
        <v>340</v>
      </c>
      <c r="C54" s="15">
        <v>0.31819999999999998</v>
      </c>
      <c r="D54" s="15">
        <v>0.36</v>
      </c>
      <c r="E54" s="15">
        <v>0.19400000000000001</v>
      </c>
      <c r="F54" s="15">
        <v>21</v>
      </c>
      <c r="G54" s="15">
        <v>108</v>
      </c>
      <c r="H54" s="16">
        <v>129</v>
      </c>
      <c r="I54" t="str">
        <f t="shared" si="0"/>
        <v>REC-339</v>
      </c>
      <c r="J54" t="str">
        <f t="shared" si="1"/>
        <v>REC</v>
      </c>
      <c r="K54" t="str">
        <f t="shared" si="2"/>
        <v>339</v>
      </c>
      <c r="L54">
        <f t="shared" si="3"/>
        <v>7</v>
      </c>
    </row>
    <row r="55" spans="1:12" x14ac:dyDescent="0.35">
      <c r="A55" s="14">
        <v>261</v>
      </c>
      <c r="B55" s="15">
        <v>262</v>
      </c>
      <c r="C55" s="15">
        <v>0.16669999999999999</v>
      </c>
      <c r="D55" s="15">
        <v>0.59</v>
      </c>
      <c r="E55" s="15">
        <v>0.16420000000000001</v>
      </c>
      <c r="F55" s="15">
        <v>3</v>
      </c>
      <c r="G55" s="15">
        <v>125</v>
      </c>
      <c r="H55" s="16">
        <v>128</v>
      </c>
      <c r="I55" t="str">
        <f t="shared" si="0"/>
        <v>REC-261</v>
      </c>
      <c r="J55" t="str">
        <f t="shared" si="1"/>
        <v>REC</v>
      </c>
      <c r="K55" t="str">
        <f t="shared" si="2"/>
        <v>261</v>
      </c>
      <c r="L55">
        <f t="shared" si="3"/>
        <v>7</v>
      </c>
    </row>
    <row r="56" spans="1:12" x14ac:dyDescent="0.35">
      <c r="A56" s="14">
        <v>340</v>
      </c>
      <c r="B56" s="15">
        <v>341</v>
      </c>
      <c r="C56" s="15">
        <v>0.33329999999999999</v>
      </c>
      <c r="D56" s="15">
        <v>0.34</v>
      </c>
      <c r="E56" s="15">
        <v>0.19400000000000001</v>
      </c>
      <c r="F56" s="15">
        <v>33</v>
      </c>
      <c r="G56" s="15">
        <v>95</v>
      </c>
      <c r="H56" s="16">
        <v>128</v>
      </c>
      <c r="I56" t="str">
        <f t="shared" si="0"/>
        <v>REC-340</v>
      </c>
      <c r="J56" t="str">
        <f t="shared" si="1"/>
        <v>REC</v>
      </c>
      <c r="K56" t="str">
        <f t="shared" si="2"/>
        <v>340</v>
      </c>
      <c r="L56">
        <f t="shared" si="3"/>
        <v>7</v>
      </c>
    </row>
    <row r="57" spans="1:12" x14ac:dyDescent="0.35">
      <c r="A57" s="14">
        <v>451</v>
      </c>
      <c r="B57" s="15">
        <v>452</v>
      </c>
      <c r="C57" s="15">
        <v>0.2424</v>
      </c>
      <c r="D57" s="15">
        <v>0.6</v>
      </c>
      <c r="E57" s="15">
        <v>0.28360000000000002</v>
      </c>
      <c r="F57" s="15">
        <v>2</v>
      </c>
      <c r="G57" s="15">
        <v>124</v>
      </c>
      <c r="H57" s="16">
        <v>126</v>
      </c>
      <c r="I57" t="str">
        <f t="shared" si="0"/>
        <v>REC-451</v>
      </c>
      <c r="J57" t="str">
        <f t="shared" si="1"/>
        <v>REC</v>
      </c>
      <c r="K57" t="str">
        <f t="shared" si="2"/>
        <v>451</v>
      </c>
      <c r="L57">
        <f t="shared" si="3"/>
        <v>7</v>
      </c>
    </row>
    <row r="58" spans="1:12" x14ac:dyDescent="0.35">
      <c r="A58" s="14">
        <v>401</v>
      </c>
      <c r="B58" s="15">
        <v>402</v>
      </c>
      <c r="C58" s="15">
        <v>0.2273</v>
      </c>
      <c r="D58" s="15">
        <v>0.82</v>
      </c>
      <c r="E58" s="15">
        <v>0.19400000000000001</v>
      </c>
      <c r="F58" s="15">
        <v>1</v>
      </c>
      <c r="G58" s="15">
        <v>124</v>
      </c>
      <c r="H58" s="16">
        <v>125</v>
      </c>
      <c r="I58" t="str">
        <f t="shared" si="0"/>
        <v>REC-401</v>
      </c>
      <c r="J58" t="str">
        <f t="shared" si="1"/>
        <v>REC</v>
      </c>
      <c r="K58" t="str">
        <f t="shared" si="2"/>
        <v>401</v>
      </c>
      <c r="L58">
        <f t="shared" si="3"/>
        <v>7</v>
      </c>
    </row>
    <row r="59" spans="1:12" x14ac:dyDescent="0.35">
      <c r="A59" s="14">
        <v>155</v>
      </c>
      <c r="B59" s="15">
        <v>156</v>
      </c>
      <c r="C59" s="15">
        <v>0.2273</v>
      </c>
      <c r="D59" s="15">
        <v>0.4</v>
      </c>
      <c r="E59" s="15">
        <v>8.9599999999999999E-2</v>
      </c>
      <c r="F59" s="15">
        <v>7</v>
      </c>
      <c r="G59" s="15">
        <v>116</v>
      </c>
      <c r="H59" s="16">
        <v>123</v>
      </c>
      <c r="I59" t="str">
        <f t="shared" si="0"/>
        <v>REC-155</v>
      </c>
      <c r="J59" t="str">
        <f t="shared" si="1"/>
        <v>REC</v>
      </c>
      <c r="K59" t="str">
        <f t="shared" si="2"/>
        <v>155</v>
      </c>
      <c r="L59">
        <f t="shared" si="3"/>
        <v>7</v>
      </c>
    </row>
    <row r="60" spans="1:12" x14ac:dyDescent="0.35">
      <c r="A60" s="14">
        <v>123</v>
      </c>
      <c r="B60" s="15">
        <v>124</v>
      </c>
      <c r="C60" s="15">
        <v>0.2424</v>
      </c>
      <c r="D60" s="15">
        <v>0.51</v>
      </c>
      <c r="E60" s="15">
        <v>0</v>
      </c>
      <c r="F60" s="15">
        <v>6</v>
      </c>
      <c r="G60" s="15">
        <v>116</v>
      </c>
      <c r="H60" s="16">
        <v>122</v>
      </c>
      <c r="I60" t="str">
        <f t="shared" si="0"/>
        <v>REC-123</v>
      </c>
      <c r="J60" t="str">
        <f t="shared" si="1"/>
        <v>REC</v>
      </c>
      <c r="K60" t="str">
        <f t="shared" si="2"/>
        <v>123</v>
      </c>
      <c r="L60">
        <f t="shared" si="3"/>
        <v>7</v>
      </c>
    </row>
    <row r="61" spans="1:12" x14ac:dyDescent="0.35">
      <c r="A61" s="14">
        <v>473</v>
      </c>
      <c r="B61" s="15">
        <v>474</v>
      </c>
      <c r="C61" s="15">
        <v>0.1212</v>
      </c>
      <c r="D61" s="15">
        <v>0.3</v>
      </c>
      <c r="E61" s="15">
        <v>0.25369999999999998</v>
      </c>
      <c r="F61" s="15">
        <v>1</v>
      </c>
      <c r="G61" s="15">
        <v>119</v>
      </c>
      <c r="H61" s="16">
        <v>120</v>
      </c>
      <c r="I61" t="str">
        <f t="shared" si="0"/>
        <v>REC-473</v>
      </c>
      <c r="J61" t="str">
        <f t="shared" si="1"/>
        <v>REC</v>
      </c>
      <c r="K61" t="str">
        <f t="shared" si="2"/>
        <v>473</v>
      </c>
      <c r="L61">
        <f t="shared" si="3"/>
        <v>7</v>
      </c>
    </row>
    <row r="62" spans="1:12" x14ac:dyDescent="0.35">
      <c r="A62" s="14">
        <v>567</v>
      </c>
      <c r="B62" s="15">
        <v>568</v>
      </c>
      <c r="C62" s="15">
        <v>0.2273</v>
      </c>
      <c r="D62" s="15">
        <v>0.65</v>
      </c>
      <c r="E62" s="15">
        <v>0.19400000000000001</v>
      </c>
      <c r="F62" s="15">
        <v>16</v>
      </c>
      <c r="G62" s="15">
        <v>103</v>
      </c>
      <c r="H62" s="16">
        <v>119</v>
      </c>
      <c r="I62" t="str">
        <f t="shared" si="0"/>
        <v>REC-567</v>
      </c>
      <c r="J62" t="str">
        <f t="shared" si="1"/>
        <v>REC</v>
      </c>
      <c r="K62" t="str">
        <f t="shared" si="2"/>
        <v>567</v>
      </c>
      <c r="L62">
        <f t="shared" si="3"/>
        <v>7</v>
      </c>
    </row>
    <row r="63" spans="1:12" x14ac:dyDescent="0.35">
      <c r="A63" s="14">
        <v>361</v>
      </c>
      <c r="B63" s="15">
        <v>362</v>
      </c>
      <c r="C63" s="15">
        <v>0.2273</v>
      </c>
      <c r="D63" s="15">
        <v>0.35</v>
      </c>
      <c r="E63" s="15">
        <v>0.29849999999999999</v>
      </c>
      <c r="F63" s="15">
        <v>23</v>
      </c>
      <c r="G63" s="15">
        <v>95</v>
      </c>
      <c r="H63" s="16">
        <v>118</v>
      </c>
      <c r="I63" t="str">
        <f t="shared" si="0"/>
        <v>REC-361</v>
      </c>
      <c r="J63" t="str">
        <f t="shared" si="1"/>
        <v>REC</v>
      </c>
      <c r="K63" t="str">
        <f t="shared" si="2"/>
        <v>361</v>
      </c>
      <c r="L63">
        <f t="shared" si="3"/>
        <v>7</v>
      </c>
    </row>
    <row r="64" spans="1:12" x14ac:dyDescent="0.35">
      <c r="A64" s="14">
        <v>338</v>
      </c>
      <c r="B64" s="15">
        <v>339</v>
      </c>
      <c r="C64" s="15">
        <v>0.28789999999999999</v>
      </c>
      <c r="D64" s="15">
        <v>0.39</v>
      </c>
      <c r="E64" s="15">
        <v>0.28360000000000002</v>
      </c>
      <c r="F64" s="15">
        <v>26</v>
      </c>
      <c r="G64" s="15">
        <v>92</v>
      </c>
      <c r="H64" s="16">
        <v>118</v>
      </c>
      <c r="I64" t="str">
        <f t="shared" si="0"/>
        <v>REC-338</v>
      </c>
      <c r="J64" t="str">
        <f t="shared" si="1"/>
        <v>REC</v>
      </c>
      <c r="K64" t="str">
        <f t="shared" si="2"/>
        <v>338</v>
      </c>
      <c r="L64">
        <f t="shared" si="3"/>
        <v>7</v>
      </c>
    </row>
    <row r="65" spans="1:12" x14ac:dyDescent="0.35">
      <c r="A65" s="14">
        <v>309</v>
      </c>
      <c r="B65" s="15">
        <v>310</v>
      </c>
      <c r="C65" s="15">
        <v>0.1515</v>
      </c>
      <c r="D65" s="15">
        <v>0.69</v>
      </c>
      <c r="E65" s="15">
        <v>0.1343</v>
      </c>
      <c r="F65" s="15">
        <v>0</v>
      </c>
      <c r="G65" s="15">
        <v>117</v>
      </c>
      <c r="H65" s="16">
        <v>117</v>
      </c>
      <c r="I65" t="str">
        <f t="shared" si="0"/>
        <v>REC-309</v>
      </c>
      <c r="J65" t="str">
        <f t="shared" si="1"/>
        <v>REC</v>
      </c>
      <c r="K65" t="str">
        <f t="shared" si="2"/>
        <v>309</v>
      </c>
      <c r="L65">
        <f t="shared" si="3"/>
        <v>7</v>
      </c>
    </row>
    <row r="66" spans="1:12" x14ac:dyDescent="0.35">
      <c r="A66" s="14">
        <v>563</v>
      </c>
      <c r="B66" s="15">
        <v>564</v>
      </c>
      <c r="C66" s="15">
        <v>0.34849999999999998</v>
      </c>
      <c r="D66" s="15">
        <v>0.42</v>
      </c>
      <c r="E66" s="15">
        <v>0</v>
      </c>
      <c r="F66" s="15">
        <v>14</v>
      </c>
      <c r="G66" s="15">
        <v>102</v>
      </c>
      <c r="H66" s="16">
        <v>116</v>
      </c>
      <c r="I66" t="str">
        <f t="shared" si="0"/>
        <v>REC-563</v>
      </c>
      <c r="J66" t="str">
        <f t="shared" si="1"/>
        <v>REC</v>
      </c>
      <c r="K66" t="str">
        <f t="shared" si="2"/>
        <v>563</v>
      </c>
      <c r="L66">
        <f t="shared" si="3"/>
        <v>7</v>
      </c>
    </row>
    <row r="67" spans="1:12" x14ac:dyDescent="0.35">
      <c r="A67" s="14">
        <v>513</v>
      </c>
      <c r="B67" s="15">
        <v>514</v>
      </c>
      <c r="C67" s="15">
        <v>0.1212</v>
      </c>
      <c r="D67" s="15">
        <v>0.37</v>
      </c>
      <c r="E67" s="15">
        <v>0.4627</v>
      </c>
      <c r="F67" s="15">
        <v>24</v>
      </c>
      <c r="G67" s="15">
        <v>92</v>
      </c>
      <c r="H67" s="16">
        <v>116</v>
      </c>
      <c r="I67" t="str">
        <f t="shared" ref="I67:I130" si="4">"REC-"&amp;TEXT(A67,"000")</f>
        <v>REC-513</v>
      </c>
      <c r="J67" t="str">
        <f t="shared" ref="J67:J130" si="5">LEFT(I67,3)</f>
        <v>REC</v>
      </c>
      <c r="K67" t="str">
        <f t="shared" ref="K67:K130" si="6">RIGHT(I67,3)</f>
        <v>513</v>
      </c>
      <c r="L67">
        <f t="shared" ref="L67:L130" si="7">LEN(I67)</f>
        <v>7</v>
      </c>
    </row>
    <row r="68" spans="1:12" x14ac:dyDescent="0.35">
      <c r="A68" s="14">
        <v>100</v>
      </c>
      <c r="B68" s="15">
        <v>101</v>
      </c>
      <c r="C68" s="15">
        <v>0.19700000000000001</v>
      </c>
      <c r="D68" s="15">
        <v>0.37</v>
      </c>
      <c r="E68" s="15">
        <v>0.32840000000000003</v>
      </c>
      <c r="F68" s="15">
        <v>6</v>
      </c>
      <c r="G68" s="15">
        <v>109</v>
      </c>
      <c r="H68" s="16">
        <v>115</v>
      </c>
      <c r="I68" t="str">
        <f t="shared" si="4"/>
        <v>REC-100</v>
      </c>
      <c r="J68" t="str">
        <f t="shared" si="5"/>
        <v>REC</v>
      </c>
      <c r="K68" t="str">
        <f t="shared" si="6"/>
        <v>100</v>
      </c>
      <c r="L68">
        <f t="shared" si="7"/>
        <v>7</v>
      </c>
    </row>
    <row r="69" spans="1:12" x14ac:dyDescent="0.35">
      <c r="A69" s="14">
        <v>363</v>
      </c>
      <c r="B69" s="15">
        <v>364</v>
      </c>
      <c r="C69" s="15">
        <v>0.2424</v>
      </c>
      <c r="D69" s="15">
        <v>0.38</v>
      </c>
      <c r="E69" s="15">
        <v>0.25369999999999998</v>
      </c>
      <c r="F69" s="15">
        <v>35</v>
      </c>
      <c r="G69" s="15">
        <v>78</v>
      </c>
      <c r="H69" s="16">
        <v>113</v>
      </c>
      <c r="I69" t="str">
        <f t="shared" si="4"/>
        <v>REC-363</v>
      </c>
      <c r="J69" t="str">
        <f t="shared" si="5"/>
        <v>REC</v>
      </c>
      <c r="K69" t="str">
        <f t="shared" si="6"/>
        <v>363</v>
      </c>
      <c r="L69">
        <f t="shared" si="7"/>
        <v>7</v>
      </c>
    </row>
    <row r="70" spans="1:12" x14ac:dyDescent="0.35">
      <c r="A70" s="14">
        <v>87</v>
      </c>
      <c r="B70" s="15">
        <v>88</v>
      </c>
      <c r="C70" s="15">
        <v>0.2576</v>
      </c>
      <c r="D70" s="15">
        <v>0.48</v>
      </c>
      <c r="E70" s="15">
        <v>0.1045</v>
      </c>
      <c r="F70" s="15">
        <v>2</v>
      </c>
      <c r="G70" s="15">
        <v>110</v>
      </c>
      <c r="H70" s="16">
        <v>112</v>
      </c>
      <c r="I70" t="str">
        <f t="shared" si="4"/>
        <v>REC-087</v>
      </c>
      <c r="J70" t="str">
        <f t="shared" si="5"/>
        <v>REC</v>
      </c>
      <c r="K70" t="str">
        <f t="shared" si="6"/>
        <v>087</v>
      </c>
      <c r="L70">
        <f t="shared" si="7"/>
        <v>7</v>
      </c>
    </row>
    <row r="71" spans="1:12" x14ac:dyDescent="0.35">
      <c r="A71" s="14">
        <v>133</v>
      </c>
      <c r="B71" s="15">
        <v>134</v>
      </c>
      <c r="C71" s="15">
        <v>0.2576</v>
      </c>
      <c r="D71" s="15">
        <v>0.55000000000000004</v>
      </c>
      <c r="E71" s="15">
        <v>8.9599999999999999E-2</v>
      </c>
      <c r="F71" s="15">
        <v>3</v>
      </c>
      <c r="G71" s="15">
        <v>109</v>
      </c>
      <c r="H71" s="16">
        <v>112</v>
      </c>
      <c r="I71" t="str">
        <f t="shared" si="4"/>
        <v>REC-133</v>
      </c>
      <c r="J71" t="str">
        <f t="shared" si="5"/>
        <v>REC</v>
      </c>
      <c r="K71" t="str">
        <f t="shared" si="6"/>
        <v>133</v>
      </c>
      <c r="L71">
        <f t="shared" si="7"/>
        <v>7</v>
      </c>
    </row>
    <row r="72" spans="1:12" x14ac:dyDescent="0.35">
      <c r="A72" s="14">
        <v>426</v>
      </c>
      <c r="B72" s="15">
        <v>427</v>
      </c>
      <c r="C72" s="15">
        <v>0.28789999999999999</v>
      </c>
      <c r="D72" s="15">
        <v>0.56999999999999995</v>
      </c>
      <c r="E72" s="15">
        <v>0.41789999999999999</v>
      </c>
      <c r="F72" s="15">
        <v>4</v>
      </c>
      <c r="G72" s="15">
        <v>108</v>
      </c>
      <c r="H72" s="16">
        <v>112</v>
      </c>
      <c r="I72" t="str">
        <f t="shared" si="4"/>
        <v>REC-426</v>
      </c>
      <c r="J72" t="str">
        <f t="shared" si="5"/>
        <v>REC</v>
      </c>
      <c r="K72" t="str">
        <f t="shared" si="6"/>
        <v>426</v>
      </c>
      <c r="L72">
        <f t="shared" si="7"/>
        <v>7</v>
      </c>
    </row>
    <row r="73" spans="1:12" x14ac:dyDescent="0.35">
      <c r="A73" s="14">
        <v>64</v>
      </c>
      <c r="B73" s="15">
        <v>65</v>
      </c>
      <c r="C73" s="15">
        <v>0.2576</v>
      </c>
      <c r="D73" s="15">
        <v>0.47</v>
      </c>
      <c r="E73" s="15">
        <v>0</v>
      </c>
      <c r="F73" s="15">
        <v>8</v>
      </c>
      <c r="G73" s="15">
        <v>102</v>
      </c>
      <c r="H73" s="16">
        <v>110</v>
      </c>
      <c r="I73" t="str">
        <f t="shared" si="4"/>
        <v>REC-064</v>
      </c>
      <c r="J73" t="str">
        <f t="shared" si="5"/>
        <v>REC</v>
      </c>
      <c r="K73" t="str">
        <f t="shared" si="6"/>
        <v>064</v>
      </c>
      <c r="L73">
        <f t="shared" si="7"/>
        <v>7</v>
      </c>
    </row>
    <row r="74" spans="1:12" x14ac:dyDescent="0.35">
      <c r="A74" s="14">
        <v>515</v>
      </c>
      <c r="B74" s="15">
        <v>516</v>
      </c>
      <c r="C74" s="15">
        <v>0.13639999999999999</v>
      </c>
      <c r="D74" s="15">
        <v>0.28000000000000003</v>
      </c>
      <c r="E74" s="15">
        <v>0.35820000000000002</v>
      </c>
      <c r="F74" s="15">
        <v>17</v>
      </c>
      <c r="G74" s="15">
        <v>93</v>
      </c>
      <c r="H74" s="16">
        <v>110</v>
      </c>
      <c r="I74" t="str">
        <f t="shared" si="4"/>
        <v>REC-515</v>
      </c>
      <c r="J74" t="str">
        <f t="shared" si="5"/>
        <v>REC</v>
      </c>
      <c r="K74" t="str">
        <f t="shared" si="6"/>
        <v>515</v>
      </c>
      <c r="L74">
        <f t="shared" si="7"/>
        <v>7</v>
      </c>
    </row>
    <row r="75" spans="1:12" x14ac:dyDescent="0.35">
      <c r="A75" s="14">
        <v>15</v>
      </c>
      <c r="B75" s="15">
        <v>16</v>
      </c>
      <c r="C75" s="15">
        <v>0.43940000000000001</v>
      </c>
      <c r="D75" s="15">
        <v>0.77</v>
      </c>
      <c r="E75" s="15">
        <v>0.29849999999999999</v>
      </c>
      <c r="F75" s="15">
        <v>40</v>
      </c>
      <c r="G75" s="15">
        <v>70</v>
      </c>
      <c r="H75" s="16">
        <v>110</v>
      </c>
      <c r="I75" t="str">
        <f t="shared" si="4"/>
        <v>REC-015</v>
      </c>
      <c r="J75" t="str">
        <f t="shared" si="5"/>
        <v>REC</v>
      </c>
      <c r="K75" t="str">
        <f t="shared" si="6"/>
        <v>015</v>
      </c>
      <c r="L75">
        <f t="shared" si="7"/>
        <v>7</v>
      </c>
    </row>
    <row r="76" spans="1:12" x14ac:dyDescent="0.35">
      <c r="A76" s="14">
        <v>416</v>
      </c>
      <c r="B76" s="15">
        <v>417</v>
      </c>
      <c r="C76" s="15">
        <v>0.2576</v>
      </c>
      <c r="D76" s="15">
        <v>0.93</v>
      </c>
      <c r="E76" s="15">
        <v>0.1045</v>
      </c>
      <c r="F76" s="15">
        <v>2</v>
      </c>
      <c r="G76" s="15">
        <v>107</v>
      </c>
      <c r="H76" s="16">
        <v>109</v>
      </c>
      <c r="I76" t="str">
        <f t="shared" si="4"/>
        <v>REC-416</v>
      </c>
      <c r="J76" t="str">
        <f t="shared" si="5"/>
        <v>REC</v>
      </c>
      <c r="K76" t="str">
        <f t="shared" si="6"/>
        <v>416</v>
      </c>
      <c r="L76">
        <f t="shared" si="7"/>
        <v>7</v>
      </c>
    </row>
    <row r="77" spans="1:12" x14ac:dyDescent="0.35">
      <c r="A77" s="14">
        <v>554</v>
      </c>
      <c r="B77" s="15">
        <v>555</v>
      </c>
      <c r="C77" s="15">
        <v>0.1515</v>
      </c>
      <c r="D77" s="15">
        <v>0.74</v>
      </c>
      <c r="E77" s="15">
        <v>0.22389999999999999</v>
      </c>
      <c r="F77" s="15">
        <v>5</v>
      </c>
      <c r="G77" s="15">
        <v>103</v>
      </c>
      <c r="H77" s="16">
        <v>108</v>
      </c>
      <c r="I77" t="str">
        <f t="shared" si="4"/>
        <v>REC-554</v>
      </c>
      <c r="J77" t="str">
        <f t="shared" si="5"/>
        <v>REC</v>
      </c>
      <c r="K77" t="str">
        <f t="shared" si="6"/>
        <v>554</v>
      </c>
      <c r="L77">
        <f t="shared" si="7"/>
        <v>7</v>
      </c>
    </row>
    <row r="78" spans="1:12" x14ac:dyDescent="0.35">
      <c r="A78" s="14">
        <v>543</v>
      </c>
      <c r="B78" s="15">
        <v>544</v>
      </c>
      <c r="C78" s="15">
        <v>0.1515</v>
      </c>
      <c r="D78" s="15">
        <v>0.54</v>
      </c>
      <c r="E78" s="15">
        <v>0.16420000000000001</v>
      </c>
      <c r="F78" s="15">
        <v>5</v>
      </c>
      <c r="G78" s="15">
        <v>101</v>
      </c>
      <c r="H78" s="16">
        <v>106</v>
      </c>
      <c r="I78" t="str">
        <f t="shared" si="4"/>
        <v>REC-543</v>
      </c>
      <c r="J78" t="str">
        <f t="shared" si="5"/>
        <v>REC</v>
      </c>
      <c r="K78" t="str">
        <f t="shared" si="6"/>
        <v>543</v>
      </c>
      <c r="L78">
        <f t="shared" si="7"/>
        <v>7</v>
      </c>
    </row>
    <row r="79" spans="1:12" x14ac:dyDescent="0.35">
      <c r="A79" s="14">
        <v>559</v>
      </c>
      <c r="B79" s="15">
        <v>560</v>
      </c>
      <c r="C79" s="15">
        <v>0.28789999999999999</v>
      </c>
      <c r="D79" s="15">
        <v>0.56000000000000005</v>
      </c>
      <c r="E79" s="15">
        <v>8.9599999999999999E-2</v>
      </c>
      <c r="F79" s="15">
        <v>21</v>
      </c>
      <c r="G79" s="15">
        <v>85</v>
      </c>
      <c r="H79" s="16">
        <v>106</v>
      </c>
      <c r="I79" t="str">
        <f t="shared" si="4"/>
        <v>REC-559</v>
      </c>
      <c r="J79" t="str">
        <f t="shared" si="5"/>
        <v>REC</v>
      </c>
      <c r="K79" t="str">
        <f t="shared" si="6"/>
        <v>559</v>
      </c>
      <c r="L79">
        <f t="shared" si="7"/>
        <v>7</v>
      </c>
    </row>
    <row r="80" spans="1:12" x14ac:dyDescent="0.35">
      <c r="A80" s="14">
        <v>14</v>
      </c>
      <c r="B80" s="15">
        <v>15</v>
      </c>
      <c r="C80" s="15">
        <v>0.45450000000000002</v>
      </c>
      <c r="D80" s="15">
        <v>0.72</v>
      </c>
      <c r="E80" s="15">
        <v>0.28360000000000002</v>
      </c>
      <c r="F80" s="15">
        <v>35</v>
      </c>
      <c r="G80" s="15">
        <v>71</v>
      </c>
      <c r="H80" s="16">
        <v>106</v>
      </c>
      <c r="I80" t="str">
        <f t="shared" si="4"/>
        <v>REC-014</v>
      </c>
      <c r="J80" t="str">
        <f t="shared" si="5"/>
        <v>REC</v>
      </c>
      <c r="K80" t="str">
        <f t="shared" si="6"/>
        <v>014</v>
      </c>
      <c r="L80">
        <f t="shared" si="7"/>
        <v>7</v>
      </c>
    </row>
    <row r="81" spans="1:12" x14ac:dyDescent="0.35">
      <c r="A81" s="14">
        <v>365</v>
      </c>
      <c r="B81" s="15">
        <v>366</v>
      </c>
      <c r="C81" s="15">
        <v>0.21210000000000001</v>
      </c>
      <c r="D81" s="15">
        <v>0.37</v>
      </c>
      <c r="E81" s="15">
        <v>0.25369999999999998</v>
      </c>
      <c r="F81" s="15">
        <v>23</v>
      </c>
      <c r="G81" s="15">
        <v>82</v>
      </c>
      <c r="H81" s="16">
        <v>105</v>
      </c>
      <c r="I81" t="str">
        <f t="shared" si="4"/>
        <v>REC-365</v>
      </c>
      <c r="J81" t="str">
        <f t="shared" si="5"/>
        <v>REC</v>
      </c>
      <c r="K81" t="str">
        <f t="shared" si="6"/>
        <v>365</v>
      </c>
      <c r="L81">
        <f t="shared" si="7"/>
        <v>7</v>
      </c>
    </row>
    <row r="82" spans="1:12" x14ac:dyDescent="0.35">
      <c r="A82" s="14">
        <v>589</v>
      </c>
      <c r="B82" s="15">
        <v>590</v>
      </c>
      <c r="C82" s="15">
        <v>0.2273</v>
      </c>
      <c r="D82" s="15">
        <v>0.69</v>
      </c>
      <c r="E82" s="15">
        <v>8.9599999999999999E-2</v>
      </c>
      <c r="F82" s="15">
        <v>3</v>
      </c>
      <c r="G82" s="15">
        <v>101</v>
      </c>
      <c r="H82" s="16">
        <v>104</v>
      </c>
      <c r="I82" t="str">
        <f t="shared" si="4"/>
        <v>REC-589</v>
      </c>
      <c r="J82" t="str">
        <f t="shared" si="5"/>
        <v>REC</v>
      </c>
      <c r="K82" t="str">
        <f t="shared" si="6"/>
        <v>589</v>
      </c>
      <c r="L82">
        <f t="shared" si="7"/>
        <v>7</v>
      </c>
    </row>
    <row r="83" spans="1:12" x14ac:dyDescent="0.35">
      <c r="A83" s="14">
        <v>423</v>
      </c>
      <c r="B83" s="15">
        <v>424</v>
      </c>
      <c r="C83" s="15">
        <v>0.39389999999999997</v>
      </c>
      <c r="D83" s="15">
        <v>0.57999999999999996</v>
      </c>
      <c r="E83" s="15">
        <v>0.3881</v>
      </c>
      <c r="F83" s="15">
        <v>10</v>
      </c>
      <c r="G83" s="15">
        <v>94</v>
      </c>
      <c r="H83" s="16">
        <v>104</v>
      </c>
      <c r="I83" t="str">
        <f t="shared" si="4"/>
        <v>REC-423</v>
      </c>
      <c r="J83" t="str">
        <f t="shared" si="5"/>
        <v>REC</v>
      </c>
      <c r="K83" t="str">
        <f t="shared" si="6"/>
        <v>423</v>
      </c>
      <c r="L83">
        <f t="shared" si="7"/>
        <v>7</v>
      </c>
    </row>
    <row r="84" spans="1:12" x14ac:dyDescent="0.35">
      <c r="A84" s="14">
        <v>360</v>
      </c>
      <c r="B84" s="15">
        <v>361</v>
      </c>
      <c r="C84" s="15">
        <v>0.21210000000000001</v>
      </c>
      <c r="D84" s="15">
        <v>0.41</v>
      </c>
      <c r="E84" s="15">
        <v>0.28360000000000002</v>
      </c>
      <c r="F84" s="15">
        <v>29</v>
      </c>
      <c r="G84" s="15">
        <v>75</v>
      </c>
      <c r="H84" s="16">
        <v>104</v>
      </c>
      <c r="I84" t="str">
        <f t="shared" si="4"/>
        <v>REC-360</v>
      </c>
      <c r="J84" t="str">
        <f t="shared" si="5"/>
        <v>REC</v>
      </c>
      <c r="K84" t="str">
        <f t="shared" si="6"/>
        <v>360</v>
      </c>
      <c r="L84">
        <f t="shared" si="7"/>
        <v>7</v>
      </c>
    </row>
    <row r="85" spans="1:12" x14ac:dyDescent="0.35">
      <c r="A85" s="14">
        <v>493</v>
      </c>
      <c r="B85" s="15">
        <v>494</v>
      </c>
      <c r="C85" s="15">
        <v>0.1515</v>
      </c>
      <c r="D85" s="15">
        <v>0.28000000000000003</v>
      </c>
      <c r="E85" s="15">
        <v>0</v>
      </c>
      <c r="F85" s="15">
        <v>10</v>
      </c>
      <c r="G85" s="15">
        <v>93</v>
      </c>
      <c r="H85" s="16">
        <v>103</v>
      </c>
      <c r="I85" t="str">
        <f t="shared" si="4"/>
        <v>REC-493</v>
      </c>
      <c r="J85" t="str">
        <f t="shared" si="5"/>
        <v>REC</v>
      </c>
      <c r="K85" t="str">
        <f t="shared" si="6"/>
        <v>493</v>
      </c>
      <c r="L85">
        <f t="shared" si="7"/>
        <v>7</v>
      </c>
    </row>
    <row r="86" spans="1:12" x14ac:dyDescent="0.35">
      <c r="A86" s="14">
        <v>533</v>
      </c>
      <c r="B86" s="15">
        <v>534</v>
      </c>
      <c r="C86" s="15">
        <v>0.1515</v>
      </c>
      <c r="D86" s="15">
        <v>0.41</v>
      </c>
      <c r="E86" s="15">
        <v>0</v>
      </c>
      <c r="F86" s="15">
        <v>4</v>
      </c>
      <c r="G86" s="15">
        <v>98</v>
      </c>
      <c r="H86" s="16">
        <v>102</v>
      </c>
      <c r="I86" t="str">
        <f t="shared" si="4"/>
        <v>REC-533</v>
      </c>
      <c r="J86" t="str">
        <f t="shared" si="5"/>
        <v>REC</v>
      </c>
      <c r="K86" t="str">
        <f t="shared" si="6"/>
        <v>533</v>
      </c>
      <c r="L86">
        <f t="shared" si="7"/>
        <v>7</v>
      </c>
    </row>
    <row r="87" spans="1:12" x14ac:dyDescent="0.35">
      <c r="A87" s="14">
        <v>174</v>
      </c>
      <c r="B87" s="15">
        <v>175</v>
      </c>
      <c r="C87" s="15">
        <v>0.18179999999999999</v>
      </c>
      <c r="D87" s="15">
        <v>0.44</v>
      </c>
      <c r="E87" s="15">
        <v>0.32840000000000003</v>
      </c>
      <c r="F87" s="15">
        <v>7</v>
      </c>
      <c r="G87" s="15">
        <v>95</v>
      </c>
      <c r="H87" s="16">
        <v>102</v>
      </c>
      <c r="I87" t="str">
        <f t="shared" si="4"/>
        <v>REC-174</v>
      </c>
      <c r="J87" t="str">
        <f t="shared" si="5"/>
        <v>REC</v>
      </c>
      <c r="K87" t="str">
        <f t="shared" si="6"/>
        <v>174</v>
      </c>
      <c r="L87">
        <f t="shared" si="7"/>
        <v>7</v>
      </c>
    </row>
    <row r="88" spans="1:12" x14ac:dyDescent="0.35">
      <c r="A88" s="14">
        <v>438</v>
      </c>
      <c r="B88" s="15">
        <v>439</v>
      </c>
      <c r="C88" s="15">
        <v>0.21210000000000001</v>
      </c>
      <c r="D88" s="15">
        <v>0.55000000000000004</v>
      </c>
      <c r="E88" s="15">
        <v>0.22389999999999999</v>
      </c>
      <c r="F88" s="15">
        <v>1</v>
      </c>
      <c r="G88" s="15">
        <v>100</v>
      </c>
      <c r="H88" s="16">
        <v>101</v>
      </c>
      <c r="I88" t="str">
        <f t="shared" si="4"/>
        <v>REC-438</v>
      </c>
      <c r="J88" t="str">
        <f t="shared" si="5"/>
        <v>REC</v>
      </c>
      <c r="K88" t="str">
        <f t="shared" si="6"/>
        <v>438</v>
      </c>
      <c r="L88">
        <f t="shared" si="7"/>
        <v>7</v>
      </c>
    </row>
    <row r="89" spans="1:12" x14ac:dyDescent="0.35">
      <c r="A89" s="14">
        <v>603</v>
      </c>
      <c r="B89" s="15">
        <v>604</v>
      </c>
      <c r="C89" s="15">
        <v>0.21210000000000001</v>
      </c>
      <c r="D89" s="15">
        <v>0.86</v>
      </c>
      <c r="E89" s="15">
        <v>8.9599999999999999E-2</v>
      </c>
      <c r="F89" s="15">
        <v>6</v>
      </c>
      <c r="G89" s="15">
        <v>95</v>
      </c>
      <c r="H89" s="16">
        <v>101</v>
      </c>
      <c r="I89" t="str">
        <f t="shared" si="4"/>
        <v>REC-603</v>
      </c>
      <c r="J89" t="str">
        <f t="shared" si="5"/>
        <v>REC</v>
      </c>
      <c r="K89" t="str">
        <f t="shared" si="6"/>
        <v>603</v>
      </c>
      <c r="L89">
        <f t="shared" si="7"/>
        <v>7</v>
      </c>
    </row>
    <row r="90" spans="1:12" x14ac:dyDescent="0.35">
      <c r="A90" s="14">
        <v>337</v>
      </c>
      <c r="B90" s="15">
        <v>338</v>
      </c>
      <c r="C90" s="15">
        <v>0.2576</v>
      </c>
      <c r="D90" s="15">
        <v>0.38</v>
      </c>
      <c r="E90" s="15">
        <v>0.29849999999999999</v>
      </c>
      <c r="F90" s="15">
        <v>21</v>
      </c>
      <c r="G90" s="15">
        <v>80</v>
      </c>
      <c r="H90" s="16">
        <v>101</v>
      </c>
      <c r="I90" t="str">
        <f t="shared" si="4"/>
        <v>REC-337</v>
      </c>
      <c r="J90" t="str">
        <f t="shared" si="5"/>
        <v>REC</v>
      </c>
      <c r="K90" t="str">
        <f t="shared" si="6"/>
        <v>337</v>
      </c>
      <c r="L90">
        <f t="shared" si="7"/>
        <v>7</v>
      </c>
    </row>
    <row r="91" spans="1:12" x14ac:dyDescent="0.35">
      <c r="A91" s="14">
        <v>77</v>
      </c>
      <c r="B91" s="15">
        <v>78</v>
      </c>
      <c r="C91" s="15">
        <v>0.1515</v>
      </c>
      <c r="D91" s="15">
        <v>0.64</v>
      </c>
      <c r="E91" s="15">
        <v>0.22389999999999999</v>
      </c>
      <c r="F91" s="15">
        <v>2</v>
      </c>
      <c r="G91" s="15">
        <v>98</v>
      </c>
      <c r="H91" s="16">
        <v>100</v>
      </c>
      <c r="I91" t="str">
        <f t="shared" si="4"/>
        <v>REC-077</v>
      </c>
      <c r="J91" t="str">
        <f t="shared" si="5"/>
        <v>REC</v>
      </c>
      <c r="K91" t="str">
        <f t="shared" si="6"/>
        <v>077</v>
      </c>
      <c r="L91">
        <f t="shared" si="7"/>
        <v>7</v>
      </c>
    </row>
    <row r="92" spans="1:12" x14ac:dyDescent="0.35">
      <c r="A92" s="14">
        <v>403</v>
      </c>
      <c r="B92" s="15">
        <v>404</v>
      </c>
      <c r="C92" s="15">
        <v>0.2273</v>
      </c>
      <c r="D92" s="15">
        <v>0.8</v>
      </c>
      <c r="E92" s="15">
        <v>0.1343</v>
      </c>
      <c r="F92" s="15">
        <v>1</v>
      </c>
      <c r="G92" s="15">
        <v>98</v>
      </c>
      <c r="H92" s="16">
        <v>99</v>
      </c>
      <c r="I92" t="str">
        <f t="shared" si="4"/>
        <v>REC-403</v>
      </c>
      <c r="J92" t="str">
        <f t="shared" si="5"/>
        <v>REC</v>
      </c>
      <c r="K92" t="str">
        <f t="shared" si="6"/>
        <v>403</v>
      </c>
      <c r="L92">
        <f t="shared" si="7"/>
        <v>7</v>
      </c>
    </row>
    <row r="93" spans="1:12" x14ac:dyDescent="0.35">
      <c r="A93" s="14">
        <v>296</v>
      </c>
      <c r="B93" s="15">
        <v>297</v>
      </c>
      <c r="C93" s="15">
        <v>0.1515</v>
      </c>
      <c r="D93" s="15">
        <v>0.47</v>
      </c>
      <c r="E93" s="15">
        <v>0.25369999999999998</v>
      </c>
      <c r="F93" s="15">
        <v>1</v>
      </c>
      <c r="G93" s="15">
        <v>98</v>
      </c>
      <c r="H93" s="16">
        <v>99</v>
      </c>
      <c r="I93" t="str">
        <f t="shared" si="4"/>
        <v>REC-296</v>
      </c>
      <c r="J93" t="str">
        <f t="shared" si="5"/>
        <v>REC</v>
      </c>
      <c r="K93" t="str">
        <f t="shared" si="6"/>
        <v>296</v>
      </c>
      <c r="L93">
        <f t="shared" si="7"/>
        <v>7</v>
      </c>
    </row>
    <row r="94" spans="1:12" x14ac:dyDescent="0.35">
      <c r="A94" s="14">
        <v>238</v>
      </c>
      <c r="B94" s="15">
        <v>239</v>
      </c>
      <c r="C94" s="15">
        <v>0.2273</v>
      </c>
      <c r="D94" s="15">
        <v>0.55000000000000004</v>
      </c>
      <c r="E94" s="15">
        <v>0</v>
      </c>
      <c r="F94" s="15">
        <v>2</v>
      </c>
      <c r="G94" s="15">
        <v>97</v>
      </c>
      <c r="H94" s="16">
        <v>99</v>
      </c>
      <c r="I94" t="str">
        <f t="shared" si="4"/>
        <v>REC-238</v>
      </c>
      <c r="J94" t="str">
        <f t="shared" si="5"/>
        <v>REC</v>
      </c>
      <c r="K94" t="str">
        <f t="shared" si="6"/>
        <v>238</v>
      </c>
      <c r="L94">
        <f t="shared" si="7"/>
        <v>7</v>
      </c>
    </row>
    <row r="95" spans="1:12" x14ac:dyDescent="0.35">
      <c r="A95" s="14">
        <v>512</v>
      </c>
      <c r="B95" s="15">
        <v>513</v>
      </c>
      <c r="C95" s="15">
        <v>0.13639999999999999</v>
      </c>
      <c r="D95" s="15">
        <v>0.43</v>
      </c>
      <c r="E95" s="15">
        <v>0.22389999999999999</v>
      </c>
      <c r="F95" s="15">
        <v>22</v>
      </c>
      <c r="G95" s="15">
        <v>77</v>
      </c>
      <c r="H95" s="16">
        <v>99</v>
      </c>
      <c r="I95" t="str">
        <f t="shared" si="4"/>
        <v>REC-512</v>
      </c>
      <c r="J95" t="str">
        <f t="shared" si="5"/>
        <v>REC</v>
      </c>
      <c r="K95" t="str">
        <f t="shared" si="6"/>
        <v>512</v>
      </c>
      <c r="L95">
        <f t="shared" si="7"/>
        <v>7</v>
      </c>
    </row>
    <row r="96" spans="1:12" x14ac:dyDescent="0.35">
      <c r="A96" s="14">
        <v>364</v>
      </c>
      <c r="B96" s="15">
        <v>365</v>
      </c>
      <c r="C96" s="15">
        <v>0.2273</v>
      </c>
      <c r="D96" s="15">
        <v>0.38</v>
      </c>
      <c r="E96" s="15">
        <v>0.22389999999999999</v>
      </c>
      <c r="F96" s="15">
        <v>22</v>
      </c>
      <c r="G96" s="15">
        <v>77</v>
      </c>
      <c r="H96" s="16">
        <v>99</v>
      </c>
      <c r="I96" t="str">
        <f t="shared" si="4"/>
        <v>REC-364</v>
      </c>
      <c r="J96" t="str">
        <f t="shared" si="5"/>
        <v>REC</v>
      </c>
      <c r="K96" t="str">
        <f t="shared" si="6"/>
        <v>364</v>
      </c>
      <c r="L96">
        <f t="shared" si="7"/>
        <v>7</v>
      </c>
    </row>
    <row r="97" spans="1:12" x14ac:dyDescent="0.35">
      <c r="A97" s="14">
        <v>173</v>
      </c>
      <c r="B97" s="15">
        <v>174</v>
      </c>
      <c r="C97" s="15">
        <v>0.18179999999999999</v>
      </c>
      <c r="D97" s="15">
        <v>0.59</v>
      </c>
      <c r="E97" s="15">
        <v>0.35820000000000002</v>
      </c>
      <c r="F97" s="15">
        <v>8</v>
      </c>
      <c r="G97" s="15">
        <v>90</v>
      </c>
      <c r="H97" s="16">
        <v>98</v>
      </c>
      <c r="I97" t="str">
        <f t="shared" si="4"/>
        <v>REC-173</v>
      </c>
      <c r="J97" t="str">
        <f t="shared" si="5"/>
        <v>REC</v>
      </c>
      <c r="K97" t="str">
        <f t="shared" si="6"/>
        <v>173</v>
      </c>
      <c r="L97">
        <f t="shared" si="7"/>
        <v>7</v>
      </c>
    </row>
    <row r="98" spans="1:12" x14ac:dyDescent="0.35">
      <c r="A98" s="14">
        <v>444</v>
      </c>
      <c r="B98" s="15">
        <v>445</v>
      </c>
      <c r="C98" s="15">
        <v>0.28789999999999999</v>
      </c>
      <c r="D98" s="15">
        <v>0.45</v>
      </c>
      <c r="E98" s="15">
        <v>0.1045</v>
      </c>
      <c r="F98" s="15">
        <v>12</v>
      </c>
      <c r="G98" s="15">
        <v>86</v>
      </c>
      <c r="H98" s="16">
        <v>98</v>
      </c>
      <c r="I98" t="str">
        <f t="shared" si="4"/>
        <v>REC-444</v>
      </c>
      <c r="J98" t="str">
        <f t="shared" si="5"/>
        <v>REC</v>
      </c>
      <c r="K98" t="str">
        <f t="shared" si="6"/>
        <v>444</v>
      </c>
      <c r="L98">
        <f t="shared" si="7"/>
        <v>7</v>
      </c>
    </row>
    <row r="99" spans="1:12" x14ac:dyDescent="0.35">
      <c r="A99" s="14">
        <v>471</v>
      </c>
      <c r="B99" s="15">
        <v>472</v>
      </c>
      <c r="C99" s="15">
        <v>0.13639999999999999</v>
      </c>
      <c r="D99" s="15">
        <v>0.26</v>
      </c>
      <c r="E99" s="15">
        <v>0.35820000000000002</v>
      </c>
      <c r="F99" s="15">
        <v>0</v>
      </c>
      <c r="G99" s="15">
        <v>97</v>
      </c>
      <c r="H99" s="16">
        <v>97</v>
      </c>
      <c r="I99" t="str">
        <f t="shared" si="4"/>
        <v>REC-471</v>
      </c>
      <c r="J99" t="str">
        <f t="shared" si="5"/>
        <v>REC</v>
      </c>
      <c r="K99" t="str">
        <f t="shared" si="6"/>
        <v>471</v>
      </c>
      <c r="L99">
        <f t="shared" si="7"/>
        <v>7</v>
      </c>
    </row>
    <row r="100" spans="1:12" x14ac:dyDescent="0.35">
      <c r="A100" s="14">
        <v>81</v>
      </c>
      <c r="B100" s="15">
        <v>82</v>
      </c>
      <c r="C100" s="15">
        <v>0.2273</v>
      </c>
      <c r="D100" s="15">
        <v>0.56000000000000005</v>
      </c>
      <c r="E100" s="15">
        <v>0.19400000000000001</v>
      </c>
      <c r="F100" s="15">
        <v>18</v>
      </c>
      <c r="G100" s="15">
        <v>79</v>
      </c>
      <c r="H100" s="16">
        <v>97</v>
      </c>
      <c r="I100" t="str">
        <f t="shared" si="4"/>
        <v>REC-081</v>
      </c>
      <c r="J100" t="str">
        <f t="shared" si="5"/>
        <v>REC</v>
      </c>
      <c r="K100" t="str">
        <f t="shared" si="6"/>
        <v>081</v>
      </c>
      <c r="L100">
        <f t="shared" si="7"/>
        <v>7</v>
      </c>
    </row>
    <row r="101" spans="1:12" x14ac:dyDescent="0.35">
      <c r="A101" s="14">
        <v>474</v>
      </c>
      <c r="B101" s="15">
        <v>475</v>
      </c>
      <c r="C101" s="15">
        <v>0.1061</v>
      </c>
      <c r="D101" s="15">
        <v>0.3</v>
      </c>
      <c r="E101" s="15">
        <v>0.32840000000000003</v>
      </c>
      <c r="F101" s="15">
        <v>3</v>
      </c>
      <c r="G101" s="15">
        <v>93</v>
      </c>
      <c r="H101" s="16">
        <v>96</v>
      </c>
      <c r="I101" t="str">
        <f t="shared" si="4"/>
        <v>REC-474</v>
      </c>
      <c r="J101" t="str">
        <f t="shared" si="5"/>
        <v>REC</v>
      </c>
      <c r="K101" t="str">
        <f t="shared" si="6"/>
        <v>474</v>
      </c>
      <c r="L101">
        <f t="shared" si="7"/>
        <v>7</v>
      </c>
    </row>
    <row r="102" spans="1:12" x14ac:dyDescent="0.35">
      <c r="A102" s="14">
        <v>121</v>
      </c>
      <c r="B102" s="15">
        <v>122</v>
      </c>
      <c r="C102" s="15">
        <v>0.2273</v>
      </c>
      <c r="D102" s="15">
        <v>0.59</v>
      </c>
      <c r="E102" s="15">
        <v>0</v>
      </c>
      <c r="F102" s="15">
        <v>0</v>
      </c>
      <c r="G102" s="15">
        <v>95</v>
      </c>
      <c r="H102" s="16">
        <v>95</v>
      </c>
      <c r="I102" t="str">
        <f t="shared" si="4"/>
        <v>REC-121</v>
      </c>
      <c r="J102" t="str">
        <f t="shared" si="5"/>
        <v>REC</v>
      </c>
      <c r="K102" t="str">
        <f t="shared" si="6"/>
        <v>121</v>
      </c>
      <c r="L102">
        <f t="shared" si="7"/>
        <v>7</v>
      </c>
    </row>
    <row r="103" spans="1:12" x14ac:dyDescent="0.35">
      <c r="A103" s="14">
        <v>249</v>
      </c>
      <c r="B103" s="15">
        <v>250</v>
      </c>
      <c r="C103" s="15">
        <v>0.18179999999999999</v>
      </c>
      <c r="D103" s="15">
        <v>0.93</v>
      </c>
      <c r="E103" s="15">
        <v>0.1045</v>
      </c>
      <c r="F103" s="15">
        <v>1</v>
      </c>
      <c r="G103" s="15">
        <v>94</v>
      </c>
      <c r="H103" s="16">
        <v>95</v>
      </c>
      <c r="I103" t="str">
        <f t="shared" si="4"/>
        <v>REC-249</v>
      </c>
      <c r="J103" t="str">
        <f t="shared" si="5"/>
        <v>REC</v>
      </c>
      <c r="K103" t="str">
        <f t="shared" si="6"/>
        <v>249</v>
      </c>
      <c r="L103">
        <f t="shared" si="7"/>
        <v>7</v>
      </c>
    </row>
    <row r="104" spans="1:12" x14ac:dyDescent="0.35">
      <c r="A104" s="14">
        <v>228</v>
      </c>
      <c r="B104" s="15">
        <v>229</v>
      </c>
      <c r="C104" s="15">
        <v>0.16669999999999999</v>
      </c>
      <c r="D104" s="15">
        <v>0.47</v>
      </c>
      <c r="E104" s="15">
        <v>0.16420000000000001</v>
      </c>
      <c r="F104" s="15">
        <v>3</v>
      </c>
      <c r="G104" s="15">
        <v>92</v>
      </c>
      <c r="H104" s="16">
        <v>95</v>
      </c>
      <c r="I104" t="str">
        <f t="shared" si="4"/>
        <v>REC-228</v>
      </c>
      <c r="J104" t="str">
        <f t="shared" si="5"/>
        <v>REC</v>
      </c>
      <c r="K104" t="str">
        <f t="shared" si="6"/>
        <v>228</v>
      </c>
      <c r="L104">
        <f t="shared" si="7"/>
        <v>7</v>
      </c>
    </row>
    <row r="105" spans="1:12" x14ac:dyDescent="0.35">
      <c r="A105" s="14">
        <v>156</v>
      </c>
      <c r="B105" s="15">
        <v>157</v>
      </c>
      <c r="C105" s="15">
        <v>0.19700000000000001</v>
      </c>
      <c r="D105" s="15">
        <v>0.55000000000000004</v>
      </c>
      <c r="E105" s="15">
        <v>8.9599999999999999E-2</v>
      </c>
      <c r="F105" s="15">
        <v>3</v>
      </c>
      <c r="G105" s="15">
        <v>92</v>
      </c>
      <c r="H105" s="16">
        <v>95</v>
      </c>
      <c r="I105" t="str">
        <f t="shared" si="4"/>
        <v>REC-156</v>
      </c>
      <c r="J105" t="str">
        <f t="shared" si="5"/>
        <v>REC</v>
      </c>
      <c r="K105" t="str">
        <f t="shared" si="6"/>
        <v>156</v>
      </c>
      <c r="L105">
        <f t="shared" si="7"/>
        <v>7</v>
      </c>
    </row>
    <row r="106" spans="1:12" x14ac:dyDescent="0.35">
      <c r="A106" s="14">
        <v>175</v>
      </c>
      <c r="B106" s="15">
        <v>176</v>
      </c>
      <c r="C106" s="15">
        <v>0.16669999999999999</v>
      </c>
      <c r="D106" s="15">
        <v>0.32</v>
      </c>
      <c r="E106" s="15">
        <v>0.49249999999999999</v>
      </c>
      <c r="F106" s="15">
        <v>12</v>
      </c>
      <c r="G106" s="15">
        <v>83</v>
      </c>
      <c r="H106" s="16">
        <v>95</v>
      </c>
      <c r="I106" t="str">
        <f t="shared" si="4"/>
        <v>REC-175</v>
      </c>
      <c r="J106" t="str">
        <f t="shared" si="5"/>
        <v>REC</v>
      </c>
      <c r="K106" t="str">
        <f t="shared" si="6"/>
        <v>175</v>
      </c>
      <c r="L106">
        <f t="shared" si="7"/>
        <v>7</v>
      </c>
    </row>
    <row r="107" spans="1:12" x14ac:dyDescent="0.35">
      <c r="A107" s="14">
        <v>218</v>
      </c>
      <c r="B107" s="15">
        <v>219</v>
      </c>
      <c r="C107" s="15">
        <v>0.1212</v>
      </c>
      <c r="D107" s="15">
        <v>0.5</v>
      </c>
      <c r="E107" s="15">
        <v>0.25369999999999998</v>
      </c>
      <c r="F107" s="15">
        <v>2</v>
      </c>
      <c r="G107" s="15">
        <v>92</v>
      </c>
      <c r="H107" s="16">
        <v>94</v>
      </c>
      <c r="I107" t="str">
        <f t="shared" si="4"/>
        <v>REC-218</v>
      </c>
      <c r="J107" t="str">
        <f t="shared" si="5"/>
        <v>REC</v>
      </c>
      <c r="K107" t="str">
        <f t="shared" si="6"/>
        <v>218</v>
      </c>
      <c r="L107">
        <f t="shared" si="7"/>
        <v>7</v>
      </c>
    </row>
    <row r="108" spans="1:12" x14ac:dyDescent="0.35">
      <c r="A108" s="14">
        <v>75</v>
      </c>
      <c r="B108" s="15">
        <v>76</v>
      </c>
      <c r="C108" s="15">
        <v>0.1515</v>
      </c>
      <c r="D108" s="15">
        <v>0.74</v>
      </c>
      <c r="E108" s="15">
        <v>0.1343</v>
      </c>
      <c r="F108" s="15">
        <v>2</v>
      </c>
      <c r="G108" s="15">
        <v>92</v>
      </c>
      <c r="H108" s="16">
        <v>94</v>
      </c>
      <c r="I108" t="str">
        <f t="shared" si="4"/>
        <v>REC-075</v>
      </c>
      <c r="J108" t="str">
        <f t="shared" si="5"/>
        <v>REC</v>
      </c>
      <c r="K108" t="str">
        <f t="shared" si="6"/>
        <v>075</v>
      </c>
      <c r="L108">
        <f t="shared" si="7"/>
        <v>7</v>
      </c>
    </row>
    <row r="109" spans="1:12" x14ac:dyDescent="0.35">
      <c r="A109" s="14">
        <v>13</v>
      </c>
      <c r="B109" s="15">
        <v>14</v>
      </c>
      <c r="C109" s="15">
        <v>0.45450000000000002</v>
      </c>
      <c r="D109" s="15">
        <v>0.72</v>
      </c>
      <c r="E109" s="15">
        <v>0.29849999999999999</v>
      </c>
      <c r="F109" s="15">
        <v>47</v>
      </c>
      <c r="G109" s="15">
        <v>47</v>
      </c>
      <c r="H109" s="16">
        <v>94</v>
      </c>
      <c r="I109" t="str">
        <f t="shared" si="4"/>
        <v>REC-013</v>
      </c>
      <c r="J109" t="str">
        <f t="shared" si="5"/>
        <v>REC</v>
      </c>
      <c r="K109" t="str">
        <f t="shared" si="6"/>
        <v>013</v>
      </c>
      <c r="L109">
        <f t="shared" si="7"/>
        <v>7</v>
      </c>
    </row>
    <row r="110" spans="1:12" x14ac:dyDescent="0.35">
      <c r="A110" s="14">
        <v>385</v>
      </c>
      <c r="B110" s="15">
        <v>386</v>
      </c>
      <c r="C110" s="15">
        <v>0.19700000000000001</v>
      </c>
      <c r="D110" s="15">
        <v>0.47</v>
      </c>
      <c r="E110" s="15">
        <v>0.1343</v>
      </c>
      <c r="F110" s="15">
        <v>13</v>
      </c>
      <c r="G110" s="15">
        <v>80</v>
      </c>
      <c r="H110" s="16">
        <v>93</v>
      </c>
      <c r="I110" t="str">
        <f t="shared" si="4"/>
        <v>REC-385</v>
      </c>
      <c r="J110" t="str">
        <f t="shared" si="5"/>
        <v>REC</v>
      </c>
      <c r="K110" t="str">
        <f t="shared" si="6"/>
        <v>385</v>
      </c>
      <c r="L110">
        <f t="shared" si="7"/>
        <v>7</v>
      </c>
    </row>
    <row r="111" spans="1:12" x14ac:dyDescent="0.35">
      <c r="A111" s="14">
        <v>35</v>
      </c>
      <c r="B111" s="15">
        <v>36</v>
      </c>
      <c r="C111" s="15">
        <v>0.33329999999999999</v>
      </c>
      <c r="D111" s="15">
        <v>0.66</v>
      </c>
      <c r="E111" s="15">
        <v>0.29849999999999999</v>
      </c>
      <c r="F111" s="15">
        <v>20</v>
      </c>
      <c r="G111" s="15">
        <v>73</v>
      </c>
      <c r="H111" s="16">
        <v>93</v>
      </c>
      <c r="I111" t="str">
        <f t="shared" si="4"/>
        <v>REC-035</v>
      </c>
      <c r="J111" t="str">
        <f t="shared" si="5"/>
        <v>REC</v>
      </c>
      <c r="K111" t="str">
        <f t="shared" si="6"/>
        <v>035</v>
      </c>
      <c r="L111">
        <f t="shared" si="7"/>
        <v>7</v>
      </c>
    </row>
    <row r="112" spans="1:12" x14ac:dyDescent="0.35">
      <c r="A112" s="14">
        <v>560</v>
      </c>
      <c r="B112" s="15">
        <v>561</v>
      </c>
      <c r="C112" s="15">
        <v>0.2727</v>
      </c>
      <c r="D112" s="15">
        <v>0.56000000000000005</v>
      </c>
      <c r="E112" s="15">
        <v>0.1343</v>
      </c>
      <c r="F112" s="15">
        <v>21</v>
      </c>
      <c r="G112" s="15">
        <v>72</v>
      </c>
      <c r="H112" s="16">
        <v>93</v>
      </c>
      <c r="I112" t="str">
        <f t="shared" si="4"/>
        <v>REC-560</v>
      </c>
      <c r="J112" t="str">
        <f t="shared" si="5"/>
        <v>REC</v>
      </c>
      <c r="K112" t="str">
        <f t="shared" si="6"/>
        <v>560</v>
      </c>
      <c r="L112">
        <f t="shared" si="7"/>
        <v>7</v>
      </c>
    </row>
    <row r="113" spans="1:12" x14ac:dyDescent="0.35">
      <c r="A113" s="14">
        <v>387</v>
      </c>
      <c r="B113" s="15">
        <v>388</v>
      </c>
      <c r="C113" s="15">
        <v>0.21210000000000001</v>
      </c>
      <c r="D113" s="15">
        <v>0.47</v>
      </c>
      <c r="E113" s="15">
        <v>0.16420000000000001</v>
      </c>
      <c r="F113" s="15">
        <v>21</v>
      </c>
      <c r="G113" s="15">
        <v>72</v>
      </c>
      <c r="H113" s="16">
        <v>93</v>
      </c>
      <c r="I113" t="str">
        <f t="shared" si="4"/>
        <v>REC-387</v>
      </c>
      <c r="J113" t="str">
        <f t="shared" si="5"/>
        <v>REC</v>
      </c>
      <c r="K113" t="str">
        <f t="shared" si="6"/>
        <v>387</v>
      </c>
      <c r="L113">
        <f t="shared" si="7"/>
        <v>7</v>
      </c>
    </row>
    <row r="114" spans="1:12" x14ac:dyDescent="0.35">
      <c r="A114" s="14">
        <v>359</v>
      </c>
      <c r="B114" s="15">
        <v>360</v>
      </c>
      <c r="C114" s="15">
        <v>0.2273</v>
      </c>
      <c r="D114" s="15">
        <v>0.44</v>
      </c>
      <c r="E114" s="15">
        <v>0.25369999999999998</v>
      </c>
      <c r="F114" s="15">
        <v>23</v>
      </c>
      <c r="G114" s="15">
        <v>70</v>
      </c>
      <c r="H114" s="16">
        <v>93</v>
      </c>
      <c r="I114" t="str">
        <f t="shared" si="4"/>
        <v>REC-359</v>
      </c>
      <c r="J114" t="str">
        <f t="shared" si="5"/>
        <v>REC</v>
      </c>
      <c r="K114" t="str">
        <f t="shared" si="6"/>
        <v>359</v>
      </c>
      <c r="L114">
        <f t="shared" si="7"/>
        <v>7</v>
      </c>
    </row>
    <row r="115" spans="1:12" x14ac:dyDescent="0.35">
      <c r="A115" s="14">
        <v>16</v>
      </c>
      <c r="B115" s="15">
        <v>17</v>
      </c>
      <c r="C115" s="15">
        <v>0.42420000000000002</v>
      </c>
      <c r="D115" s="15">
        <v>0.82</v>
      </c>
      <c r="E115" s="15">
        <v>0.29849999999999999</v>
      </c>
      <c r="F115" s="15">
        <v>41</v>
      </c>
      <c r="G115" s="15">
        <v>52</v>
      </c>
      <c r="H115" s="16">
        <v>93</v>
      </c>
      <c r="I115" t="str">
        <f t="shared" si="4"/>
        <v>REC-016</v>
      </c>
      <c r="J115" t="str">
        <f t="shared" si="5"/>
        <v>REC</v>
      </c>
      <c r="K115" t="str">
        <f t="shared" si="6"/>
        <v>016</v>
      </c>
      <c r="L115">
        <f t="shared" si="7"/>
        <v>7</v>
      </c>
    </row>
    <row r="116" spans="1:12" x14ac:dyDescent="0.35">
      <c r="A116" s="14">
        <v>319</v>
      </c>
      <c r="B116" s="15">
        <v>320</v>
      </c>
      <c r="C116" s="15">
        <v>0.19700000000000001</v>
      </c>
      <c r="D116" s="15">
        <v>0.59</v>
      </c>
      <c r="E116" s="15">
        <v>8.9599999999999999E-2</v>
      </c>
      <c r="F116" s="15">
        <v>3</v>
      </c>
      <c r="G116" s="15">
        <v>89</v>
      </c>
      <c r="H116" s="16">
        <v>92</v>
      </c>
      <c r="I116" t="str">
        <f t="shared" si="4"/>
        <v>REC-319</v>
      </c>
      <c r="J116" t="str">
        <f t="shared" si="5"/>
        <v>REC</v>
      </c>
      <c r="K116" t="str">
        <f t="shared" si="6"/>
        <v>319</v>
      </c>
      <c r="L116">
        <f t="shared" si="7"/>
        <v>7</v>
      </c>
    </row>
    <row r="117" spans="1:12" x14ac:dyDescent="0.35">
      <c r="A117" s="14">
        <v>390</v>
      </c>
      <c r="B117" s="15">
        <v>391</v>
      </c>
      <c r="C117" s="15">
        <v>0.16669999999999999</v>
      </c>
      <c r="D117" s="15">
        <v>0.55000000000000004</v>
      </c>
      <c r="E117" s="15">
        <v>0.25369999999999998</v>
      </c>
      <c r="F117" s="15">
        <v>7</v>
      </c>
      <c r="G117" s="15">
        <v>85</v>
      </c>
      <c r="H117" s="16">
        <v>92</v>
      </c>
      <c r="I117" t="str">
        <f t="shared" si="4"/>
        <v>REC-390</v>
      </c>
      <c r="J117" t="str">
        <f t="shared" si="5"/>
        <v>REC</v>
      </c>
      <c r="K117" t="str">
        <f t="shared" si="6"/>
        <v>390</v>
      </c>
      <c r="L117">
        <f t="shared" si="7"/>
        <v>7</v>
      </c>
    </row>
    <row r="118" spans="1:12" x14ac:dyDescent="0.35">
      <c r="A118" s="14">
        <v>201</v>
      </c>
      <c r="B118" s="15">
        <v>202</v>
      </c>
      <c r="C118" s="15">
        <v>0.16669999999999999</v>
      </c>
      <c r="D118" s="15">
        <v>0.34</v>
      </c>
      <c r="E118" s="15">
        <v>0.44779999999999998</v>
      </c>
      <c r="F118" s="15">
        <v>13</v>
      </c>
      <c r="G118" s="15">
        <v>79</v>
      </c>
      <c r="H118" s="16">
        <v>92</v>
      </c>
      <c r="I118" t="str">
        <f t="shared" si="4"/>
        <v>REC-201</v>
      </c>
      <c r="J118" t="str">
        <f t="shared" si="5"/>
        <v>REC</v>
      </c>
      <c r="K118" t="str">
        <f t="shared" si="6"/>
        <v>201</v>
      </c>
      <c r="L118">
        <f t="shared" si="7"/>
        <v>7</v>
      </c>
    </row>
    <row r="119" spans="1:12" x14ac:dyDescent="0.35">
      <c r="A119" s="14">
        <v>447</v>
      </c>
      <c r="B119" s="15">
        <v>448</v>
      </c>
      <c r="C119" s="15">
        <v>0.30299999999999999</v>
      </c>
      <c r="D119" s="15">
        <v>0.49</v>
      </c>
      <c r="E119" s="15">
        <v>0.1343</v>
      </c>
      <c r="F119" s="15">
        <v>8</v>
      </c>
      <c r="G119" s="15">
        <v>83</v>
      </c>
      <c r="H119" s="16">
        <v>91</v>
      </c>
      <c r="I119" t="str">
        <f t="shared" si="4"/>
        <v>REC-447</v>
      </c>
      <c r="J119" t="str">
        <f t="shared" si="5"/>
        <v>REC</v>
      </c>
      <c r="K119" t="str">
        <f t="shared" si="6"/>
        <v>447</v>
      </c>
      <c r="L119">
        <f t="shared" si="7"/>
        <v>7</v>
      </c>
    </row>
    <row r="120" spans="1:12" x14ac:dyDescent="0.35">
      <c r="A120" s="14">
        <v>362</v>
      </c>
      <c r="B120" s="15">
        <v>363</v>
      </c>
      <c r="C120" s="15">
        <v>0.2727</v>
      </c>
      <c r="D120" s="15">
        <v>0.36</v>
      </c>
      <c r="E120" s="15">
        <v>0.25369999999999998</v>
      </c>
      <c r="F120" s="15">
        <v>22</v>
      </c>
      <c r="G120" s="15">
        <v>69</v>
      </c>
      <c r="H120" s="16">
        <v>91</v>
      </c>
      <c r="I120" t="str">
        <f t="shared" si="4"/>
        <v>REC-362</v>
      </c>
      <c r="J120" t="str">
        <f t="shared" si="5"/>
        <v>REC</v>
      </c>
      <c r="K120" t="str">
        <f t="shared" si="6"/>
        <v>362</v>
      </c>
      <c r="L120">
        <f t="shared" si="7"/>
        <v>7</v>
      </c>
    </row>
    <row r="121" spans="1:12" x14ac:dyDescent="0.35">
      <c r="A121" s="14">
        <v>414</v>
      </c>
      <c r="B121" s="15">
        <v>415</v>
      </c>
      <c r="C121" s="15">
        <v>0.2576</v>
      </c>
      <c r="D121" s="15">
        <v>0.92</v>
      </c>
      <c r="E121" s="15">
        <v>0.1045</v>
      </c>
      <c r="F121" s="15">
        <v>1</v>
      </c>
      <c r="G121" s="15">
        <v>89</v>
      </c>
      <c r="H121" s="16">
        <v>90</v>
      </c>
      <c r="I121" t="str">
        <f t="shared" si="4"/>
        <v>REC-414</v>
      </c>
      <c r="J121" t="str">
        <f t="shared" si="5"/>
        <v>REC</v>
      </c>
      <c r="K121" t="str">
        <f t="shared" si="6"/>
        <v>414</v>
      </c>
      <c r="L121">
        <f t="shared" si="7"/>
        <v>7</v>
      </c>
    </row>
    <row r="122" spans="1:12" x14ac:dyDescent="0.35">
      <c r="A122" s="14">
        <v>316</v>
      </c>
      <c r="B122" s="15">
        <v>317</v>
      </c>
      <c r="C122" s="15">
        <v>0.2424</v>
      </c>
      <c r="D122" s="15">
        <v>0.41</v>
      </c>
      <c r="E122" s="15">
        <v>0.1045</v>
      </c>
      <c r="F122" s="15">
        <v>3</v>
      </c>
      <c r="G122" s="15">
        <v>87</v>
      </c>
      <c r="H122" s="16">
        <v>90</v>
      </c>
      <c r="I122" t="str">
        <f t="shared" si="4"/>
        <v>REC-316</v>
      </c>
      <c r="J122" t="str">
        <f t="shared" si="5"/>
        <v>REC</v>
      </c>
      <c r="K122" t="str">
        <f t="shared" si="6"/>
        <v>316</v>
      </c>
      <c r="L122">
        <f t="shared" si="7"/>
        <v>7</v>
      </c>
    </row>
    <row r="123" spans="1:12" x14ac:dyDescent="0.35">
      <c r="A123" s="14">
        <v>107</v>
      </c>
      <c r="B123" s="15">
        <v>108</v>
      </c>
      <c r="C123" s="15">
        <v>0.31819999999999998</v>
      </c>
      <c r="D123" s="15">
        <v>0.28000000000000003</v>
      </c>
      <c r="E123" s="15">
        <v>8.9599999999999999E-2</v>
      </c>
      <c r="F123" s="15">
        <v>4</v>
      </c>
      <c r="G123" s="15">
        <v>85</v>
      </c>
      <c r="H123" s="16">
        <v>89</v>
      </c>
      <c r="I123" t="str">
        <f t="shared" si="4"/>
        <v>REC-107</v>
      </c>
      <c r="J123" t="str">
        <f t="shared" si="5"/>
        <v>REC</v>
      </c>
      <c r="K123" t="str">
        <f t="shared" si="6"/>
        <v>107</v>
      </c>
      <c r="L123">
        <f t="shared" si="7"/>
        <v>7</v>
      </c>
    </row>
    <row r="124" spans="1:12" x14ac:dyDescent="0.35">
      <c r="A124" s="14">
        <v>111</v>
      </c>
      <c r="B124" s="15">
        <v>112</v>
      </c>
      <c r="C124" s="15">
        <v>0.2273</v>
      </c>
      <c r="D124" s="15">
        <v>0.47</v>
      </c>
      <c r="E124" s="15">
        <v>0.16420000000000001</v>
      </c>
      <c r="F124" s="15">
        <v>7</v>
      </c>
      <c r="G124" s="15">
        <v>82</v>
      </c>
      <c r="H124" s="16">
        <v>89</v>
      </c>
      <c r="I124" t="str">
        <f t="shared" si="4"/>
        <v>REC-111</v>
      </c>
      <c r="J124" t="str">
        <f t="shared" si="5"/>
        <v>REC</v>
      </c>
      <c r="K124" t="str">
        <f t="shared" si="6"/>
        <v>111</v>
      </c>
      <c r="L124">
        <f t="shared" si="7"/>
        <v>7</v>
      </c>
    </row>
    <row r="125" spans="1:12" x14ac:dyDescent="0.35">
      <c r="A125" s="14">
        <v>336</v>
      </c>
      <c r="B125" s="15">
        <v>337</v>
      </c>
      <c r="C125" s="15">
        <v>0.2273</v>
      </c>
      <c r="D125" s="15">
        <v>0.48</v>
      </c>
      <c r="E125" s="15">
        <v>0.22389999999999999</v>
      </c>
      <c r="F125" s="15">
        <v>15</v>
      </c>
      <c r="G125" s="15">
        <v>74</v>
      </c>
      <c r="H125" s="16">
        <v>89</v>
      </c>
      <c r="I125" t="str">
        <f t="shared" si="4"/>
        <v>REC-336</v>
      </c>
      <c r="J125" t="str">
        <f t="shared" si="5"/>
        <v>REC</v>
      </c>
      <c r="K125" t="str">
        <f t="shared" si="6"/>
        <v>336</v>
      </c>
      <c r="L125">
        <f t="shared" si="7"/>
        <v>7</v>
      </c>
    </row>
    <row r="126" spans="1:12" x14ac:dyDescent="0.35">
      <c r="A126" s="14">
        <v>98</v>
      </c>
      <c r="B126" s="15">
        <v>99</v>
      </c>
      <c r="C126" s="15">
        <v>0.18179999999999999</v>
      </c>
      <c r="D126" s="15">
        <v>0.43</v>
      </c>
      <c r="E126" s="15">
        <v>0.19400000000000001</v>
      </c>
      <c r="F126" s="15">
        <v>1</v>
      </c>
      <c r="G126" s="15">
        <v>87</v>
      </c>
      <c r="H126" s="16">
        <v>88</v>
      </c>
      <c r="I126" t="str">
        <f t="shared" si="4"/>
        <v>REC-098</v>
      </c>
      <c r="J126" t="str">
        <f t="shared" si="5"/>
        <v>REC</v>
      </c>
      <c r="K126" t="str">
        <f t="shared" si="6"/>
        <v>098</v>
      </c>
      <c r="L126">
        <f t="shared" si="7"/>
        <v>7</v>
      </c>
    </row>
    <row r="127" spans="1:12" x14ac:dyDescent="0.35">
      <c r="A127" s="14">
        <v>54</v>
      </c>
      <c r="B127" s="15">
        <v>55</v>
      </c>
      <c r="C127" s="15">
        <v>0.13639999999999999</v>
      </c>
      <c r="D127" s="15">
        <v>0.43</v>
      </c>
      <c r="E127" s="15">
        <v>0.3881</v>
      </c>
      <c r="F127" s="15">
        <v>7</v>
      </c>
      <c r="G127" s="15">
        <v>81</v>
      </c>
      <c r="H127" s="16">
        <v>88</v>
      </c>
      <c r="I127" t="str">
        <f t="shared" si="4"/>
        <v>REC-054</v>
      </c>
      <c r="J127" t="str">
        <f t="shared" si="5"/>
        <v>REC</v>
      </c>
      <c r="K127" t="str">
        <f t="shared" si="6"/>
        <v>054</v>
      </c>
      <c r="L127">
        <f t="shared" si="7"/>
        <v>7</v>
      </c>
    </row>
    <row r="128" spans="1:12" x14ac:dyDescent="0.35">
      <c r="A128" s="14">
        <v>153</v>
      </c>
      <c r="B128" s="15">
        <v>154</v>
      </c>
      <c r="C128" s="15">
        <v>0.21210000000000001</v>
      </c>
      <c r="D128" s="15">
        <v>0.37</v>
      </c>
      <c r="E128" s="15">
        <v>0.16420000000000001</v>
      </c>
      <c r="F128" s="15">
        <v>5</v>
      </c>
      <c r="G128" s="15">
        <v>82</v>
      </c>
      <c r="H128" s="16">
        <v>87</v>
      </c>
      <c r="I128" t="str">
        <f t="shared" si="4"/>
        <v>REC-153</v>
      </c>
      <c r="J128" t="str">
        <f t="shared" si="5"/>
        <v>REC</v>
      </c>
      <c r="K128" t="str">
        <f t="shared" si="6"/>
        <v>153</v>
      </c>
      <c r="L128">
        <f t="shared" si="7"/>
        <v>7</v>
      </c>
    </row>
    <row r="129" spans="1:12" x14ac:dyDescent="0.35">
      <c r="A129" s="14">
        <v>514</v>
      </c>
      <c r="B129" s="15">
        <v>515</v>
      </c>
      <c r="C129" s="15">
        <v>0.1061</v>
      </c>
      <c r="D129" s="15">
        <v>0.33</v>
      </c>
      <c r="E129" s="15">
        <v>0.3881</v>
      </c>
      <c r="F129" s="15">
        <v>12</v>
      </c>
      <c r="G129" s="15">
        <v>75</v>
      </c>
      <c r="H129" s="16">
        <v>87</v>
      </c>
      <c r="I129" t="str">
        <f t="shared" si="4"/>
        <v>REC-514</v>
      </c>
      <c r="J129" t="str">
        <f t="shared" si="5"/>
        <v>REC</v>
      </c>
      <c r="K129" t="str">
        <f t="shared" si="6"/>
        <v>514</v>
      </c>
      <c r="L129">
        <f t="shared" si="7"/>
        <v>7</v>
      </c>
    </row>
    <row r="130" spans="1:12" x14ac:dyDescent="0.35">
      <c r="A130" s="14">
        <v>386</v>
      </c>
      <c r="B130" s="15">
        <v>387</v>
      </c>
      <c r="C130" s="15">
        <v>0.21210000000000001</v>
      </c>
      <c r="D130" s="15">
        <v>0.43</v>
      </c>
      <c r="E130" s="15">
        <v>0.1045</v>
      </c>
      <c r="F130" s="15">
        <v>12</v>
      </c>
      <c r="G130" s="15">
        <v>74</v>
      </c>
      <c r="H130" s="16">
        <v>86</v>
      </c>
      <c r="I130" t="str">
        <f t="shared" si="4"/>
        <v>REC-386</v>
      </c>
      <c r="J130" t="str">
        <f t="shared" si="5"/>
        <v>REC</v>
      </c>
      <c r="K130" t="str">
        <f t="shared" si="6"/>
        <v>386</v>
      </c>
      <c r="L130">
        <f t="shared" si="7"/>
        <v>7</v>
      </c>
    </row>
    <row r="131" spans="1:12" x14ac:dyDescent="0.35">
      <c r="A131" s="14">
        <v>130</v>
      </c>
      <c r="B131" s="15">
        <v>131</v>
      </c>
      <c r="C131" s="15">
        <v>0.2576</v>
      </c>
      <c r="D131" s="15">
        <v>0.38</v>
      </c>
      <c r="E131" s="15">
        <v>0.16420000000000001</v>
      </c>
      <c r="F131" s="15">
        <v>12</v>
      </c>
      <c r="G131" s="15">
        <v>74</v>
      </c>
      <c r="H131" s="16">
        <v>86</v>
      </c>
      <c r="I131" t="str">
        <f t="shared" ref="I131:I194" si="8">"REC-"&amp;TEXT(A131,"000")</f>
        <v>REC-130</v>
      </c>
      <c r="J131" t="str">
        <f t="shared" ref="J131:J194" si="9">LEFT(I131,3)</f>
        <v>REC</v>
      </c>
      <c r="K131" t="str">
        <f t="shared" ref="K131:K194" si="10">RIGHT(I131,3)</f>
        <v>130</v>
      </c>
      <c r="L131">
        <f t="shared" ref="L131:L194" si="11">LEN(I131)</f>
        <v>7</v>
      </c>
    </row>
    <row r="132" spans="1:12" x14ac:dyDescent="0.35">
      <c r="A132" s="14">
        <v>588</v>
      </c>
      <c r="B132" s="15">
        <v>589</v>
      </c>
      <c r="C132" s="15">
        <v>0.2424</v>
      </c>
      <c r="D132" s="15">
        <v>0.55000000000000004</v>
      </c>
      <c r="E132" s="15">
        <v>0.1045</v>
      </c>
      <c r="F132" s="15">
        <v>2</v>
      </c>
      <c r="G132" s="15">
        <v>82</v>
      </c>
      <c r="H132" s="16">
        <v>84</v>
      </c>
      <c r="I132" t="str">
        <f t="shared" si="8"/>
        <v>REC-588</v>
      </c>
      <c r="J132" t="str">
        <f t="shared" si="9"/>
        <v>REC</v>
      </c>
      <c r="K132" t="str">
        <f t="shared" si="10"/>
        <v>588</v>
      </c>
      <c r="L132">
        <f t="shared" si="11"/>
        <v>7</v>
      </c>
    </row>
    <row r="133" spans="1:12" x14ac:dyDescent="0.35">
      <c r="A133" s="14">
        <v>531</v>
      </c>
      <c r="B133" s="15">
        <v>532</v>
      </c>
      <c r="C133" s="15">
        <v>0.1212</v>
      </c>
      <c r="D133" s="15">
        <v>0.48</v>
      </c>
      <c r="E133" s="15">
        <v>0</v>
      </c>
      <c r="F133" s="15">
        <v>5</v>
      </c>
      <c r="G133" s="15">
        <v>79</v>
      </c>
      <c r="H133" s="16">
        <v>84</v>
      </c>
      <c r="I133" t="str">
        <f t="shared" si="8"/>
        <v>REC-531</v>
      </c>
      <c r="J133" t="str">
        <f t="shared" si="9"/>
        <v>REC</v>
      </c>
      <c r="K133" t="str">
        <f t="shared" si="10"/>
        <v>531</v>
      </c>
      <c r="L133">
        <f t="shared" si="11"/>
        <v>7</v>
      </c>
    </row>
    <row r="134" spans="1:12" x14ac:dyDescent="0.35">
      <c r="A134" s="14">
        <v>126</v>
      </c>
      <c r="B134" s="15">
        <v>127</v>
      </c>
      <c r="C134" s="15">
        <v>0.28789999999999999</v>
      </c>
      <c r="D134" s="15">
        <v>0.35</v>
      </c>
      <c r="E134" s="15">
        <v>0</v>
      </c>
      <c r="F134" s="15">
        <v>6</v>
      </c>
      <c r="G134" s="15">
        <v>78</v>
      </c>
      <c r="H134" s="16">
        <v>84</v>
      </c>
      <c r="I134" t="str">
        <f t="shared" si="8"/>
        <v>REC-126</v>
      </c>
      <c r="J134" t="str">
        <f t="shared" si="9"/>
        <v>REC</v>
      </c>
      <c r="K134" t="str">
        <f t="shared" si="10"/>
        <v>126</v>
      </c>
      <c r="L134">
        <f t="shared" si="11"/>
        <v>7</v>
      </c>
    </row>
    <row r="135" spans="1:12" x14ac:dyDescent="0.35">
      <c r="A135" s="14">
        <v>443</v>
      </c>
      <c r="B135" s="15">
        <v>444</v>
      </c>
      <c r="C135" s="15">
        <v>0.33329999999999999</v>
      </c>
      <c r="D135" s="15">
        <v>0.42</v>
      </c>
      <c r="E135" s="15">
        <v>0</v>
      </c>
      <c r="F135" s="15">
        <v>7</v>
      </c>
      <c r="G135" s="15">
        <v>77</v>
      </c>
      <c r="H135" s="16">
        <v>84</v>
      </c>
      <c r="I135" t="str">
        <f t="shared" si="8"/>
        <v>REC-443</v>
      </c>
      <c r="J135" t="str">
        <f t="shared" si="9"/>
        <v>REC</v>
      </c>
      <c r="K135" t="str">
        <f t="shared" si="10"/>
        <v>443</v>
      </c>
      <c r="L135">
        <f t="shared" si="11"/>
        <v>7</v>
      </c>
    </row>
    <row r="136" spans="1:12" x14ac:dyDescent="0.35">
      <c r="A136" s="14">
        <v>144</v>
      </c>
      <c r="B136" s="15">
        <v>145</v>
      </c>
      <c r="C136" s="15">
        <v>0.21210000000000001</v>
      </c>
      <c r="D136" s="15">
        <v>0.69</v>
      </c>
      <c r="E136" s="15">
        <v>0.1343</v>
      </c>
      <c r="F136" s="15">
        <v>8</v>
      </c>
      <c r="G136" s="15">
        <v>76</v>
      </c>
      <c r="H136" s="16">
        <v>84</v>
      </c>
      <c r="I136" t="str">
        <f t="shared" si="8"/>
        <v>REC-144</v>
      </c>
      <c r="J136" t="str">
        <f t="shared" si="9"/>
        <v>REC</v>
      </c>
      <c r="K136" t="str">
        <f t="shared" si="10"/>
        <v>144</v>
      </c>
      <c r="L136">
        <f t="shared" si="11"/>
        <v>7</v>
      </c>
    </row>
    <row r="137" spans="1:12" x14ac:dyDescent="0.35">
      <c r="A137" s="14">
        <v>491</v>
      </c>
      <c r="B137" s="15">
        <v>492</v>
      </c>
      <c r="C137" s="15">
        <v>0.16669999999999999</v>
      </c>
      <c r="D137" s="15">
        <v>0.35</v>
      </c>
      <c r="E137" s="15">
        <v>0</v>
      </c>
      <c r="F137" s="15">
        <v>12</v>
      </c>
      <c r="G137" s="15">
        <v>72</v>
      </c>
      <c r="H137" s="16">
        <v>84</v>
      </c>
      <c r="I137" t="str">
        <f t="shared" si="8"/>
        <v>REC-491</v>
      </c>
      <c r="J137" t="str">
        <f t="shared" si="9"/>
        <v>REC</v>
      </c>
      <c r="K137" t="str">
        <f t="shared" si="10"/>
        <v>491</v>
      </c>
      <c r="L137">
        <f t="shared" si="11"/>
        <v>7</v>
      </c>
    </row>
    <row r="138" spans="1:12" x14ac:dyDescent="0.35">
      <c r="A138" s="14">
        <v>342</v>
      </c>
      <c r="B138" s="15">
        <v>343</v>
      </c>
      <c r="C138" s="15">
        <v>0.28789999999999999</v>
      </c>
      <c r="D138" s="15">
        <v>0.45</v>
      </c>
      <c r="E138" s="15">
        <v>0.25369999999999998</v>
      </c>
      <c r="F138" s="15">
        <v>15</v>
      </c>
      <c r="G138" s="15">
        <v>69</v>
      </c>
      <c r="H138" s="16">
        <v>84</v>
      </c>
      <c r="I138" t="str">
        <f t="shared" si="8"/>
        <v>REC-342</v>
      </c>
      <c r="J138" t="str">
        <f t="shared" si="9"/>
        <v>REC</v>
      </c>
      <c r="K138" t="str">
        <f t="shared" si="10"/>
        <v>342</v>
      </c>
      <c r="L138">
        <f t="shared" si="11"/>
        <v>7</v>
      </c>
    </row>
    <row r="139" spans="1:12" x14ac:dyDescent="0.35">
      <c r="A139" s="14">
        <v>562</v>
      </c>
      <c r="B139" s="15">
        <v>563</v>
      </c>
      <c r="C139" s="15">
        <v>0.34849999999999998</v>
      </c>
      <c r="D139" s="15">
        <v>0.42</v>
      </c>
      <c r="E139" s="15">
        <v>0</v>
      </c>
      <c r="F139" s="15">
        <v>21</v>
      </c>
      <c r="G139" s="15">
        <v>63</v>
      </c>
      <c r="H139" s="16">
        <v>84</v>
      </c>
      <c r="I139" t="str">
        <f t="shared" si="8"/>
        <v>REC-562</v>
      </c>
      <c r="J139" t="str">
        <f t="shared" si="9"/>
        <v>REC</v>
      </c>
      <c r="K139" t="str">
        <f t="shared" si="10"/>
        <v>562</v>
      </c>
      <c r="L139">
        <f t="shared" si="11"/>
        <v>7</v>
      </c>
    </row>
    <row r="140" spans="1:12" x14ac:dyDescent="0.35">
      <c r="A140" s="14">
        <v>12</v>
      </c>
      <c r="B140" s="15">
        <v>13</v>
      </c>
      <c r="C140" s="15">
        <v>0.42420000000000002</v>
      </c>
      <c r="D140" s="15">
        <v>0.77</v>
      </c>
      <c r="E140" s="15">
        <v>0.28360000000000002</v>
      </c>
      <c r="F140" s="15">
        <v>29</v>
      </c>
      <c r="G140" s="15">
        <v>55</v>
      </c>
      <c r="H140" s="16">
        <v>84</v>
      </c>
      <c r="I140" t="str">
        <f t="shared" si="8"/>
        <v>REC-012</v>
      </c>
      <c r="J140" t="str">
        <f t="shared" si="9"/>
        <v>REC</v>
      </c>
      <c r="K140" t="str">
        <f t="shared" si="10"/>
        <v>012</v>
      </c>
      <c r="L140">
        <f t="shared" si="11"/>
        <v>7</v>
      </c>
    </row>
    <row r="141" spans="1:12" x14ac:dyDescent="0.35">
      <c r="A141" s="14">
        <v>404</v>
      </c>
      <c r="B141" s="15">
        <v>405</v>
      </c>
      <c r="C141" s="15">
        <v>0.2727</v>
      </c>
      <c r="D141" s="15">
        <v>0.87</v>
      </c>
      <c r="E141" s="15">
        <v>0</v>
      </c>
      <c r="F141" s="15">
        <v>0</v>
      </c>
      <c r="G141" s="15">
        <v>83</v>
      </c>
      <c r="H141" s="16">
        <v>83</v>
      </c>
      <c r="I141" t="str">
        <f t="shared" si="8"/>
        <v>REC-404</v>
      </c>
      <c r="J141" t="str">
        <f t="shared" si="9"/>
        <v>REC</v>
      </c>
      <c r="K141" t="str">
        <f t="shared" si="10"/>
        <v>404</v>
      </c>
      <c r="L141">
        <f t="shared" si="11"/>
        <v>7</v>
      </c>
    </row>
    <row r="142" spans="1:12" x14ac:dyDescent="0.35">
      <c r="A142" s="14">
        <v>272</v>
      </c>
      <c r="B142" s="15">
        <v>273</v>
      </c>
      <c r="C142" s="15">
        <v>0.1515</v>
      </c>
      <c r="D142" s="15">
        <v>0.47</v>
      </c>
      <c r="E142" s="15">
        <v>0.41789999999999999</v>
      </c>
      <c r="F142" s="15">
        <v>1</v>
      </c>
      <c r="G142" s="15">
        <v>82</v>
      </c>
      <c r="H142" s="16">
        <v>83</v>
      </c>
      <c r="I142" t="str">
        <f t="shared" si="8"/>
        <v>REC-272</v>
      </c>
      <c r="J142" t="str">
        <f t="shared" si="9"/>
        <v>REC</v>
      </c>
      <c r="K142" t="str">
        <f t="shared" si="10"/>
        <v>272</v>
      </c>
      <c r="L142">
        <f t="shared" si="11"/>
        <v>7</v>
      </c>
    </row>
    <row r="143" spans="1:12" x14ac:dyDescent="0.35">
      <c r="A143" s="14">
        <v>290</v>
      </c>
      <c r="B143" s="15">
        <v>291</v>
      </c>
      <c r="C143" s="15">
        <v>0.19700000000000001</v>
      </c>
      <c r="D143" s="15">
        <v>0.41</v>
      </c>
      <c r="E143" s="15">
        <v>0.44779999999999998</v>
      </c>
      <c r="F143" s="15">
        <v>2</v>
      </c>
      <c r="G143" s="15">
        <v>81</v>
      </c>
      <c r="H143" s="16">
        <v>83</v>
      </c>
      <c r="I143" t="str">
        <f t="shared" si="8"/>
        <v>REC-290</v>
      </c>
      <c r="J143" t="str">
        <f t="shared" si="9"/>
        <v>REC</v>
      </c>
      <c r="K143" t="str">
        <f t="shared" si="10"/>
        <v>290</v>
      </c>
      <c r="L143">
        <f t="shared" si="11"/>
        <v>7</v>
      </c>
    </row>
    <row r="144" spans="1:12" x14ac:dyDescent="0.35">
      <c r="A144" s="14">
        <v>197</v>
      </c>
      <c r="B144" s="15">
        <v>198</v>
      </c>
      <c r="C144" s="15">
        <v>0.13639999999999999</v>
      </c>
      <c r="D144" s="15">
        <v>0.37</v>
      </c>
      <c r="E144" s="15">
        <v>0.44779999999999998</v>
      </c>
      <c r="F144" s="15">
        <v>4</v>
      </c>
      <c r="G144" s="15">
        <v>79</v>
      </c>
      <c r="H144" s="16">
        <v>83</v>
      </c>
      <c r="I144" t="str">
        <f t="shared" si="8"/>
        <v>REC-197</v>
      </c>
      <c r="J144" t="str">
        <f t="shared" si="9"/>
        <v>REC</v>
      </c>
      <c r="K144" t="str">
        <f t="shared" si="10"/>
        <v>197</v>
      </c>
      <c r="L144">
        <f t="shared" si="11"/>
        <v>7</v>
      </c>
    </row>
    <row r="145" spans="1:12" x14ac:dyDescent="0.35">
      <c r="A145" s="14">
        <v>494</v>
      </c>
      <c r="B145" s="15">
        <v>495</v>
      </c>
      <c r="C145" s="15">
        <v>0.13639999999999999</v>
      </c>
      <c r="D145" s="15">
        <v>0.28000000000000003</v>
      </c>
      <c r="E145" s="15">
        <v>0.19400000000000001</v>
      </c>
      <c r="F145" s="15">
        <v>11</v>
      </c>
      <c r="G145" s="15">
        <v>72</v>
      </c>
      <c r="H145" s="16">
        <v>83</v>
      </c>
      <c r="I145" t="str">
        <f t="shared" si="8"/>
        <v>REC-494</v>
      </c>
      <c r="J145" t="str">
        <f t="shared" si="9"/>
        <v>REC</v>
      </c>
      <c r="K145" t="str">
        <f t="shared" si="10"/>
        <v>494</v>
      </c>
      <c r="L145">
        <f t="shared" si="11"/>
        <v>7</v>
      </c>
    </row>
    <row r="146" spans="1:12" x14ac:dyDescent="0.35">
      <c r="A146" s="14">
        <v>84</v>
      </c>
      <c r="B146" s="15">
        <v>85</v>
      </c>
      <c r="C146" s="15">
        <v>0.28789999999999999</v>
      </c>
      <c r="D146" s="15">
        <v>0.49</v>
      </c>
      <c r="E146" s="15">
        <v>0.25369999999999998</v>
      </c>
      <c r="F146" s="15">
        <v>15</v>
      </c>
      <c r="G146" s="15">
        <v>68</v>
      </c>
      <c r="H146" s="16">
        <v>83</v>
      </c>
      <c r="I146" t="str">
        <f t="shared" si="8"/>
        <v>REC-084</v>
      </c>
      <c r="J146" t="str">
        <f t="shared" si="9"/>
        <v>REC</v>
      </c>
      <c r="K146" t="str">
        <f t="shared" si="10"/>
        <v>084</v>
      </c>
      <c r="L146">
        <f t="shared" si="11"/>
        <v>7</v>
      </c>
    </row>
    <row r="147" spans="1:12" x14ac:dyDescent="0.35">
      <c r="A147" s="14">
        <v>341</v>
      </c>
      <c r="B147" s="15">
        <v>342</v>
      </c>
      <c r="C147" s="15">
        <v>0.30299999999999999</v>
      </c>
      <c r="D147" s="15">
        <v>0.36</v>
      </c>
      <c r="E147" s="15">
        <v>0.28360000000000002</v>
      </c>
      <c r="F147" s="15">
        <v>29</v>
      </c>
      <c r="G147" s="15">
        <v>54</v>
      </c>
      <c r="H147" s="16">
        <v>83</v>
      </c>
      <c r="I147" t="str">
        <f t="shared" si="8"/>
        <v>REC-341</v>
      </c>
      <c r="J147" t="str">
        <f t="shared" si="9"/>
        <v>REC</v>
      </c>
      <c r="K147" t="str">
        <f t="shared" si="10"/>
        <v>341</v>
      </c>
      <c r="L147">
        <f t="shared" si="11"/>
        <v>7</v>
      </c>
    </row>
    <row r="148" spans="1:12" x14ac:dyDescent="0.35">
      <c r="A148" s="14">
        <v>422</v>
      </c>
      <c r="B148" s="15">
        <v>423</v>
      </c>
      <c r="C148" s="15">
        <v>0.40910000000000002</v>
      </c>
      <c r="D148" s="15">
        <v>0.54</v>
      </c>
      <c r="E148" s="15">
        <v>0.28360000000000002</v>
      </c>
      <c r="F148" s="15">
        <v>4</v>
      </c>
      <c r="G148" s="15">
        <v>78</v>
      </c>
      <c r="H148" s="16">
        <v>82</v>
      </c>
      <c r="I148" t="str">
        <f t="shared" si="8"/>
        <v>REC-422</v>
      </c>
      <c r="J148" t="str">
        <f t="shared" si="9"/>
        <v>REC</v>
      </c>
      <c r="K148" t="str">
        <f t="shared" si="10"/>
        <v>422</v>
      </c>
      <c r="L148">
        <f t="shared" si="11"/>
        <v>7</v>
      </c>
    </row>
    <row r="149" spans="1:12" x14ac:dyDescent="0.35">
      <c r="A149" s="14">
        <v>200</v>
      </c>
      <c r="B149" s="15">
        <v>201</v>
      </c>
      <c r="C149" s="15">
        <v>0.19700000000000001</v>
      </c>
      <c r="D149" s="15">
        <v>0.35</v>
      </c>
      <c r="E149" s="15">
        <v>0.35820000000000002</v>
      </c>
      <c r="F149" s="15">
        <v>5</v>
      </c>
      <c r="G149" s="15">
        <v>77</v>
      </c>
      <c r="H149" s="16">
        <v>82</v>
      </c>
      <c r="I149" t="str">
        <f t="shared" si="8"/>
        <v>REC-200</v>
      </c>
      <c r="J149" t="str">
        <f t="shared" si="9"/>
        <v>REC</v>
      </c>
      <c r="K149" t="str">
        <f t="shared" si="10"/>
        <v>200</v>
      </c>
      <c r="L149">
        <f t="shared" si="11"/>
        <v>7</v>
      </c>
    </row>
    <row r="150" spans="1:12" x14ac:dyDescent="0.35">
      <c r="A150" s="14">
        <v>388</v>
      </c>
      <c r="B150" s="15">
        <v>389</v>
      </c>
      <c r="C150" s="15">
        <v>0.21210000000000001</v>
      </c>
      <c r="D150" s="15">
        <v>0.47</v>
      </c>
      <c r="E150" s="15">
        <v>0.16420000000000001</v>
      </c>
      <c r="F150" s="15">
        <v>6</v>
      </c>
      <c r="G150" s="15">
        <v>76</v>
      </c>
      <c r="H150" s="16">
        <v>82</v>
      </c>
      <c r="I150" t="str">
        <f t="shared" si="8"/>
        <v>REC-388</v>
      </c>
      <c r="J150" t="str">
        <f t="shared" si="9"/>
        <v>REC</v>
      </c>
      <c r="K150" t="str">
        <f t="shared" si="10"/>
        <v>388</v>
      </c>
      <c r="L150">
        <f t="shared" si="11"/>
        <v>7</v>
      </c>
    </row>
    <row r="151" spans="1:12" x14ac:dyDescent="0.35">
      <c r="A151" s="14">
        <v>544</v>
      </c>
      <c r="B151" s="15">
        <v>545</v>
      </c>
      <c r="C151" s="15">
        <v>0.13639999999999999</v>
      </c>
      <c r="D151" s="15">
        <v>0.59</v>
      </c>
      <c r="E151" s="15">
        <v>0.19400000000000001</v>
      </c>
      <c r="F151" s="15">
        <v>1</v>
      </c>
      <c r="G151" s="15">
        <v>80</v>
      </c>
      <c r="H151" s="16">
        <v>81</v>
      </c>
      <c r="I151" t="str">
        <f t="shared" si="8"/>
        <v>REC-544</v>
      </c>
      <c r="J151" t="str">
        <f t="shared" si="9"/>
        <v>REC</v>
      </c>
      <c r="K151" t="str">
        <f t="shared" si="10"/>
        <v>544</v>
      </c>
      <c r="L151">
        <f t="shared" si="11"/>
        <v>7</v>
      </c>
    </row>
    <row r="152" spans="1:12" x14ac:dyDescent="0.35">
      <c r="A152" s="14">
        <v>262</v>
      </c>
      <c r="B152" s="15">
        <v>263</v>
      </c>
      <c r="C152" s="15">
        <v>0.13639999999999999</v>
      </c>
      <c r="D152" s="15">
        <v>0.59</v>
      </c>
      <c r="E152" s="15">
        <v>0.32840000000000003</v>
      </c>
      <c r="F152" s="15">
        <v>3</v>
      </c>
      <c r="G152" s="15">
        <v>78</v>
      </c>
      <c r="H152" s="16">
        <v>81</v>
      </c>
      <c r="I152" t="str">
        <f t="shared" si="8"/>
        <v>REC-262</v>
      </c>
      <c r="J152" t="str">
        <f t="shared" si="9"/>
        <v>REC</v>
      </c>
      <c r="K152" t="str">
        <f t="shared" si="10"/>
        <v>262</v>
      </c>
      <c r="L152">
        <f t="shared" si="11"/>
        <v>7</v>
      </c>
    </row>
    <row r="153" spans="1:12" x14ac:dyDescent="0.35">
      <c r="A153" s="14">
        <v>445</v>
      </c>
      <c r="B153" s="15">
        <v>446</v>
      </c>
      <c r="C153" s="15">
        <v>0.30299999999999999</v>
      </c>
      <c r="D153" s="15">
        <v>0.45</v>
      </c>
      <c r="E153" s="15">
        <v>0.1343</v>
      </c>
      <c r="F153" s="15">
        <v>6</v>
      </c>
      <c r="G153" s="15">
        <v>75</v>
      </c>
      <c r="H153" s="16">
        <v>81</v>
      </c>
      <c r="I153" t="str">
        <f t="shared" si="8"/>
        <v>REC-445</v>
      </c>
      <c r="J153" t="str">
        <f t="shared" si="9"/>
        <v>REC</v>
      </c>
      <c r="K153" t="str">
        <f t="shared" si="10"/>
        <v>445</v>
      </c>
      <c r="L153">
        <f t="shared" si="11"/>
        <v>7</v>
      </c>
    </row>
    <row r="154" spans="1:12" x14ac:dyDescent="0.35">
      <c r="A154" s="14">
        <v>384</v>
      </c>
      <c r="B154" s="15">
        <v>385</v>
      </c>
      <c r="C154" s="15">
        <v>0.19700000000000001</v>
      </c>
      <c r="D154" s="15">
        <v>0.47</v>
      </c>
      <c r="E154" s="15">
        <v>0.1343</v>
      </c>
      <c r="F154" s="15">
        <v>10</v>
      </c>
      <c r="G154" s="15">
        <v>70</v>
      </c>
      <c r="H154" s="16">
        <v>80</v>
      </c>
      <c r="I154" t="str">
        <f t="shared" si="8"/>
        <v>REC-384</v>
      </c>
      <c r="J154" t="str">
        <f t="shared" si="9"/>
        <v>REC</v>
      </c>
      <c r="K154" t="str">
        <f t="shared" si="10"/>
        <v>384</v>
      </c>
      <c r="L154">
        <f t="shared" si="11"/>
        <v>7</v>
      </c>
    </row>
    <row r="155" spans="1:12" x14ac:dyDescent="0.35">
      <c r="A155" s="14">
        <v>590</v>
      </c>
      <c r="B155" s="15">
        <v>591</v>
      </c>
      <c r="C155" s="15">
        <v>0.2273</v>
      </c>
      <c r="D155" s="15">
        <v>0.69</v>
      </c>
      <c r="E155" s="15">
        <v>8.9599999999999999E-2</v>
      </c>
      <c r="F155" s="15">
        <v>3</v>
      </c>
      <c r="G155" s="15">
        <v>76</v>
      </c>
      <c r="H155" s="16">
        <v>79</v>
      </c>
      <c r="I155" t="str">
        <f t="shared" si="8"/>
        <v>REC-590</v>
      </c>
      <c r="J155" t="str">
        <f t="shared" si="9"/>
        <v>REC</v>
      </c>
      <c r="K155" t="str">
        <f t="shared" si="10"/>
        <v>590</v>
      </c>
      <c r="L155">
        <f t="shared" si="11"/>
        <v>7</v>
      </c>
    </row>
    <row r="156" spans="1:12" x14ac:dyDescent="0.35">
      <c r="A156" s="14">
        <v>103</v>
      </c>
      <c r="B156" s="15">
        <v>104</v>
      </c>
      <c r="C156" s="15">
        <v>0.2273</v>
      </c>
      <c r="D156" s="15">
        <v>0.33</v>
      </c>
      <c r="E156" s="15">
        <v>0.32840000000000003</v>
      </c>
      <c r="F156" s="15">
        <v>5</v>
      </c>
      <c r="G156" s="15">
        <v>74</v>
      </c>
      <c r="H156" s="16">
        <v>79</v>
      </c>
      <c r="I156" t="str">
        <f t="shared" si="8"/>
        <v>REC-103</v>
      </c>
      <c r="J156" t="str">
        <f t="shared" si="9"/>
        <v>REC</v>
      </c>
      <c r="K156" t="str">
        <f t="shared" si="10"/>
        <v>103</v>
      </c>
      <c r="L156">
        <f t="shared" si="11"/>
        <v>7</v>
      </c>
    </row>
    <row r="157" spans="1:12" x14ac:dyDescent="0.35">
      <c r="A157" s="14">
        <v>358</v>
      </c>
      <c r="B157" s="15">
        <v>359</v>
      </c>
      <c r="C157" s="15">
        <v>0.21210000000000001</v>
      </c>
      <c r="D157" s="15">
        <v>0.51</v>
      </c>
      <c r="E157" s="15">
        <v>0.28360000000000002</v>
      </c>
      <c r="F157" s="15">
        <v>8</v>
      </c>
      <c r="G157" s="15">
        <v>71</v>
      </c>
      <c r="H157" s="16">
        <v>79</v>
      </c>
      <c r="I157" t="str">
        <f t="shared" si="8"/>
        <v>REC-358</v>
      </c>
      <c r="J157" t="str">
        <f t="shared" si="9"/>
        <v>REC</v>
      </c>
      <c r="K157" t="str">
        <f t="shared" si="10"/>
        <v>358</v>
      </c>
      <c r="L157">
        <f t="shared" si="11"/>
        <v>7</v>
      </c>
    </row>
    <row r="158" spans="1:12" x14ac:dyDescent="0.35">
      <c r="A158" s="14">
        <v>293</v>
      </c>
      <c r="B158" s="15">
        <v>294</v>
      </c>
      <c r="C158" s="15">
        <v>0.21210000000000001</v>
      </c>
      <c r="D158" s="15">
        <v>0.38</v>
      </c>
      <c r="E158" s="15">
        <v>0.35820000000000002</v>
      </c>
      <c r="F158" s="15">
        <v>2</v>
      </c>
      <c r="G158" s="15">
        <v>76</v>
      </c>
      <c r="H158" s="16">
        <v>78</v>
      </c>
      <c r="I158" t="str">
        <f t="shared" si="8"/>
        <v>REC-293</v>
      </c>
      <c r="J158" t="str">
        <f t="shared" si="9"/>
        <v>REC</v>
      </c>
      <c r="K158" t="str">
        <f t="shared" si="10"/>
        <v>293</v>
      </c>
      <c r="L158">
        <f t="shared" si="11"/>
        <v>7</v>
      </c>
    </row>
    <row r="159" spans="1:12" x14ac:dyDescent="0.35">
      <c r="A159" s="14">
        <v>467</v>
      </c>
      <c r="B159" s="15">
        <v>468</v>
      </c>
      <c r="C159" s="15">
        <v>0.18179999999999999</v>
      </c>
      <c r="D159" s="15">
        <v>0.27</v>
      </c>
      <c r="E159" s="15">
        <v>0.58209999999999995</v>
      </c>
      <c r="F159" s="15">
        <v>11</v>
      </c>
      <c r="G159" s="15">
        <v>67</v>
      </c>
      <c r="H159" s="16">
        <v>78</v>
      </c>
      <c r="I159" t="str">
        <f t="shared" si="8"/>
        <v>REC-467</v>
      </c>
      <c r="J159" t="str">
        <f t="shared" si="9"/>
        <v>REC</v>
      </c>
      <c r="K159" t="str">
        <f t="shared" si="10"/>
        <v>467</v>
      </c>
      <c r="L159">
        <f t="shared" si="11"/>
        <v>7</v>
      </c>
    </row>
    <row r="160" spans="1:12" x14ac:dyDescent="0.35">
      <c r="A160" s="14">
        <v>420</v>
      </c>
      <c r="B160" s="15">
        <v>421</v>
      </c>
      <c r="C160" s="15">
        <v>0.40910000000000002</v>
      </c>
      <c r="D160" s="15">
        <v>0.62</v>
      </c>
      <c r="E160" s="15">
        <v>0.28360000000000002</v>
      </c>
      <c r="F160" s="15">
        <v>11</v>
      </c>
      <c r="G160" s="15">
        <v>67</v>
      </c>
      <c r="H160" s="16">
        <v>78</v>
      </c>
      <c r="I160" t="str">
        <f t="shared" si="8"/>
        <v>REC-420</v>
      </c>
      <c r="J160" t="str">
        <f t="shared" si="9"/>
        <v>REC</v>
      </c>
      <c r="K160" t="str">
        <f t="shared" si="10"/>
        <v>420</v>
      </c>
      <c r="L160">
        <f t="shared" si="11"/>
        <v>7</v>
      </c>
    </row>
    <row r="161" spans="1:12" x14ac:dyDescent="0.35">
      <c r="A161" s="14">
        <v>80</v>
      </c>
      <c r="B161" s="15">
        <v>81</v>
      </c>
      <c r="C161" s="15">
        <v>0.2273</v>
      </c>
      <c r="D161" s="15">
        <v>0.51</v>
      </c>
      <c r="E161" s="15">
        <v>0.16420000000000001</v>
      </c>
      <c r="F161" s="15">
        <v>12</v>
      </c>
      <c r="G161" s="15">
        <v>66</v>
      </c>
      <c r="H161" s="16">
        <v>78</v>
      </c>
      <c r="I161" t="str">
        <f t="shared" si="8"/>
        <v>REC-080</v>
      </c>
      <c r="J161" t="str">
        <f t="shared" si="9"/>
        <v>REC</v>
      </c>
      <c r="K161" t="str">
        <f t="shared" si="10"/>
        <v>080</v>
      </c>
      <c r="L161">
        <f t="shared" si="11"/>
        <v>7</v>
      </c>
    </row>
    <row r="162" spans="1:12" x14ac:dyDescent="0.35">
      <c r="A162" s="14">
        <v>216</v>
      </c>
      <c r="B162" s="15">
        <v>217</v>
      </c>
      <c r="C162" s="15">
        <v>0.1212</v>
      </c>
      <c r="D162" s="15">
        <v>0.5</v>
      </c>
      <c r="E162" s="15">
        <v>0.22389999999999999</v>
      </c>
      <c r="F162" s="15">
        <v>2</v>
      </c>
      <c r="G162" s="15">
        <v>75</v>
      </c>
      <c r="H162" s="16">
        <v>77</v>
      </c>
      <c r="I162" t="str">
        <f t="shared" si="8"/>
        <v>REC-216</v>
      </c>
      <c r="J162" t="str">
        <f t="shared" si="9"/>
        <v>REC</v>
      </c>
      <c r="K162" t="str">
        <f t="shared" si="10"/>
        <v>216</v>
      </c>
      <c r="L162">
        <f t="shared" si="11"/>
        <v>7</v>
      </c>
    </row>
    <row r="163" spans="1:12" x14ac:dyDescent="0.35">
      <c r="A163" s="14">
        <v>313</v>
      </c>
      <c r="B163" s="15">
        <v>314</v>
      </c>
      <c r="C163" s="15">
        <v>0.19700000000000001</v>
      </c>
      <c r="D163" s="15">
        <v>0.37</v>
      </c>
      <c r="E163" s="15">
        <v>0.3881</v>
      </c>
      <c r="F163" s="15">
        <v>4</v>
      </c>
      <c r="G163" s="15">
        <v>73</v>
      </c>
      <c r="H163" s="16">
        <v>77</v>
      </c>
      <c r="I163" t="str">
        <f t="shared" si="8"/>
        <v>REC-313</v>
      </c>
      <c r="J163" t="str">
        <f t="shared" si="9"/>
        <v>REC</v>
      </c>
      <c r="K163" t="str">
        <f t="shared" si="10"/>
        <v>313</v>
      </c>
      <c r="L163">
        <f t="shared" si="11"/>
        <v>7</v>
      </c>
    </row>
    <row r="164" spans="1:12" x14ac:dyDescent="0.35">
      <c r="A164" s="14">
        <v>59</v>
      </c>
      <c r="B164" s="15">
        <v>60</v>
      </c>
      <c r="C164" s="15">
        <v>0.2424</v>
      </c>
      <c r="D164" s="15">
        <v>0.3</v>
      </c>
      <c r="E164" s="15">
        <v>0.28360000000000002</v>
      </c>
      <c r="F164" s="15">
        <v>11</v>
      </c>
      <c r="G164" s="15">
        <v>66</v>
      </c>
      <c r="H164" s="16">
        <v>77</v>
      </c>
      <c r="I164" t="str">
        <f t="shared" si="8"/>
        <v>REC-059</v>
      </c>
      <c r="J164" t="str">
        <f t="shared" si="9"/>
        <v>REC</v>
      </c>
      <c r="K164" t="str">
        <f t="shared" si="10"/>
        <v>059</v>
      </c>
      <c r="L164">
        <f t="shared" si="11"/>
        <v>7</v>
      </c>
    </row>
    <row r="165" spans="1:12" x14ac:dyDescent="0.35">
      <c r="A165" s="14">
        <v>516</v>
      </c>
      <c r="B165" s="15">
        <v>517</v>
      </c>
      <c r="C165" s="15">
        <v>0.13639999999999999</v>
      </c>
      <c r="D165" s="15">
        <v>0.28000000000000003</v>
      </c>
      <c r="E165" s="15">
        <v>0.35820000000000002</v>
      </c>
      <c r="F165" s="15">
        <v>13</v>
      </c>
      <c r="G165" s="15">
        <v>64</v>
      </c>
      <c r="H165" s="16">
        <v>77</v>
      </c>
      <c r="I165" t="str">
        <f t="shared" si="8"/>
        <v>REC-516</v>
      </c>
      <c r="J165" t="str">
        <f t="shared" si="9"/>
        <v>REC</v>
      </c>
      <c r="K165" t="str">
        <f t="shared" si="10"/>
        <v>516</v>
      </c>
      <c r="L165">
        <f t="shared" si="11"/>
        <v>7</v>
      </c>
    </row>
    <row r="166" spans="1:12" x14ac:dyDescent="0.35">
      <c r="A166" s="14">
        <v>427</v>
      </c>
      <c r="B166" s="15">
        <v>428</v>
      </c>
      <c r="C166" s="15">
        <v>0.30299999999999999</v>
      </c>
      <c r="D166" s="15">
        <v>0.49</v>
      </c>
      <c r="E166" s="15">
        <v>0.29849999999999999</v>
      </c>
      <c r="F166" s="15">
        <v>2</v>
      </c>
      <c r="G166" s="15">
        <v>74</v>
      </c>
      <c r="H166" s="16">
        <v>76</v>
      </c>
      <c r="I166" t="str">
        <f t="shared" si="8"/>
        <v>REC-427</v>
      </c>
      <c r="J166" t="str">
        <f t="shared" si="9"/>
        <v>REC</v>
      </c>
      <c r="K166" t="str">
        <f t="shared" si="10"/>
        <v>427</v>
      </c>
      <c r="L166">
        <f t="shared" si="11"/>
        <v>7</v>
      </c>
    </row>
    <row r="167" spans="1:12" x14ac:dyDescent="0.35">
      <c r="A167" s="14">
        <v>247</v>
      </c>
      <c r="B167" s="15">
        <v>248</v>
      </c>
      <c r="C167" s="15">
        <v>0.1515</v>
      </c>
      <c r="D167" s="15">
        <v>0.86</v>
      </c>
      <c r="E167" s="15">
        <v>0.22389999999999999</v>
      </c>
      <c r="F167" s="15">
        <v>4</v>
      </c>
      <c r="G167" s="15">
        <v>72</v>
      </c>
      <c r="H167" s="16">
        <v>76</v>
      </c>
      <c r="I167" t="str">
        <f t="shared" si="8"/>
        <v>REC-247</v>
      </c>
      <c r="J167" t="str">
        <f t="shared" si="9"/>
        <v>REC</v>
      </c>
      <c r="K167" t="str">
        <f t="shared" si="10"/>
        <v>247</v>
      </c>
      <c r="L167">
        <f t="shared" si="11"/>
        <v>7</v>
      </c>
    </row>
    <row r="168" spans="1:12" x14ac:dyDescent="0.35">
      <c r="A168" s="14">
        <v>177</v>
      </c>
      <c r="B168" s="15">
        <v>178</v>
      </c>
      <c r="C168" s="15">
        <v>0.13639999999999999</v>
      </c>
      <c r="D168" s="15">
        <v>0.28999999999999998</v>
      </c>
      <c r="E168" s="15">
        <v>0.44779999999999998</v>
      </c>
      <c r="F168" s="15">
        <v>8</v>
      </c>
      <c r="G168" s="15">
        <v>68</v>
      </c>
      <c r="H168" s="16">
        <v>76</v>
      </c>
      <c r="I168" t="str">
        <f t="shared" si="8"/>
        <v>REC-177</v>
      </c>
      <c r="J168" t="str">
        <f t="shared" si="9"/>
        <v>REC</v>
      </c>
      <c r="K168" t="str">
        <f t="shared" si="10"/>
        <v>177</v>
      </c>
      <c r="L168">
        <f t="shared" si="11"/>
        <v>7</v>
      </c>
    </row>
    <row r="169" spans="1:12" x14ac:dyDescent="0.35">
      <c r="A169" s="14">
        <v>61</v>
      </c>
      <c r="B169" s="15">
        <v>62</v>
      </c>
      <c r="C169" s="15">
        <v>0.2424</v>
      </c>
      <c r="D169" s="15">
        <v>0.3</v>
      </c>
      <c r="E169" s="15">
        <v>0.25369999999999998</v>
      </c>
      <c r="F169" s="15">
        <v>9</v>
      </c>
      <c r="G169" s="15">
        <v>67</v>
      </c>
      <c r="H169" s="16">
        <v>76</v>
      </c>
      <c r="I169" t="str">
        <f t="shared" si="8"/>
        <v>REC-061</v>
      </c>
      <c r="J169" t="str">
        <f t="shared" si="9"/>
        <v>REC</v>
      </c>
      <c r="K169" t="str">
        <f t="shared" si="10"/>
        <v>061</v>
      </c>
      <c r="L169">
        <f t="shared" si="11"/>
        <v>7</v>
      </c>
    </row>
    <row r="170" spans="1:12" x14ac:dyDescent="0.35">
      <c r="A170" s="14">
        <v>39</v>
      </c>
      <c r="B170" s="15">
        <v>40</v>
      </c>
      <c r="C170" s="15">
        <v>0.33329999999999999</v>
      </c>
      <c r="D170" s="15">
        <v>0.71</v>
      </c>
      <c r="E170" s="15">
        <v>0.16420000000000001</v>
      </c>
      <c r="F170" s="15">
        <v>9</v>
      </c>
      <c r="G170" s="15">
        <v>67</v>
      </c>
      <c r="H170" s="16">
        <v>76</v>
      </c>
      <c r="I170" t="str">
        <f t="shared" si="8"/>
        <v>REC-039</v>
      </c>
      <c r="J170" t="str">
        <f t="shared" si="9"/>
        <v>REC</v>
      </c>
      <c r="K170" t="str">
        <f t="shared" si="10"/>
        <v>039</v>
      </c>
      <c r="L170">
        <f t="shared" si="11"/>
        <v>7</v>
      </c>
    </row>
    <row r="171" spans="1:12" x14ac:dyDescent="0.35">
      <c r="A171" s="14">
        <v>198</v>
      </c>
      <c r="B171" s="15">
        <v>199</v>
      </c>
      <c r="C171" s="15">
        <v>0.16669999999999999</v>
      </c>
      <c r="D171" s="15">
        <v>0.34</v>
      </c>
      <c r="E171" s="15">
        <v>0.44779999999999998</v>
      </c>
      <c r="F171" s="15">
        <v>6</v>
      </c>
      <c r="G171" s="15">
        <v>69</v>
      </c>
      <c r="H171" s="16">
        <v>75</v>
      </c>
      <c r="I171" t="str">
        <f t="shared" si="8"/>
        <v>REC-198</v>
      </c>
      <c r="J171" t="str">
        <f t="shared" si="9"/>
        <v>REC</v>
      </c>
      <c r="K171" t="str">
        <f t="shared" si="10"/>
        <v>198</v>
      </c>
      <c r="L171">
        <f t="shared" si="11"/>
        <v>7</v>
      </c>
    </row>
    <row r="172" spans="1:12" x14ac:dyDescent="0.35">
      <c r="A172" s="14">
        <v>421</v>
      </c>
      <c r="B172" s="15">
        <v>422</v>
      </c>
      <c r="C172" s="15">
        <v>0.40910000000000002</v>
      </c>
      <c r="D172" s="15">
        <v>0.57999999999999996</v>
      </c>
      <c r="E172" s="15">
        <v>0.25369999999999998</v>
      </c>
      <c r="F172" s="15">
        <v>7</v>
      </c>
      <c r="G172" s="15">
        <v>68</v>
      </c>
      <c r="H172" s="16">
        <v>75</v>
      </c>
      <c r="I172" t="str">
        <f t="shared" si="8"/>
        <v>REC-421</v>
      </c>
      <c r="J172" t="str">
        <f t="shared" si="9"/>
        <v>REC</v>
      </c>
      <c r="K172" t="str">
        <f t="shared" si="10"/>
        <v>421</v>
      </c>
      <c r="L172">
        <f t="shared" si="11"/>
        <v>7</v>
      </c>
    </row>
    <row r="173" spans="1:12" x14ac:dyDescent="0.35">
      <c r="A173" s="14">
        <v>492</v>
      </c>
      <c r="B173" s="15">
        <v>493</v>
      </c>
      <c r="C173" s="15">
        <v>0.13639999999999999</v>
      </c>
      <c r="D173" s="15">
        <v>0.33</v>
      </c>
      <c r="E173" s="15">
        <v>0.1045</v>
      </c>
      <c r="F173" s="15">
        <v>11</v>
      </c>
      <c r="G173" s="15">
        <v>64</v>
      </c>
      <c r="H173" s="16">
        <v>75</v>
      </c>
      <c r="I173" t="str">
        <f t="shared" si="8"/>
        <v>REC-492</v>
      </c>
      <c r="J173" t="str">
        <f t="shared" si="9"/>
        <v>REC</v>
      </c>
      <c r="K173" t="str">
        <f t="shared" si="10"/>
        <v>492</v>
      </c>
      <c r="L173">
        <f t="shared" si="11"/>
        <v>7</v>
      </c>
    </row>
    <row r="174" spans="1:12" x14ac:dyDescent="0.35">
      <c r="A174" s="14">
        <v>36</v>
      </c>
      <c r="B174" s="15">
        <v>37</v>
      </c>
      <c r="C174" s="15">
        <v>0.34849999999999998</v>
      </c>
      <c r="D174" s="15">
        <v>0.66</v>
      </c>
      <c r="E174" s="15">
        <v>0.1343</v>
      </c>
      <c r="F174" s="15">
        <v>11</v>
      </c>
      <c r="G174" s="15">
        <v>64</v>
      </c>
      <c r="H174" s="16">
        <v>75</v>
      </c>
      <c r="I174" t="str">
        <f t="shared" si="8"/>
        <v>REC-036</v>
      </c>
      <c r="J174" t="str">
        <f t="shared" si="9"/>
        <v>REC</v>
      </c>
      <c r="K174" t="str">
        <f t="shared" si="10"/>
        <v>036</v>
      </c>
      <c r="L174">
        <f t="shared" si="11"/>
        <v>7</v>
      </c>
    </row>
    <row r="175" spans="1:12" x14ac:dyDescent="0.35">
      <c r="A175" s="14">
        <v>229</v>
      </c>
      <c r="B175" s="15">
        <v>230</v>
      </c>
      <c r="C175" s="15">
        <v>0.16669999999999999</v>
      </c>
      <c r="D175" s="15">
        <v>0.5</v>
      </c>
      <c r="E175" s="15">
        <v>0.16420000000000001</v>
      </c>
      <c r="F175" s="15">
        <v>1</v>
      </c>
      <c r="G175" s="15">
        <v>73</v>
      </c>
      <c r="H175" s="16">
        <v>74</v>
      </c>
      <c r="I175" t="str">
        <f t="shared" si="8"/>
        <v>REC-229</v>
      </c>
      <c r="J175" t="str">
        <f t="shared" si="9"/>
        <v>REC</v>
      </c>
      <c r="K175" t="str">
        <f t="shared" si="10"/>
        <v>229</v>
      </c>
      <c r="L175">
        <f t="shared" si="11"/>
        <v>7</v>
      </c>
    </row>
    <row r="176" spans="1:12" x14ac:dyDescent="0.35">
      <c r="A176" s="14">
        <v>225</v>
      </c>
      <c r="B176" s="15">
        <v>226</v>
      </c>
      <c r="C176" s="15">
        <v>0.21210000000000001</v>
      </c>
      <c r="D176" s="15">
        <v>0.4</v>
      </c>
      <c r="E176" s="15">
        <v>0.1343</v>
      </c>
      <c r="F176" s="15">
        <v>4</v>
      </c>
      <c r="G176" s="15">
        <v>70</v>
      </c>
      <c r="H176" s="16">
        <v>74</v>
      </c>
      <c r="I176" t="str">
        <f t="shared" si="8"/>
        <v>REC-225</v>
      </c>
      <c r="J176" t="str">
        <f t="shared" si="9"/>
        <v>REC</v>
      </c>
      <c r="K176" t="str">
        <f t="shared" si="10"/>
        <v>225</v>
      </c>
      <c r="L176">
        <f t="shared" si="11"/>
        <v>7</v>
      </c>
    </row>
    <row r="177" spans="1:12" x14ac:dyDescent="0.35">
      <c r="A177" s="14">
        <v>176</v>
      </c>
      <c r="B177" s="15">
        <v>177</v>
      </c>
      <c r="C177" s="15">
        <v>0.16669999999999999</v>
      </c>
      <c r="D177" s="15">
        <v>0.32</v>
      </c>
      <c r="E177" s="15">
        <v>0.44779999999999998</v>
      </c>
      <c r="F177" s="15">
        <v>5</v>
      </c>
      <c r="G177" s="15">
        <v>69</v>
      </c>
      <c r="H177" s="16">
        <v>74</v>
      </c>
      <c r="I177" t="str">
        <f t="shared" si="8"/>
        <v>REC-176</v>
      </c>
      <c r="J177" t="str">
        <f t="shared" si="9"/>
        <v>REC</v>
      </c>
      <c r="K177" t="str">
        <f t="shared" si="10"/>
        <v>176</v>
      </c>
      <c r="L177">
        <f t="shared" si="11"/>
        <v>7</v>
      </c>
    </row>
    <row r="178" spans="1:12" x14ac:dyDescent="0.35">
      <c r="A178" s="14">
        <v>343</v>
      </c>
      <c r="B178" s="15">
        <v>344</v>
      </c>
      <c r="C178" s="15">
        <v>0.30299999999999999</v>
      </c>
      <c r="D178" s="15">
        <v>0.39</v>
      </c>
      <c r="E178" s="15">
        <v>0.25369999999999998</v>
      </c>
      <c r="F178" s="15">
        <v>14</v>
      </c>
      <c r="G178" s="15">
        <v>60</v>
      </c>
      <c r="H178" s="16">
        <v>74</v>
      </c>
      <c r="I178" t="str">
        <f t="shared" si="8"/>
        <v>REC-343</v>
      </c>
      <c r="J178" t="str">
        <f t="shared" si="9"/>
        <v>REC</v>
      </c>
      <c r="K178" t="str">
        <f t="shared" si="10"/>
        <v>343</v>
      </c>
      <c r="L178">
        <f t="shared" si="11"/>
        <v>7</v>
      </c>
    </row>
    <row r="179" spans="1:12" x14ac:dyDescent="0.35">
      <c r="A179" s="14">
        <v>38</v>
      </c>
      <c r="B179" s="15">
        <v>39</v>
      </c>
      <c r="C179" s="15">
        <v>0.33329999999999999</v>
      </c>
      <c r="D179" s="15">
        <v>0.81</v>
      </c>
      <c r="E179" s="15">
        <v>0.16420000000000001</v>
      </c>
      <c r="F179" s="15">
        <v>19</v>
      </c>
      <c r="G179" s="15">
        <v>55</v>
      </c>
      <c r="H179" s="16">
        <v>74</v>
      </c>
      <c r="I179" t="str">
        <f t="shared" si="8"/>
        <v>REC-038</v>
      </c>
      <c r="J179" t="str">
        <f t="shared" si="9"/>
        <v>REC</v>
      </c>
      <c r="K179" t="str">
        <f t="shared" si="10"/>
        <v>038</v>
      </c>
      <c r="L179">
        <f t="shared" si="11"/>
        <v>7</v>
      </c>
    </row>
    <row r="180" spans="1:12" x14ac:dyDescent="0.35">
      <c r="A180" s="14">
        <v>468</v>
      </c>
      <c r="B180" s="15">
        <v>469</v>
      </c>
      <c r="C180" s="15">
        <v>0.1515</v>
      </c>
      <c r="D180" s="15">
        <v>0.21</v>
      </c>
      <c r="E180" s="15">
        <v>0.58209999999999995</v>
      </c>
      <c r="F180" s="15">
        <v>8</v>
      </c>
      <c r="G180" s="15">
        <v>65</v>
      </c>
      <c r="H180" s="16">
        <v>73</v>
      </c>
      <c r="I180" t="str">
        <f t="shared" si="8"/>
        <v>REC-468</v>
      </c>
      <c r="J180" t="str">
        <f t="shared" si="9"/>
        <v>REC</v>
      </c>
      <c r="K180" t="str">
        <f t="shared" si="10"/>
        <v>468</v>
      </c>
      <c r="L180">
        <f t="shared" si="11"/>
        <v>7</v>
      </c>
    </row>
    <row r="181" spans="1:12" x14ac:dyDescent="0.35">
      <c r="A181" s="14">
        <v>150</v>
      </c>
      <c r="B181" s="15">
        <v>151</v>
      </c>
      <c r="C181" s="15">
        <v>0.18179999999999999</v>
      </c>
      <c r="D181" s="15">
        <v>0.37</v>
      </c>
      <c r="E181" s="15">
        <v>0.28360000000000002</v>
      </c>
      <c r="F181" s="15">
        <v>9</v>
      </c>
      <c r="G181" s="15">
        <v>64</v>
      </c>
      <c r="H181" s="16">
        <v>73</v>
      </c>
      <c r="I181" t="str">
        <f t="shared" si="8"/>
        <v>REC-150</v>
      </c>
      <c r="J181" t="str">
        <f t="shared" si="9"/>
        <v>REC</v>
      </c>
      <c r="K181" t="str">
        <f t="shared" si="10"/>
        <v>150</v>
      </c>
      <c r="L181">
        <f t="shared" si="11"/>
        <v>7</v>
      </c>
    </row>
    <row r="182" spans="1:12" x14ac:dyDescent="0.35">
      <c r="A182" s="14">
        <v>284</v>
      </c>
      <c r="B182" s="15">
        <v>285</v>
      </c>
      <c r="C182" s="15">
        <v>0.1515</v>
      </c>
      <c r="D182" s="15">
        <v>0.54</v>
      </c>
      <c r="E182" s="15">
        <v>0.1343</v>
      </c>
      <c r="F182" s="15">
        <v>0</v>
      </c>
      <c r="G182" s="15">
        <v>72</v>
      </c>
      <c r="H182" s="16">
        <v>72</v>
      </c>
      <c r="I182" t="str">
        <f t="shared" si="8"/>
        <v>REC-284</v>
      </c>
      <c r="J182" t="str">
        <f t="shared" si="9"/>
        <v>REC</v>
      </c>
      <c r="K182" t="str">
        <f t="shared" si="10"/>
        <v>284</v>
      </c>
      <c r="L182">
        <f t="shared" si="11"/>
        <v>7</v>
      </c>
    </row>
    <row r="183" spans="1:12" x14ac:dyDescent="0.35">
      <c r="A183" s="14">
        <v>577</v>
      </c>
      <c r="B183" s="15">
        <v>578</v>
      </c>
      <c r="C183" s="15">
        <v>0.21210000000000001</v>
      </c>
      <c r="D183" s="15">
        <v>0.87</v>
      </c>
      <c r="E183" s="15">
        <v>0.29849999999999999</v>
      </c>
      <c r="F183" s="15">
        <v>3</v>
      </c>
      <c r="G183" s="15">
        <v>69</v>
      </c>
      <c r="H183" s="16">
        <v>72</v>
      </c>
      <c r="I183" t="str">
        <f t="shared" si="8"/>
        <v>REC-577</v>
      </c>
      <c r="J183" t="str">
        <f t="shared" si="9"/>
        <v>REC</v>
      </c>
      <c r="K183" t="str">
        <f t="shared" si="10"/>
        <v>577</v>
      </c>
      <c r="L183">
        <f t="shared" si="11"/>
        <v>7</v>
      </c>
    </row>
    <row r="184" spans="1:12" x14ac:dyDescent="0.35">
      <c r="A184" s="14">
        <v>199</v>
      </c>
      <c r="B184" s="15">
        <v>200</v>
      </c>
      <c r="C184" s="15">
        <v>0.18179999999999999</v>
      </c>
      <c r="D184" s="15">
        <v>0.32</v>
      </c>
      <c r="E184" s="15">
        <v>0.4627</v>
      </c>
      <c r="F184" s="15">
        <v>8</v>
      </c>
      <c r="G184" s="15">
        <v>64</v>
      </c>
      <c r="H184" s="16">
        <v>72</v>
      </c>
      <c r="I184" t="str">
        <f t="shared" si="8"/>
        <v>REC-199</v>
      </c>
      <c r="J184" t="str">
        <f t="shared" si="9"/>
        <v>REC</v>
      </c>
      <c r="K184" t="str">
        <f t="shared" si="10"/>
        <v>199</v>
      </c>
      <c r="L184">
        <f t="shared" si="11"/>
        <v>7</v>
      </c>
    </row>
    <row r="185" spans="1:12" x14ac:dyDescent="0.35">
      <c r="A185" s="14">
        <v>152</v>
      </c>
      <c r="B185" s="15">
        <v>153</v>
      </c>
      <c r="C185" s="15">
        <v>0.21210000000000001</v>
      </c>
      <c r="D185" s="15">
        <v>0.37</v>
      </c>
      <c r="E185" s="15">
        <v>0.16420000000000001</v>
      </c>
      <c r="F185" s="15">
        <v>9</v>
      </c>
      <c r="G185" s="15">
        <v>63</v>
      </c>
      <c r="H185" s="16">
        <v>72</v>
      </c>
      <c r="I185" t="str">
        <f t="shared" si="8"/>
        <v>REC-152</v>
      </c>
      <c r="J185" t="str">
        <f t="shared" si="9"/>
        <v>REC</v>
      </c>
      <c r="K185" t="str">
        <f t="shared" si="10"/>
        <v>152</v>
      </c>
      <c r="L185">
        <f t="shared" si="11"/>
        <v>7</v>
      </c>
    </row>
    <row r="186" spans="1:12" x14ac:dyDescent="0.35">
      <c r="A186" s="14">
        <v>60</v>
      </c>
      <c r="B186" s="15">
        <v>61</v>
      </c>
      <c r="C186" s="15">
        <v>0.2424</v>
      </c>
      <c r="D186" s="15">
        <v>0.3</v>
      </c>
      <c r="E186" s="15">
        <v>0.25369999999999998</v>
      </c>
      <c r="F186" s="15">
        <v>14</v>
      </c>
      <c r="G186" s="15">
        <v>58</v>
      </c>
      <c r="H186" s="16">
        <v>72</v>
      </c>
      <c r="I186" t="str">
        <f t="shared" si="8"/>
        <v>REC-060</v>
      </c>
      <c r="J186" t="str">
        <f t="shared" si="9"/>
        <v>REC</v>
      </c>
      <c r="K186" t="str">
        <f t="shared" si="10"/>
        <v>060</v>
      </c>
      <c r="L186">
        <f t="shared" si="11"/>
        <v>7</v>
      </c>
    </row>
    <row r="187" spans="1:12" x14ac:dyDescent="0.35">
      <c r="A187" s="14">
        <v>335</v>
      </c>
      <c r="B187" s="15">
        <v>336</v>
      </c>
      <c r="C187" s="15">
        <v>0.19700000000000001</v>
      </c>
      <c r="D187" s="15">
        <v>0.55000000000000004</v>
      </c>
      <c r="E187" s="15">
        <v>0.22389999999999999</v>
      </c>
      <c r="F187" s="15">
        <v>18</v>
      </c>
      <c r="G187" s="15">
        <v>54</v>
      </c>
      <c r="H187" s="16">
        <v>72</v>
      </c>
      <c r="I187" t="str">
        <f t="shared" si="8"/>
        <v>REC-335</v>
      </c>
      <c r="J187" t="str">
        <f t="shared" si="9"/>
        <v>REC</v>
      </c>
      <c r="K187" t="str">
        <f t="shared" si="10"/>
        <v>335</v>
      </c>
      <c r="L187">
        <f t="shared" si="11"/>
        <v>7</v>
      </c>
    </row>
    <row r="188" spans="1:12" x14ac:dyDescent="0.35">
      <c r="A188" s="14">
        <v>389</v>
      </c>
      <c r="B188" s="15">
        <v>390</v>
      </c>
      <c r="C188" s="15">
        <v>0.19700000000000001</v>
      </c>
      <c r="D188" s="15">
        <v>0.51</v>
      </c>
      <c r="E188" s="15">
        <v>0.19400000000000001</v>
      </c>
      <c r="F188" s="15">
        <v>4</v>
      </c>
      <c r="G188" s="15">
        <v>67</v>
      </c>
      <c r="H188" s="16">
        <v>71</v>
      </c>
      <c r="I188" t="str">
        <f t="shared" si="8"/>
        <v>REC-389</v>
      </c>
      <c r="J188" t="str">
        <f t="shared" si="9"/>
        <v>REC</v>
      </c>
      <c r="K188" t="str">
        <f t="shared" si="10"/>
        <v>389</v>
      </c>
      <c r="L188">
        <f t="shared" si="11"/>
        <v>7</v>
      </c>
    </row>
    <row r="189" spans="1:12" x14ac:dyDescent="0.35">
      <c r="A189" s="14">
        <v>104</v>
      </c>
      <c r="B189" s="15">
        <v>105</v>
      </c>
      <c r="C189" s="15">
        <v>0.2576</v>
      </c>
      <c r="D189" s="15">
        <v>0.3</v>
      </c>
      <c r="E189" s="15">
        <v>0.29849999999999999</v>
      </c>
      <c r="F189" s="15">
        <v>6</v>
      </c>
      <c r="G189" s="15">
        <v>65</v>
      </c>
      <c r="H189" s="16">
        <v>71</v>
      </c>
      <c r="I189" t="str">
        <f t="shared" si="8"/>
        <v>REC-104</v>
      </c>
      <c r="J189" t="str">
        <f t="shared" si="9"/>
        <v>REC</v>
      </c>
      <c r="K189" t="str">
        <f t="shared" si="10"/>
        <v>104</v>
      </c>
      <c r="L189">
        <f t="shared" si="11"/>
        <v>7</v>
      </c>
    </row>
    <row r="190" spans="1:12" x14ac:dyDescent="0.35">
      <c r="A190" s="14">
        <v>307</v>
      </c>
      <c r="B190" s="15">
        <v>308</v>
      </c>
      <c r="C190" s="15">
        <v>0.1212</v>
      </c>
      <c r="D190" s="15">
        <v>0.74</v>
      </c>
      <c r="E190" s="15">
        <v>0.16420000000000001</v>
      </c>
      <c r="F190" s="15">
        <v>0</v>
      </c>
      <c r="G190" s="15">
        <v>70</v>
      </c>
      <c r="H190" s="16">
        <v>70</v>
      </c>
      <c r="I190" t="str">
        <f t="shared" si="8"/>
        <v>REC-307</v>
      </c>
      <c r="J190" t="str">
        <f t="shared" si="9"/>
        <v>REC</v>
      </c>
      <c r="K190" t="str">
        <f t="shared" si="10"/>
        <v>307</v>
      </c>
      <c r="L190">
        <f t="shared" si="11"/>
        <v>7</v>
      </c>
    </row>
    <row r="191" spans="1:12" x14ac:dyDescent="0.35">
      <c r="A191" s="14">
        <v>540</v>
      </c>
      <c r="B191" s="15">
        <v>541</v>
      </c>
      <c r="C191" s="15">
        <v>0.1515</v>
      </c>
      <c r="D191" s="15">
        <v>0.47</v>
      </c>
      <c r="E191" s="15">
        <v>0.25369999999999998</v>
      </c>
      <c r="F191" s="15">
        <v>4</v>
      </c>
      <c r="G191" s="15">
        <v>66</v>
      </c>
      <c r="H191" s="16">
        <v>70</v>
      </c>
      <c r="I191" t="str">
        <f t="shared" si="8"/>
        <v>REC-540</v>
      </c>
      <c r="J191" t="str">
        <f t="shared" si="9"/>
        <v>REC</v>
      </c>
      <c r="K191" t="str">
        <f t="shared" si="10"/>
        <v>540</v>
      </c>
      <c r="L191">
        <f t="shared" si="11"/>
        <v>7</v>
      </c>
    </row>
    <row r="192" spans="1:12" x14ac:dyDescent="0.35">
      <c r="A192" s="14">
        <v>419</v>
      </c>
      <c r="B192" s="15">
        <v>420</v>
      </c>
      <c r="C192" s="15">
        <v>0.31819999999999998</v>
      </c>
      <c r="D192" s="15">
        <v>0.81</v>
      </c>
      <c r="E192" s="15">
        <v>8.9599999999999999E-2</v>
      </c>
      <c r="F192" s="15">
        <v>5</v>
      </c>
      <c r="G192" s="15">
        <v>65</v>
      </c>
      <c r="H192" s="16">
        <v>70</v>
      </c>
      <c r="I192" t="str">
        <f t="shared" si="8"/>
        <v>REC-419</v>
      </c>
      <c r="J192" t="str">
        <f t="shared" si="9"/>
        <v>REC</v>
      </c>
      <c r="K192" t="str">
        <f t="shared" si="10"/>
        <v>419</v>
      </c>
      <c r="L192">
        <f t="shared" si="11"/>
        <v>7</v>
      </c>
    </row>
    <row r="193" spans="1:12" x14ac:dyDescent="0.35">
      <c r="A193" s="14">
        <v>446</v>
      </c>
      <c r="B193" s="15">
        <v>447</v>
      </c>
      <c r="C193" s="15">
        <v>0.31819999999999998</v>
      </c>
      <c r="D193" s="15">
        <v>0.45</v>
      </c>
      <c r="E193" s="15">
        <v>0.19400000000000001</v>
      </c>
      <c r="F193" s="15">
        <v>8</v>
      </c>
      <c r="G193" s="15">
        <v>62</v>
      </c>
      <c r="H193" s="16">
        <v>70</v>
      </c>
      <c r="I193" t="str">
        <f t="shared" si="8"/>
        <v>REC-446</v>
      </c>
      <c r="J193" t="str">
        <f t="shared" si="9"/>
        <v>REC</v>
      </c>
      <c r="K193" t="str">
        <f t="shared" si="10"/>
        <v>446</v>
      </c>
      <c r="L193">
        <f t="shared" si="11"/>
        <v>7</v>
      </c>
    </row>
    <row r="194" spans="1:12" x14ac:dyDescent="0.35">
      <c r="A194" s="14">
        <v>490</v>
      </c>
      <c r="B194" s="15">
        <v>491</v>
      </c>
      <c r="C194" s="15">
        <v>0.1061</v>
      </c>
      <c r="D194" s="15">
        <v>0.38</v>
      </c>
      <c r="E194" s="15">
        <v>0.1045</v>
      </c>
      <c r="F194" s="15">
        <v>10</v>
      </c>
      <c r="G194" s="15">
        <v>60</v>
      </c>
      <c r="H194" s="16">
        <v>70</v>
      </c>
      <c r="I194" t="str">
        <f t="shared" si="8"/>
        <v>REC-490</v>
      </c>
      <c r="J194" t="str">
        <f t="shared" si="9"/>
        <v>REC</v>
      </c>
      <c r="K194" t="str">
        <f t="shared" si="10"/>
        <v>490</v>
      </c>
      <c r="L194">
        <f t="shared" si="11"/>
        <v>7</v>
      </c>
    </row>
    <row r="195" spans="1:12" x14ac:dyDescent="0.35">
      <c r="A195" s="14">
        <v>128</v>
      </c>
      <c r="B195" s="15">
        <v>129</v>
      </c>
      <c r="C195" s="15">
        <v>0.2727</v>
      </c>
      <c r="D195" s="15">
        <v>0.36</v>
      </c>
      <c r="E195" s="15">
        <v>0.16420000000000001</v>
      </c>
      <c r="F195" s="15">
        <v>11</v>
      </c>
      <c r="G195" s="15">
        <v>59</v>
      </c>
      <c r="H195" s="16">
        <v>70</v>
      </c>
      <c r="I195" t="str">
        <f t="shared" ref="I195:I258" si="12">"REC-"&amp;TEXT(A195,"000")</f>
        <v>REC-128</v>
      </c>
      <c r="J195" t="str">
        <f t="shared" ref="J195:J258" si="13">LEFT(I195,3)</f>
        <v>REC</v>
      </c>
      <c r="K195" t="str">
        <f t="shared" ref="K195:K258" si="14">RIGHT(I195,3)</f>
        <v>128</v>
      </c>
      <c r="L195">
        <f t="shared" ref="L195:L258" si="15">LEN(I195)</f>
        <v>7</v>
      </c>
    </row>
    <row r="196" spans="1:12" x14ac:dyDescent="0.35">
      <c r="A196" s="14">
        <v>34</v>
      </c>
      <c r="B196" s="15">
        <v>35</v>
      </c>
      <c r="C196" s="15">
        <v>0.33329999999999999</v>
      </c>
      <c r="D196" s="15">
        <v>0.71</v>
      </c>
      <c r="E196" s="15">
        <v>0.25369999999999998</v>
      </c>
      <c r="F196" s="15">
        <v>16</v>
      </c>
      <c r="G196" s="15">
        <v>54</v>
      </c>
      <c r="H196" s="16">
        <v>70</v>
      </c>
      <c r="I196" t="str">
        <f t="shared" si="12"/>
        <v>REC-034</v>
      </c>
      <c r="J196" t="str">
        <f t="shared" si="13"/>
        <v>REC</v>
      </c>
      <c r="K196" t="str">
        <f t="shared" si="14"/>
        <v>034</v>
      </c>
      <c r="L196">
        <f t="shared" si="15"/>
        <v>7</v>
      </c>
    </row>
    <row r="197" spans="1:12" x14ac:dyDescent="0.35">
      <c r="A197" s="14">
        <v>134</v>
      </c>
      <c r="B197" s="15">
        <v>135</v>
      </c>
      <c r="C197" s="15">
        <v>0.21210000000000001</v>
      </c>
      <c r="D197" s="15">
        <v>0.51</v>
      </c>
      <c r="E197" s="15">
        <v>0.16420000000000001</v>
      </c>
      <c r="F197" s="15">
        <v>3</v>
      </c>
      <c r="G197" s="15">
        <v>66</v>
      </c>
      <c r="H197" s="16">
        <v>69</v>
      </c>
      <c r="I197" t="str">
        <f t="shared" si="12"/>
        <v>REC-134</v>
      </c>
      <c r="J197" t="str">
        <f t="shared" si="13"/>
        <v>REC</v>
      </c>
      <c r="K197" t="str">
        <f t="shared" si="14"/>
        <v>134</v>
      </c>
      <c r="L197">
        <f t="shared" si="15"/>
        <v>7</v>
      </c>
    </row>
    <row r="198" spans="1:12" x14ac:dyDescent="0.35">
      <c r="A198" s="14">
        <v>178</v>
      </c>
      <c r="B198" s="15">
        <v>179</v>
      </c>
      <c r="C198" s="15">
        <v>0.1212</v>
      </c>
      <c r="D198" s="15">
        <v>0.37</v>
      </c>
      <c r="E198" s="15">
        <v>0.55220000000000002</v>
      </c>
      <c r="F198" s="15">
        <v>5</v>
      </c>
      <c r="G198" s="15">
        <v>64</v>
      </c>
      <c r="H198" s="16">
        <v>69</v>
      </c>
      <c r="I198" t="str">
        <f t="shared" si="12"/>
        <v>REC-178</v>
      </c>
      <c r="J198" t="str">
        <f t="shared" si="13"/>
        <v>REC</v>
      </c>
      <c r="K198" t="str">
        <f t="shared" si="14"/>
        <v>178</v>
      </c>
      <c r="L198">
        <f t="shared" si="15"/>
        <v>7</v>
      </c>
    </row>
    <row r="199" spans="1:12" x14ac:dyDescent="0.35">
      <c r="A199" s="14">
        <v>320</v>
      </c>
      <c r="B199" s="15">
        <v>321</v>
      </c>
      <c r="C199" s="15">
        <v>0.2424</v>
      </c>
      <c r="D199" s="15">
        <v>0.59</v>
      </c>
      <c r="E199" s="15">
        <v>0</v>
      </c>
      <c r="F199" s="15">
        <v>0</v>
      </c>
      <c r="G199" s="15">
        <v>68</v>
      </c>
      <c r="H199" s="16">
        <v>68</v>
      </c>
      <c r="I199" t="str">
        <f t="shared" si="12"/>
        <v>REC-320</v>
      </c>
      <c r="J199" t="str">
        <f t="shared" si="13"/>
        <v>REC</v>
      </c>
      <c r="K199" t="str">
        <f t="shared" si="14"/>
        <v>320</v>
      </c>
      <c r="L199">
        <f t="shared" si="15"/>
        <v>7</v>
      </c>
    </row>
    <row r="200" spans="1:12" x14ac:dyDescent="0.35">
      <c r="A200" s="14">
        <v>462</v>
      </c>
      <c r="B200" s="15">
        <v>463</v>
      </c>
      <c r="C200" s="15">
        <v>0.18179999999999999</v>
      </c>
      <c r="D200" s="15">
        <v>0.51</v>
      </c>
      <c r="E200" s="15">
        <v>0.28360000000000002</v>
      </c>
      <c r="F200" s="15">
        <v>2</v>
      </c>
      <c r="G200" s="15">
        <v>66</v>
      </c>
      <c r="H200" s="16">
        <v>68</v>
      </c>
      <c r="I200" t="str">
        <f t="shared" si="12"/>
        <v>REC-462</v>
      </c>
      <c r="J200" t="str">
        <f t="shared" si="13"/>
        <v>REC</v>
      </c>
      <c r="K200" t="str">
        <f t="shared" si="14"/>
        <v>462</v>
      </c>
      <c r="L200">
        <f t="shared" si="15"/>
        <v>7</v>
      </c>
    </row>
    <row r="201" spans="1:12" x14ac:dyDescent="0.35">
      <c r="A201" s="14">
        <v>442</v>
      </c>
      <c r="B201" s="15">
        <v>443</v>
      </c>
      <c r="C201" s="15">
        <v>0.2727</v>
      </c>
      <c r="D201" s="15">
        <v>0.45</v>
      </c>
      <c r="E201" s="15">
        <v>0.16420000000000001</v>
      </c>
      <c r="F201" s="15">
        <v>5</v>
      </c>
      <c r="G201" s="15">
        <v>63</v>
      </c>
      <c r="H201" s="16">
        <v>68</v>
      </c>
      <c r="I201" t="str">
        <f t="shared" si="12"/>
        <v>REC-442</v>
      </c>
      <c r="J201" t="str">
        <f t="shared" si="13"/>
        <v>REC</v>
      </c>
      <c r="K201" t="str">
        <f t="shared" si="14"/>
        <v>442</v>
      </c>
      <c r="L201">
        <f t="shared" si="15"/>
        <v>7</v>
      </c>
    </row>
    <row r="202" spans="1:12" x14ac:dyDescent="0.35">
      <c r="A202" s="14">
        <v>269</v>
      </c>
      <c r="B202" s="15">
        <v>270</v>
      </c>
      <c r="C202" s="15">
        <v>0.19700000000000001</v>
      </c>
      <c r="D202" s="15">
        <v>0.44</v>
      </c>
      <c r="E202" s="15">
        <v>0.32840000000000003</v>
      </c>
      <c r="F202" s="15">
        <v>5</v>
      </c>
      <c r="G202" s="15">
        <v>63</v>
      </c>
      <c r="H202" s="16">
        <v>68</v>
      </c>
      <c r="I202" t="str">
        <f t="shared" si="12"/>
        <v>REC-269</v>
      </c>
      <c r="J202" t="str">
        <f t="shared" si="13"/>
        <v>REC</v>
      </c>
      <c r="K202" t="str">
        <f t="shared" si="14"/>
        <v>269</v>
      </c>
      <c r="L202">
        <f t="shared" si="15"/>
        <v>7</v>
      </c>
    </row>
    <row r="203" spans="1:12" x14ac:dyDescent="0.35">
      <c r="A203" s="14">
        <v>315</v>
      </c>
      <c r="B203" s="15">
        <v>316</v>
      </c>
      <c r="C203" s="15">
        <v>0.2424</v>
      </c>
      <c r="D203" s="15">
        <v>0.38</v>
      </c>
      <c r="E203" s="15">
        <v>0.16420000000000001</v>
      </c>
      <c r="F203" s="15">
        <v>9</v>
      </c>
      <c r="G203" s="15">
        <v>59</v>
      </c>
      <c r="H203" s="16">
        <v>68</v>
      </c>
      <c r="I203" t="str">
        <f t="shared" si="12"/>
        <v>REC-315</v>
      </c>
      <c r="J203" t="str">
        <f t="shared" si="13"/>
        <v>REC</v>
      </c>
      <c r="K203" t="str">
        <f t="shared" si="14"/>
        <v>315</v>
      </c>
      <c r="L203">
        <f t="shared" si="15"/>
        <v>7</v>
      </c>
    </row>
    <row r="204" spans="1:12" x14ac:dyDescent="0.35">
      <c r="A204" s="14">
        <v>561</v>
      </c>
      <c r="B204" s="15">
        <v>562</v>
      </c>
      <c r="C204" s="15">
        <v>0.33329999999999999</v>
      </c>
      <c r="D204" s="15">
        <v>0.45</v>
      </c>
      <c r="E204" s="15">
        <v>0</v>
      </c>
      <c r="F204" s="15">
        <v>11</v>
      </c>
      <c r="G204" s="15">
        <v>57</v>
      </c>
      <c r="H204" s="16">
        <v>68</v>
      </c>
      <c r="I204" t="str">
        <f t="shared" si="12"/>
        <v>REC-561</v>
      </c>
      <c r="J204" t="str">
        <f t="shared" si="13"/>
        <v>REC</v>
      </c>
      <c r="K204" t="str">
        <f t="shared" si="14"/>
        <v>561</v>
      </c>
      <c r="L204">
        <f t="shared" si="15"/>
        <v>7</v>
      </c>
    </row>
    <row r="205" spans="1:12" x14ac:dyDescent="0.35">
      <c r="A205" s="14">
        <v>495</v>
      </c>
      <c r="B205" s="15">
        <v>496</v>
      </c>
      <c r="C205" s="15">
        <v>0.19700000000000001</v>
      </c>
      <c r="D205" s="15">
        <v>0.28000000000000003</v>
      </c>
      <c r="E205" s="15">
        <v>0</v>
      </c>
      <c r="F205" s="15">
        <v>8</v>
      </c>
      <c r="G205" s="15">
        <v>59</v>
      </c>
      <c r="H205" s="16">
        <v>67</v>
      </c>
      <c r="I205" t="str">
        <f t="shared" si="12"/>
        <v>REC-495</v>
      </c>
      <c r="J205" t="str">
        <f t="shared" si="13"/>
        <v>REC</v>
      </c>
      <c r="K205" t="str">
        <f t="shared" si="14"/>
        <v>495</v>
      </c>
      <c r="L205">
        <f t="shared" si="15"/>
        <v>7</v>
      </c>
    </row>
    <row r="206" spans="1:12" x14ac:dyDescent="0.35">
      <c r="A206" s="14">
        <v>366</v>
      </c>
      <c r="B206" s="15">
        <v>367</v>
      </c>
      <c r="C206" s="15">
        <v>0.21210000000000001</v>
      </c>
      <c r="D206" s="15">
        <v>0.4</v>
      </c>
      <c r="E206" s="15">
        <v>0.16420000000000001</v>
      </c>
      <c r="F206" s="15">
        <v>11</v>
      </c>
      <c r="G206" s="15">
        <v>56</v>
      </c>
      <c r="H206" s="16">
        <v>67</v>
      </c>
      <c r="I206" t="str">
        <f t="shared" si="12"/>
        <v>REC-366</v>
      </c>
      <c r="J206" t="str">
        <f t="shared" si="13"/>
        <v>REC</v>
      </c>
      <c r="K206" t="str">
        <f t="shared" si="14"/>
        <v>366</v>
      </c>
      <c r="L206">
        <f t="shared" si="15"/>
        <v>7</v>
      </c>
    </row>
    <row r="207" spans="1:12" x14ac:dyDescent="0.35">
      <c r="A207" s="14">
        <v>127</v>
      </c>
      <c r="B207" s="15">
        <v>128</v>
      </c>
      <c r="C207" s="15">
        <v>0.2727</v>
      </c>
      <c r="D207" s="15">
        <v>0.35</v>
      </c>
      <c r="E207" s="15">
        <v>0.1045</v>
      </c>
      <c r="F207" s="15">
        <v>12</v>
      </c>
      <c r="G207" s="15">
        <v>55</v>
      </c>
      <c r="H207" s="16">
        <v>67</v>
      </c>
      <c r="I207" t="str">
        <f t="shared" si="12"/>
        <v>REC-127</v>
      </c>
      <c r="J207" t="str">
        <f t="shared" si="13"/>
        <v>REC</v>
      </c>
      <c r="K207" t="str">
        <f t="shared" si="14"/>
        <v>127</v>
      </c>
      <c r="L207">
        <f t="shared" si="15"/>
        <v>7</v>
      </c>
    </row>
    <row r="208" spans="1:12" x14ac:dyDescent="0.35">
      <c r="A208" s="14">
        <v>17</v>
      </c>
      <c r="B208" s="15">
        <v>18</v>
      </c>
      <c r="C208" s="17"/>
      <c r="D208" s="15">
        <v>0.82</v>
      </c>
      <c r="E208" s="15">
        <v>0.28360000000000002</v>
      </c>
      <c r="F208" s="15">
        <v>15</v>
      </c>
      <c r="G208" s="15">
        <v>52</v>
      </c>
      <c r="H208" s="16">
        <v>67</v>
      </c>
      <c r="I208" t="str">
        <f t="shared" si="12"/>
        <v>REC-017</v>
      </c>
      <c r="J208" t="str">
        <f t="shared" si="13"/>
        <v>REC</v>
      </c>
      <c r="K208" t="str">
        <f t="shared" si="14"/>
        <v>017</v>
      </c>
      <c r="L208">
        <f t="shared" si="15"/>
        <v>7</v>
      </c>
    </row>
    <row r="209" spans="1:12" x14ac:dyDescent="0.35">
      <c r="A209" s="14">
        <v>148</v>
      </c>
      <c r="B209" s="15">
        <v>149</v>
      </c>
      <c r="C209" s="15">
        <v>0.19700000000000001</v>
      </c>
      <c r="D209" s="15">
        <v>0.4</v>
      </c>
      <c r="E209" s="15">
        <v>0.22389999999999999</v>
      </c>
      <c r="F209" s="15">
        <v>19</v>
      </c>
      <c r="G209" s="15">
        <v>48</v>
      </c>
      <c r="H209" s="16">
        <v>67</v>
      </c>
      <c r="I209" t="str">
        <f t="shared" si="12"/>
        <v>REC-148</v>
      </c>
      <c r="J209" t="str">
        <f t="shared" si="13"/>
        <v>REC</v>
      </c>
      <c r="K209" t="str">
        <f t="shared" si="14"/>
        <v>148</v>
      </c>
      <c r="L209">
        <f t="shared" si="15"/>
        <v>7</v>
      </c>
    </row>
    <row r="210" spans="1:12" x14ac:dyDescent="0.35">
      <c r="A210" s="14">
        <v>470</v>
      </c>
      <c r="B210" s="15">
        <v>471</v>
      </c>
      <c r="C210" s="15">
        <v>0.1212</v>
      </c>
      <c r="D210" s="15">
        <v>0.26</v>
      </c>
      <c r="E210" s="15">
        <v>0.44779999999999998</v>
      </c>
      <c r="F210" s="15">
        <v>4</v>
      </c>
      <c r="G210" s="15">
        <v>61</v>
      </c>
      <c r="H210" s="16">
        <v>65</v>
      </c>
      <c r="I210" t="str">
        <f t="shared" si="12"/>
        <v>REC-470</v>
      </c>
      <c r="J210" t="str">
        <f t="shared" si="13"/>
        <v>REC</v>
      </c>
      <c r="K210" t="str">
        <f t="shared" si="14"/>
        <v>470</v>
      </c>
      <c r="L210">
        <f t="shared" si="15"/>
        <v>7</v>
      </c>
    </row>
    <row r="211" spans="1:12" x14ac:dyDescent="0.35">
      <c r="A211" s="14">
        <v>40</v>
      </c>
      <c r="B211" s="15">
        <v>41</v>
      </c>
      <c r="C211" s="15">
        <v>0.33329999999999999</v>
      </c>
      <c r="D211" s="15">
        <v>0.56999999999999995</v>
      </c>
      <c r="E211" s="15">
        <v>0.19400000000000001</v>
      </c>
      <c r="F211" s="15">
        <v>7</v>
      </c>
      <c r="G211" s="15">
        <v>58</v>
      </c>
      <c r="H211" s="16">
        <v>65</v>
      </c>
      <c r="I211" t="str">
        <f t="shared" si="12"/>
        <v>REC-040</v>
      </c>
      <c r="J211" t="str">
        <f t="shared" si="13"/>
        <v>REC</v>
      </c>
      <c r="K211" t="str">
        <f t="shared" si="14"/>
        <v>040</v>
      </c>
      <c r="L211">
        <f t="shared" si="15"/>
        <v>7</v>
      </c>
    </row>
    <row r="212" spans="1:12" x14ac:dyDescent="0.35">
      <c r="A212" s="14">
        <v>517</v>
      </c>
      <c r="B212" s="15">
        <v>518</v>
      </c>
      <c r="C212" s="15">
        <v>0.13639999999999999</v>
      </c>
      <c r="D212" s="15">
        <v>0.26</v>
      </c>
      <c r="E212" s="15">
        <v>0.32840000000000003</v>
      </c>
      <c r="F212" s="15">
        <v>9</v>
      </c>
      <c r="G212" s="15">
        <v>56</v>
      </c>
      <c r="H212" s="16">
        <v>65</v>
      </c>
      <c r="I212" t="str">
        <f t="shared" si="12"/>
        <v>REC-517</v>
      </c>
      <c r="J212" t="str">
        <f t="shared" si="13"/>
        <v>REC</v>
      </c>
      <c r="K212" t="str">
        <f t="shared" si="14"/>
        <v>517</v>
      </c>
      <c r="L212">
        <f t="shared" si="15"/>
        <v>7</v>
      </c>
    </row>
    <row r="213" spans="1:12" x14ac:dyDescent="0.35">
      <c r="A213" s="14">
        <v>83</v>
      </c>
      <c r="B213" s="15">
        <v>84</v>
      </c>
      <c r="C213" s="15">
        <v>0.2727</v>
      </c>
      <c r="D213" s="15">
        <v>0.52</v>
      </c>
      <c r="E213" s="15">
        <v>0.25369999999999998</v>
      </c>
      <c r="F213" s="15">
        <v>17</v>
      </c>
      <c r="G213" s="15">
        <v>48</v>
      </c>
      <c r="H213" s="16">
        <v>65</v>
      </c>
      <c r="I213" t="str">
        <f t="shared" si="12"/>
        <v>REC-083</v>
      </c>
      <c r="J213" t="str">
        <f t="shared" si="13"/>
        <v>REC</v>
      </c>
      <c r="K213" t="str">
        <f t="shared" si="14"/>
        <v>083</v>
      </c>
      <c r="L213">
        <f t="shared" si="15"/>
        <v>7</v>
      </c>
    </row>
    <row r="214" spans="1:12" x14ac:dyDescent="0.35">
      <c r="A214" s="14">
        <v>297</v>
      </c>
      <c r="B214" s="15">
        <v>298</v>
      </c>
      <c r="C214" s="15">
        <v>0.1515</v>
      </c>
      <c r="D214" s="15">
        <v>0.47</v>
      </c>
      <c r="E214" s="15">
        <v>0.22389999999999999</v>
      </c>
      <c r="F214" s="15">
        <v>0</v>
      </c>
      <c r="G214" s="15">
        <v>64</v>
      </c>
      <c r="H214" s="16">
        <v>64</v>
      </c>
      <c r="I214" t="str">
        <f t="shared" si="12"/>
        <v>REC-297</v>
      </c>
      <c r="J214" t="str">
        <f t="shared" si="13"/>
        <v>REC</v>
      </c>
      <c r="K214" t="str">
        <f t="shared" si="14"/>
        <v>297</v>
      </c>
      <c r="L214">
        <f t="shared" si="15"/>
        <v>7</v>
      </c>
    </row>
    <row r="215" spans="1:12" x14ac:dyDescent="0.35">
      <c r="A215" s="14">
        <v>52</v>
      </c>
      <c r="B215" s="15">
        <v>53</v>
      </c>
      <c r="C215" s="15">
        <v>0.13639999999999999</v>
      </c>
      <c r="D215" s="15">
        <v>0.5</v>
      </c>
      <c r="E215" s="15">
        <v>0.19400000000000001</v>
      </c>
      <c r="F215" s="15">
        <v>1</v>
      </c>
      <c r="G215" s="15">
        <v>63</v>
      </c>
      <c r="H215" s="16">
        <v>64</v>
      </c>
      <c r="I215" t="str">
        <f t="shared" si="12"/>
        <v>REC-052</v>
      </c>
      <c r="J215" t="str">
        <f t="shared" si="13"/>
        <v>REC</v>
      </c>
      <c r="K215" t="str">
        <f t="shared" si="14"/>
        <v>052</v>
      </c>
      <c r="L215">
        <f t="shared" si="15"/>
        <v>7</v>
      </c>
    </row>
    <row r="216" spans="1:12" x14ac:dyDescent="0.35">
      <c r="A216" s="14">
        <v>314</v>
      </c>
      <c r="B216" s="15">
        <v>315</v>
      </c>
      <c r="C216" s="15">
        <v>0.21210000000000001</v>
      </c>
      <c r="D216" s="15">
        <v>0.41</v>
      </c>
      <c r="E216" s="15">
        <v>0.28360000000000002</v>
      </c>
      <c r="F216" s="15">
        <v>5</v>
      </c>
      <c r="G216" s="15">
        <v>59</v>
      </c>
      <c r="H216" s="16">
        <v>64</v>
      </c>
      <c r="I216" t="str">
        <f t="shared" si="12"/>
        <v>REC-314</v>
      </c>
      <c r="J216" t="str">
        <f t="shared" si="13"/>
        <v>REC</v>
      </c>
      <c r="K216" t="str">
        <f t="shared" si="14"/>
        <v>314</v>
      </c>
      <c r="L216">
        <f t="shared" si="15"/>
        <v>7</v>
      </c>
    </row>
    <row r="217" spans="1:12" x14ac:dyDescent="0.35">
      <c r="A217" s="14">
        <v>383</v>
      </c>
      <c r="B217" s="15">
        <v>384</v>
      </c>
      <c r="C217" s="15">
        <v>0.1515</v>
      </c>
      <c r="D217" s="15">
        <v>0.55000000000000004</v>
      </c>
      <c r="E217" s="15">
        <v>0.19400000000000001</v>
      </c>
      <c r="F217" s="15">
        <v>9</v>
      </c>
      <c r="G217" s="15">
        <v>55</v>
      </c>
      <c r="H217" s="16">
        <v>64</v>
      </c>
      <c r="I217" t="str">
        <f t="shared" si="12"/>
        <v>REC-383</v>
      </c>
      <c r="J217" t="str">
        <f t="shared" si="13"/>
        <v>REC</v>
      </c>
      <c r="K217" t="str">
        <f t="shared" si="14"/>
        <v>383</v>
      </c>
      <c r="L217">
        <f t="shared" si="15"/>
        <v>7</v>
      </c>
    </row>
    <row r="218" spans="1:12" x14ac:dyDescent="0.35">
      <c r="A218" s="14">
        <v>245</v>
      </c>
      <c r="B218" s="15">
        <v>246</v>
      </c>
      <c r="C218" s="15">
        <v>0.2273</v>
      </c>
      <c r="D218" s="15">
        <v>0.59</v>
      </c>
      <c r="E218" s="15">
        <v>8.9599999999999999E-2</v>
      </c>
      <c r="F218" s="15">
        <v>3</v>
      </c>
      <c r="G218" s="15">
        <v>60</v>
      </c>
      <c r="H218" s="16">
        <v>63</v>
      </c>
      <c r="I218" t="str">
        <f t="shared" si="12"/>
        <v>REC-245</v>
      </c>
      <c r="J218" t="str">
        <f t="shared" si="13"/>
        <v>REC</v>
      </c>
      <c r="K218" t="str">
        <f t="shared" si="14"/>
        <v>245</v>
      </c>
      <c r="L218">
        <f t="shared" si="15"/>
        <v>7</v>
      </c>
    </row>
    <row r="219" spans="1:12" x14ac:dyDescent="0.35">
      <c r="A219" s="14">
        <v>489</v>
      </c>
      <c r="B219" s="15">
        <v>490</v>
      </c>
      <c r="C219" s="15">
        <v>7.5800000000000006E-2</v>
      </c>
      <c r="D219" s="15">
        <v>0.38</v>
      </c>
      <c r="E219" s="15">
        <v>0.1343</v>
      </c>
      <c r="F219" s="15">
        <v>4</v>
      </c>
      <c r="G219" s="15">
        <v>59</v>
      </c>
      <c r="H219" s="16">
        <v>63</v>
      </c>
      <c r="I219" t="str">
        <f t="shared" si="12"/>
        <v>REC-489</v>
      </c>
      <c r="J219" t="str">
        <f t="shared" si="13"/>
        <v>REC</v>
      </c>
      <c r="K219" t="str">
        <f t="shared" si="14"/>
        <v>489</v>
      </c>
      <c r="L219">
        <f t="shared" si="15"/>
        <v>7</v>
      </c>
    </row>
    <row r="220" spans="1:12" x14ac:dyDescent="0.35">
      <c r="A220" s="14">
        <v>465</v>
      </c>
      <c r="B220" s="15">
        <v>466</v>
      </c>
      <c r="C220" s="15">
        <v>0.16669999999999999</v>
      </c>
      <c r="D220" s="15">
        <v>0.47</v>
      </c>
      <c r="E220" s="15">
        <v>0.4627</v>
      </c>
      <c r="F220" s="15">
        <v>6</v>
      </c>
      <c r="G220" s="15">
        <v>57</v>
      </c>
      <c r="H220" s="16">
        <v>63</v>
      </c>
      <c r="I220" t="str">
        <f t="shared" si="12"/>
        <v>REC-465</v>
      </c>
      <c r="J220" t="str">
        <f t="shared" si="13"/>
        <v>REC</v>
      </c>
      <c r="K220" t="str">
        <f t="shared" si="14"/>
        <v>465</v>
      </c>
      <c r="L220">
        <f t="shared" si="15"/>
        <v>7</v>
      </c>
    </row>
    <row r="221" spans="1:12" x14ac:dyDescent="0.35">
      <c r="A221" s="14">
        <v>82</v>
      </c>
      <c r="B221" s="15">
        <v>83</v>
      </c>
      <c r="C221" s="15">
        <v>0.2576</v>
      </c>
      <c r="D221" s="15">
        <v>0.52</v>
      </c>
      <c r="E221" s="15">
        <v>0.22389999999999999</v>
      </c>
      <c r="F221" s="15">
        <v>9</v>
      </c>
      <c r="G221" s="15">
        <v>54</v>
      </c>
      <c r="H221" s="16">
        <v>63</v>
      </c>
      <c r="I221" t="str">
        <f t="shared" si="12"/>
        <v>REC-082</v>
      </c>
      <c r="J221" t="str">
        <f t="shared" si="13"/>
        <v>REC</v>
      </c>
      <c r="K221" t="str">
        <f t="shared" si="14"/>
        <v>082</v>
      </c>
      <c r="L221">
        <f t="shared" si="15"/>
        <v>7</v>
      </c>
    </row>
    <row r="222" spans="1:12" x14ac:dyDescent="0.35">
      <c r="A222" s="14">
        <v>536</v>
      </c>
      <c r="B222" s="15">
        <v>537</v>
      </c>
      <c r="C222" s="15">
        <v>0.13639999999999999</v>
      </c>
      <c r="D222" s="15">
        <v>0.42</v>
      </c>
      <c r="E222" s="15">
        <v>0.19400000000000001</v>
      </c>
      <c r="F222" s="15">
        <v>11</v>
      </c>
      <c r="G222" s="15">
        <v>52</v>
      </c>
      <c r="H222" s="16">
        <v>63</v>
      </c>
      <c r="I222" t="str">
        <f t="shared" si="12"/>
        <v>REC-536</v>
      </c>
      <c r="J222" t="str">
        <f t="shared" si="13"/>
        <v>REC</v>
      </c>
      <c r="K222" t="str">
        <f t="shared" si="14"/>
        <v>536</v>
      </c>
      <c r="L222">
        <f t="shared" si="15"/>
        <v>7</v>
      </c>
    </row>
    <row r="223" spans="1:12" x14ac:dyDescent="0.35">
      <c r="A223" s="14">
        <v>147</v>
      </c>
      <c r="B223" s="15">
        <v>148</v>
      </c>
      <c r="C223" s="15">
        <v>0.19700000000000001</v>
      </c>
      <c r="D223" s="15">
        <v>0.37</v>
      </c>
      <c r="E223" s="15">
        <v>0.32840000000000003</v>
      </c>
      <c r="F223" s="15">
        <v>16</v>
      </c>
      <c r="G223" s="15">
        <v>47</v>
      </c>
      <c r="H223" s="16">
        <v>63</v>
      </c>
      <c r="I223" t="str">
        <f t="shared" si="12"/>
        <v>REC-147</v>
      </c>
      <c r="J223" t="str">
        <f t="shared" si="13"/>
        <v>REC</v>
      </c>
      <c r="K223" t="str">
        <f t="shared" si="14"/>
        <v>147</v>
      </c>
      <c r="L223">
        <f t="shared" si="15"/>
        <v>7</v>
      </c>
    </row>
    <row r="224" spans="1:12" x14ac:dyDescent="0.35">
      <c r="A224" s="14">
        <v>172</v>
      </c>
      <c r="B224" s="15">
        <v>173</v>
      </c>
      <c r="C224" s="15">
        <v>0.18179999999999999</v>
      </c>
      <c r="D224" s="15">
        <v>0.69</v>
      </c>
      <c r="E224" s="15">
        <v>0.3881</v>
      </c>
      <c r="F224" s="15">
        <v>2</v>
      </c>
      <c r="G224" s="15">
        <v>60</v>
      </c>
      <c r="H224" s="16">
        <v>62</v>
      </c>
      <c r="I224" t="str">
        <f t="shared" si="12"/>
        <v>REC-172</v>
      </c>
      <c r="J224" t="str">
        <f t="shared" si="13"/>
        <v>REC</v>
      </c>
      <c r="K224" t="str">
        <f t="shared" si="14"/>
        <v>172</v>
      </c>
      <c r="L224">
        <f t="shared" si="15"/>
        <v>7</v>
      </c>
    </row>
    <row r="225" spans="1:12" x14ac:dyDescent="0.35">
      <c r="A225" s="14">
        <v>202</v>
      </c>
      <c r="B225" s="15">
        <v>203</v>
      </c>
      <c r="C225" s="15">
        <v>0.1515</v>
      </c>
      <c r="D225" s="15">
        <v>0.37</v>
      </c>
      <c r="E225" s="15">
        <v>0.3881</v>
      </c>
      <c r="F225" s="15">
        <v>3</v>
      </c>
      <c r="G225" s="15">
        <v>59</v>
      </c>
      <c r="H225" s="16">
        <v>62</v>
      </c>
      <c r="I225" t="str">
        <f t="shared" si="12"/>
        <v>REC-202</v>
      </c>
      <c r="J225" t="str">
        <f t="shared" si="13"/>
        <v>REC</v>
      </c>
      <c r="K225" t="str">
        <f t="shared" si="14"/>
        <v>202</v>
      </c>
      <c r="L225">
        <f t="shared" si="15"/>
        <v>7</v>
      </c>
    </row>
    <row r="226" spans="1:12" x14ac:dyDescent="0.35">
      <c r="A226" s="14">
        <v>469</v>
      </c>
      <c r="B226" s="15">
        <v>470</v>
      </c>
      <c r="C226" s="15">
        <v>0.1515</v>
      </c>
      <c r="D226" s="15">
        <v>0.25</v>
      </c>
      <c r="E226" s="15">
        <v>0.52239999999999998</v>
      </c>
      <c r="F226" s="15">
        <v>6</v>
      </c>
      <c r="G226" s="15">
        <v>56</v>
      </c>
      <c r="H226" s="16">
        <v>62</v>
      </c>
      <c r="I226" t="str">
        <f t="shared" si="12"/>
        <v>REC-469</v>
      </c>
      <c r="J226" t="str">
        <f t="shared" si="13"/>
        <v>REC</v>
      </c>
      <c r="K226" t="str">
        <f t="shared" si="14"/>
        <v>469</v>
      </c>
      <c r="L226">
        <f t="shared" si="15"/>
        <v>7</v>
      </c>
    </row>
    <row r="227" spans="1:12" x14ac:dyDescent="0.35">
      <c r="A227" s="14">
        <v>106</v>
      </c>
      <c r="B227" s="15">
        <v>107</v>
      </c>
      <c r="C227" s="15">
        <v>0.28789999999999999</v>
      </c>
      <c r="D227" s="15">
        <v>0.28000000000000003</v>
      </c>
      <c r="E227" s="15">
        <v>0.19400000000000001</v>
      </c>
      <c r="F227" s="15">
        <v>7</v>
      </c>
      <c r="G227" s="15">
        <v>55</v>
      </c>
      <c r="H227" s="16">
        <v>62</v>
      </c>
      <c r="I227" t="str">
        <f t="shared" si="12"/>
        <v>REC-106</v>
      </c>
      <c r="J227" t="str">
        <f t="shared" si="13"/>
        <v>REC</v>
      </c>
      <c r="K227" t="str">
        <f t="shared" si="14"/>
        <v>106</v>
      </c>
      <c r="L227">
        <f t="shared" si="15"/>
        <v>7</v>
      </c>
    </row>
    <row r="228" spans="1:12" x14ac:dyDescent="0.35">
      <c r="A228" s="14">
        <v>129</v>
      </c>
      <c r="B228" s="15">
        <v>130</v>
      </c>
      <c r="C228" s="15">
        <v>0.2727</v>
      </c>
      <c r="D228" s="15">
        <v>0.36</v>
      </c>
      <c r="E228" s="15">
        <v>0</v>
      </c>
      <c r="F228" s="15">
        <v>8</v>
      </c>
      <c r="G228" s="15">
        <v>54</v>
      </c>
      <c r="H228" s="16">
        <v>62</v>
      </c>
      <c r="I228" t="str">
        <f t="shared" si="12"/>
        <v>REC-129</v>
      </c>
      <c r="J228" t="str">
        <f t="shared" si="13"/>
        <v>REC</v>
      </c>
      <c r="K228" t="str">
        <f t="shared" si="14"/>
        <v>129</v>
      </c>
      <c r="L228">
        <f t="shared" si="15"/>
        <v>7</v>
      </c>
    </row>
    <row r="229" spans="1:12" x14ac:dyDescent="0.35">
      <c r="A229" s="14">
        <v>105</v>
      </c>
      <c r="B229" s="15">
        <v>106</v>
      </c>
      <c r="C229" s="15">
        <v>0.28789999999999999</v>
      </c>
      <c r="D229" s="15">
        <v>0.28000000000000003</v>
      </c>
      <c r="E229" s="15">
        <v>0.19400000000000001</v>
      </c>
      <c r="F229" s="15">
        <v>10</v>
      </c>
      <c r="G229" s="15">
        <v>52</v>
      </c>
      <c r="H229" s="16">
        <v>62</v>
      </c>
      <c r="I229" t="str">
        <f t="shared" si="12"/>
        <v>REC-105</v>
      </c>
      <c r="J229" t="str">
        <f t="shared" si="13"/>
        <v>REC</v>
      </c>
      <c r="K229" t="str">
        <f t="shared" si="14"/>
        <v>105</v>
      </c>
      <c r="L229">
        <f t="shared" si="15"/>
        <v>7</v>
      </c>
    </row>
    <row r="230" spans="1:12" x14ac:dyDescent="0.35">
      <c r="A230" s="14">
        <v>400</v>
      </c>
      <c r="B230" s="15">
        <v>401</v>
      </c>
      <c r="C230" s="15">
        <v>0.2273</v>
      </c>
      <c r="D230" s="15">
        <v>0.87</v>
      </c>
      <c r="E230" s="15">
        <v>0.19400000000000001</v>
      </c>
      <c r="F230" s="15">
        <v>0</v>
      </c>
      <c r="G230" s="15">
        <v>61</v>
      </c>
      <c r="H230" s="16">
        <v>61</v>
      </c>
      <c r="I230" t="str">
        <f t="shared" si="12"/>
        <v>REC-400</v>
      </c>
      <c r="J230" t="str">
        <f t="shared" si="13"/>
        <v>REC</v>
      </c>
      <c r="K230" t="str">
        <f t="shared" si="14"/>
        <v>400</v>
      </c>
      <c r="L230">
        <f t="shared" si="15"/>
        <v>7</v>
      </c>
    </row>
    <row r="231" spans="1:12" x14ac:dyDescent="0.35">
      <c r="A231" s="14">
        <v>312</v>
      </c>
      <c r="B231" s="15">
        <v>313</v>
      </c>
      <c r="C231" s="15">
        <v>0.19700000000000001</v>
      </c>
      <c r="D231" s="15">
        <v>0.44</v>
      </c>
      <c r="E231" s="15">
        <v>0.25369999999999998</v>
      </c>
      <c r="F231" s="15">
        <v>2</v>
      </c>
      <c r="G231" s="15">
        <v>59</v>
      </c>
      <c r="H231" s="16">
        <v>61</v>
      </c>
      <c r="I231" t="str">
        <f t="shared" si="12"/>
        <v>REC-312</v>
      </c>
      <c r="J231" t="str">
        <f t="shared" si="13"/>
        <v>REC</v>
      </c>
      <c r="K231" t="str">
        <f t="shared" si="14"/>
        <v>312</v>
      </c>
      <c r="L231">
        <f t="shared" si="15"/>
        <v>7</v>
      </c>
    </row>
    <row r="232" spans="1:12" x14ac:dyDescent="0.35">
      <c r="A232" s="14">
        <v>171</v>
      </c>
      <c r="B232" s="15">
        <v>172</v>
      </c>
      <c r="C232" s="15">
        <v>0.19700000000000001</v>
      </c>
      <c r="D232" s="15">
        <v>0.8</v>
      </c>
      <c r="E232" s="15">
        <v>0.16420000000000001</v>
      </c>
      <c r="F232" s="15">
        <v>5</v>
      </c>
      <c r="G232" s="15">
        <v>56</v>
      </c>
      <c r="H232" s="16">
        <v>61</v>
      </c>
      <c r="I232" t="str">
        <f t="shared" si="12"/>
        <v>REC-171</v>
      </c>
      <c r="J232" t="str">
        <f t="shared" si="13"/>
        <v>REC</v>
      </c>
      <c r="K232" t="str">
        <f t="shared" si="14"/>
        <v>171</v>
      </c>
      <c r="L232">
        <f t="shared" si="15"/>
        <v>7</v>
      </c>
    </row>
    <row r="233" spans="1:12" x14ac:dyDescent="0.35">
      <c r="A233" s="14">
        <v>558</v>
      </c>
      <c r="B233" s="15">
        <v>559</v>
      </c>
      <c r="C233" s="15">
        <v>0.2424</v>
      </c>
      <c r="D233" s="15">
        <v>0.6</v>
      </c>
      <c r="E233" s="15">
        <v>0.1343</v>
      </c>
      <c r="F233" s="15">
        <v>6</v>
      </c>
      <c r="G233" s="15">
        <v>55</v>
      </c>
      <c r="H233" s="16">
        <v>61</v>
      </c>
      <c r="I233" t="str">
        <f t="shared" si="12"/>
        <v>REC-558</v>
      </c>
      <c r="J233" t="str">
        <f t="shared" si="13"/>
        <v>REC</v>
      </c>
      <c r="K233" t="str">
        <f t="shared" si="14"/>
        <v>558</v>
      </c>
      <c r="L233">
        <f t="shared" si="15"/>
        <v>7</v>
      </c>
    </row>
    <row r="234" spans="1:12" x14ac:dyDescent="0.35">
      <c r="A234" s="14">
        <v>58</v>
      </c>
      <c r="B234" s="15">
        <v>59</v>
      </c>
      <c r="C234" s="17"/>
      <c r="D234" s="15">
        <v>0.35</v>
      </c>
      <c r="E234" s="15">
        <v>0.28360000000000002</v>
      </c>
      <c r="F234" s="15">
        <v>8</v>
      </c>
      <c r="G234" s="15">
        <v>53</v>
      </c>
      <c r="H234" s="16">
        <v>61</v>
      </c>
      <c r="I234" t="str">
        <f t="shared" si="12"/>
        <v>REC-058</v>
      </c>
      <c r="J234" t="str">
        <f t="shared" si="13"/>
        <v>REC</v>
      </c>
      <c r="K234" t="str">
        <f t="shared" si="14"/>
        <v>058</v>
      </c>
      <c r="L234">
        <f t="shared" si="15"/>
        <v>7</v>
      </c>
    </row>
    <row r="235" spans="1:12" x14ac:dyDescent="0.35">
      <c r="A235" s="14">
        <v>57</v>
      </c>
      <c r="B235" s="15">
        <v>58</v>
      </c>
      <c r="C235" s="15">
        <v>0.21210000000000001</v>
      </c>
      <c r="D235" s="15">
        <v>0.35</v>
      </c>
      <c r="E235" s="15">
        <v>0.29849999999999999</v>
      </c>
      <c r="F235" s="15">
        <v>13</v>
      </c>
      <c r="G235" s="15">
        <v>48</v>
      </c>
      <c r="H235" s="16">
        <v>61</v>
      </c>
      <c r="I235" t="str">
        <f t="shared" si="12"/>
        <v>REC-057</v>
      </c>
      <c r="J235" t="str">
        <f t="shared" si="13"/>
        <v>REC</v>
      </c>
      <c r="K235" t="str">
        <f t="shared" si="14"/>
        <v>057</v>
      </c>
      <c r="L235">
        <f t="shared" si="15"/>
        <v>7</v>
      </c>
    </row>
    <row r="236" spans="1:12" x14ac:dyDescent="0.35">
      <c r="A236" s="14">
        <v>367</v>
      </c>
      <c r="B236" s="15">
        <v>368</v>
      </c>
      <c r="C236" s="15">
        <v>0.19700000000000001</v>
      </c>
      <c r="D236" s="15">
        <v>0.47</v>
      </c>
      <c r="E236" s="15">
        <v>0.1343</v>
      </c>
      <c r="F236" s="15">
        <v>14</v>
      </c>
      <c r="G236" s="15">
        <v>47</v>
      </c>
      <c r="H236" s="16">
        <v>61</v>
      </c>
      <c r="I236" t="str">
        <f t="shared" si="12"/>
        <v>REC-367</v>
      </c>
      <c r="J236" t="str">
        <f t="shared" si="13"/>
        <v>REC</v>
      </c>
      <c r="K236" t="str">
        <f t="shared" si="14"/>
        <v>367</v>
      </c>
      <c r="L236">
        <f t="shared" si="15"/>
        <v>7</v>
      </c>
    </row>
    <row r="237" spans="1:12" x14ac:dyDescent="0.35">
      <c r="A237" s="14">
        <v>601</v>
      </c>
      <c r="B237" s="15">
        <v>602</v>
      </c>
      <c r="C237" s="15">
        <v>0.19700000000000001</v>
      </c>
      <c r="D237" s="15">
        <v>0.86</v>
      </c>
      <c r="E237" s="15">
        <v>8.9599999999999999E-2</v>
      </c>
      <c r="F237" s="15">
        <v>2</v>
      </c>
      <c r="G237" s="15">
        <v>58</v>
      </c>
      <c r="H237" s="16">
        <v>60</v>
      </c>
      <c r="I237" t="str">
        <f t="shared" si="12"/>
        <v>REC-601</v>
      </c>
      <c r="J237" t="str">
        <f t="shared" si="13"/>
        <v>REC</v>
      </c>
      <c r="K237" t="str">
        <f t="shared" si="14"/>
        <v>601</v>
      </c>
      <c r="L237">
        <f t="shared" si="15"/>
        <v>7</v>
      </c>
    </row>
    <row r="238" spans="1:12" x14ac:dyDescent="0.35">
      <c r="A238" s="14">
        <v>391</v>
      </c>
      <c r="B238" s="15">
        <v>392</v>
      </c>
      <c r="C238" s="15">
        <v>0.18179999999999999</v>
      </c>
      <c r="D238" s="15">
        <v>0.59</v>
      </c>
      <c r="E238" s="15">
        <v>0.19400000000000001</v>
      </c>
      <c r="F238" s="15">
        <v>2</v>
      </c>
      <c r="G238" s="15">
        <v>58</v>
      </c>
      <c r="H238" s="16">
        <v>60</v>
      </c>
      <c r="I238" t="str">
        <f t="shared" si="12"/>
        <v>REC-391</v>
      </c>
      <c r="J238" t="str">
        <f t="shared" si="13"/>
        <v>REC</v>
      </c>
      <c r="K238" t="str">
        <f t="shared" si="14"/>
        <v>391</v>
      </c>
      <c r="L238">
        <f t="shared" si="15"/>
        <v>7</v>
      </c>
    </row>
    <row r="239" spans="1:12" x14ac:dyDescent="0.35">
      <c r="A239" s="14">
        <v>292</v>
      </c>
      <c r="B239" s="15">
        <v>293</v>
      </c>
      <c r="C239" s="15">
        <v>0.21210000000000001</v>
      </c>
      <c r="D239" s="15">
        <v>0.38</v>
      </c>
      <c r="E239" s="15">
        <v>0.29849999999999999</v>
      </c>
      <c r="F239" s="15">
        <v>5</v>
      </c>
      <c r="G239" s="15">
        <v>55</v>
      </c>
      <c r="H239" s="16">
        <v>60</v>
      </c>
      <c r="I239" t="str">
        <f t="shared" si="12"/>
        <v>REC-292</v>
      </c>
      <c r="J239" t="str">
        <f t="shared" si="13"/>
        <v>REC</v>
      </c>
      <c r="K239" t="str">
        <f t="shared" si="14"/>
        <v>292</v>
      </c>
      <c r="L239">
        <f t="shared" si="15"/>
        <v>7</v>
      </c>
    </row>
    <row r="240" spans="1:12" x14ac:dyDescent="0.35">
      <c r="A240" s="14">
        <v>537</v>
      </c>
      <c r="B240" s="15">
        <v>538</v>
      </c>
      <c r="C240" s="15">
        <v>0.13639999999999999</v>
      </c>
      <c r="D240" s="15">
        <v>0.43</v>
      </c>
      <c r="E240" s="15">
        <v>0.22389999999999999</v>
      </c>
      <c r="F240" s="15">
        <v>6</v>
      </c>
      <c r="G240" s="15">
        <v>54</v>
      </c>
      <c r="H240" s="16">
        <v>60</v>
      </c>
      <c r="I240" t="str">
        <f t="shared" si="12"/>
        <v>REC-537</v>
      </c>
      <c r="J240" t="str">
        <f t="shared" si="13"/>
        <v>REC</v>
      </c>
      <c r="K240" t="str">
        <f t="shared" si="14"/>
        <v>537</v>
      </c>
      <c r="L240">
        <f t="shared" si="15"/>
        <v>7</v>
      </c>
    </row>
    <row r="241" spans="1:12" x14ac:dyDescent="0.35">
      <c r="A241" s="14">
        <v>334</v>
      </c>
      <c r="B241" s="15">
        <v>335</v>
      </c>
      <c r="C241" s="15">
        <v>0.19700000000000001</v>
      </c>
      <c r="D241" s="15">
        <v>0.59</v>
      </c>
      <c r="E241" s="15">
        <v>0.16420000000000001</v>
      </c>
      <c r="F241" s="15">
        <v>2</v>
      </c>
      <c r="G241" s="15">
        <v>57</v>
      </c>
      <c r="H241" s="16">
        <v>59</v>
      </c>
      <c r="I241" t="str">
        <f t="shared" si="12"/>
        <v>REC-334</v>
      </c>
      <c r="J241" t="str">
        <f t="shared" si="13"/>
        <v>REC</v>
      </c>
      <c r="K241" t="str">
        <f t="shared" si="14"/>
        <v>334</v>
      </c>
      <c r="L241">
        <f t="shared" si="15"/>
        <v>7</v>
      </c>
    </row>
    <row r="242" spans="1:12" x14ac:dyDescent="0.35">
      <c r="A242" s="14">
        <v>125</v>
      </c>
      <c r="B242" s="15">
        <v>126</v>
      </c>
      <c r="C242" s="15">
        <v>0.2576</v>
      </c>
      <c r="D242" s="15">
        <v>0.44</v>
      </c>
      <c r="E242" s="15">
        <v>8.9599999999999999E-2</v>
      </c>
      <c r="F242" s="15">
        <v>2</v>
      </c>
      <c r="G242" s="15">
        <v>57</v>
      </c>
      <c r="H242" s="16">
        <v>59</v>
      </c>
      <c r="I242" t="str">
        <f t="shared" si="12"/>
        <v>REC-125</v>
      </c>
      <c r="J242" t="str">
        <f t="shared" si="13"/>
        <v>REC</v>
      </c>
      <c r="K242" t="str">
        <f t="shared" si="14"/>
        <v>125</v>
      </c>
      <c r="L242">
        <f t="shared" si="15"/>
        <v>7</v>
      </c>
    </row>
    <row r="243" spans="1:12" x14ac:dyDescent="0.35">
      <c r="A243" s="14">
        <v>591</v>
      </c>
      <c r="B243" s="15">
        <v>592</v>
      </c>
      <c r="C243" s="15">
        <v>0.21210000000000001</v>
      </c>
      <c r="D243" s="15">
        <v>0.74</v>
      </c>
      <c r="E243" s="15">
        <v>8.9599999999999999E-2</v>
      </c>
      <c r="F243" s="15">
        <v>4</v>
      </c>
      <c r="G243" s="15">
        <v>55</v>
      </c>
      <c r="H243" s="16">
        <v>59</v>
      </c>
      <c r="I243" t="str">
        <f t="shared" si="12"/>
        <v>REC-591</v>
      </c>
      <c r="J243" t="str">
        <f t="shared" si="13"/>
        <v>REC</v>
      </c>
      <c r="K243" t="str">
        <f t="shared" si="14"/>
        <v>591</v>
      </c>
      <c r="L243">
        <f t="shared" si="15"/>
        <v>7</v>
      </c>
    </row>
    <row r="244" spans="1:12" x14ac:dyDescent="0.35">
      <c r="A244" s="14">
        <v>428</v>
      </c>
      <c r="B244" s="15">
        <v>429</v>
      </c>
      <c r="C244" s="15">
        <v>0.28789999999999999</v>
      </c>
      <c r="D244" s="15">
        <v>0.49</v>
      </c>
      <c r="E244" s="15">
        <v>0.41789999999999999</v>
      </c>
      <c r="F244" s="15">
        <v>4</v>
      </c>
      <c r="G244" s="15">
        <v>55</v>
      </c>
      <c r="H244" s="16">
        <v>59</v>
      </c>
      <c r="I244" t="str">
        <f t="shared" si="12"/>
        <v>REC-428</v>
      </c>
      <c r="J244" t="str">
        <f t="shared" si="13"/>
        <v>REC</v>
      </c>
      <c r="K244" t="str">
        <f t="shared" si="14"/>
        <v>428</v>
      </c>
      <c r="L244">
        <f t="shared" si="15"/>
        <v>7</v>
      </c>
    </row>
    <row r="245" spans="1:12" x14ac:dyDescent="0.35">
      <c r="A245" s="14">
        <v>37</v>
      </c>
      <c r="B245" s="15">
        <v>38</v>
      </c>
      <c r="C245" s="17"/>
      <c r="D245" s="15">
        <v>0.76</v>
      </c>
      <c r="E245" s="15">
        <v>0.19400000000000001</v>
      </c>
      <c r="F245" s="15">
        <v>4</v>
      </c>
      <c r="G245" s="15">
        <v>55</v>
      </c>
      <c r="H245" s="16">
        <v>59</v>
      </c>
      <c r="I245" t="str">
        <f t="shared" si="12"/>
        <v>REC-037</v>
      </c>
      <c r="J245" t="str">
        <f t="shared" si="13"/>
        <v>REC</v>
      </c>
      <c r="K245" t="str">
        <f t="shared" si="14"/>
        <v>037</v>
      </c>
      <c r="L245">
        <f t="shared" si="15"/>
        <v>7</v>
      </c>
    </row>
    <row r="246" spans="1:12" x14ac:dyDescent="0.35">
      <c r="A246" s="14">
        <v>545</v>
      </c>
      <c r="B246" s="15">
        <v>546</v>
      </c>
      <c r="C246" s="15">
        <v>0.1515</v>
      </c>
      <c r="D246" s="15">
        <v>0.63</v>
      </c>
      <c r="E246" s="15">
        <v>0.16420000000000001</v>
      </c>
      <c r="F246" s="15">
        <v>6</v>
      </c>
      <c r="G246" s="15">
        <v>53</v>
      </c>
      <c r="H246" s="16">
        <v>59</v>
      </c>
      <c r="I246" t="str">
        <f t="shared" si="12"/>
        <v>REC-545</v>
      </c>
      <c r="J246" t="str">
        <f t="shared" si="13"/>
        <v>REC</v>
      </c>
      <c r="K246" t="str">
        <f t="shared" si="14"/>
        <v>545</v>
      </c>
      <c r="L246">
        <f t="shared" si="15"/>
        <v>7</v>
      </c>
    </row>
    <row r="247" spans="1:12" x14ac:dyDescent="0.35">
      <c r="A247" s="14">
        <v>497</v>
      </c>
      <c r="B247" s="15">
        <v>498</v>
      </c>
      <c r="C247" s="15">
        <v>0.1061</v>
      </c>
      <c r="D247" s="15">
        <v>0.35</v>
      </c>
      <c r="E247" s="15">
        <v>0.1343</v>
      </c>
      <c r="F247" s="15">
        <v>6</v>
      </c>
      <c r="G247" s="15">
        <v>53</v>
      </c>
      <c r="H247" s="16">
        <v>59</v>
      </c>
      <c r="I247" t="str">
        <f t="shared" si="12"/>
        <v>REC-497</v>
      </c>
      <c r="J247" t="str">
        <f t="shared" si="13"/>
        <v>REC</v>
      </c>
      <c r="K247" t="str">
        <f t="shared" si="14"/>
        <v>497</v>
      </c>
      <c r="L247">
        <f t="shared" si="15"/>
        <v>7</v>
      </c>
    </row>
    <row r="248" spans="1:12" x14ac:dyDescent="0.35">
      <c r="A248" s="14">
        <v>466</v>
      </c>
      <c r="B248" s="15">
        <v>467</v>
      </c>
      <c r="C248" s="15">
        <v>0.18179999999999999</v>
      </c>
      <c r="D248" s="15">
        <v>0.41</v>
      </c>
      <c r="E248" s="15">
        <v>0.4627</v>
      </c>
      <c r="F248" s="15">
        <v>6</v>
      </c>
      <c r="G248" s="15">
        <v>53</v>
      </c>
      <c r="H248" s="16">
        <v>59</v>
      </c>
      <c r="I248" t="str">
        <f t="shared" si="12"/>
        <v>REC-466</v>
      </c>
      <c r="J248" t="str">
        <f t="shared" si="13"/>
        <v>REC</v>
      </c>
      <c r="K248" t="str">
        <f t="shared" si="14"/>
        <v>466</v>
      </c>
      <c r="L248">
        <f t="shared" si="15"/>
        <v>7</v>
      </c>
    </row>
    <row r="249" spans="1:12" x14ac:dyDescent="0.35">
      <c r="A249" s="14">
        <v>429</v>
      </c>
      <c r="B249" s="15">
        <v>430</v>
      </c>
      <c r="C249" s="15">
        <v>0.30299999999999999</v>
      </c>
      <c r="D249" s="15">
        <v>0.52</v>
      </c>
      <c r="E249" s="15">
        <v>0.16420000000000001</v>
      </c>
      <c r="F249" s="15">
        <v>6</v>
      </c>
      <c r="G249" s="15">
        <v>53</v>
      </c>
      <c r="H249" s="16">
        <v>59</v>
      </c>
      <c r="I249" t="str">
        <f t="shared" si="12"/>
        <v>REC-429</v>
      </c>
      <c r="J249" t="str">
        <f t="shared" si="13"/>
        <v>REC</v>
      </c>
      <c r="K249" t="str">
        <f t="shared" si="14"/>
        <v>429</v>
      </c>
      <c r="L249">
        <f t="shared" si="15"/>
        <v>7</v>
      </c>
    </row>
    <row r="250" spans="1:12" x14ac:dyDescent="0.35">
      <c r="A250" s="14">
        <v>149</v>
      </c>
      <c r="B250" s="15">
        <v>150</v>
      </c>
      <c r="C250" s="15">
        <v>0.19700000000000001</v>
      </c>
      <c r="D250" s="15">
        <v>0.37</v>
      </c>
      <c r="E250" s="15">
        <v>0.25369999999999998</v>
      </c>
      <c r="F250" s="15">
        <v>9</v>
      </c>
      <c r="G250" s="15">
        <v>50</v>
      </c>
      <c r="H250" s="16">
        <v>59</v>
      </c>
      <c r="I250" t="str">
        <f t="shared" si="12"/>
        <v>REC-149</v>
      </c>
      <c r="J250" t="str">
        <f t="shared" si="13"/>
        <v>REC</v>
      </c>
      <c r="K250" t="str">
        <f t="shared" si="14"/>
        <v>149</v>
      </c>
      <c r="L250">
        <f t="shared" si="15"/>
        <v>7</v>
      </c>
    </row>
    <row r="251" spans="1:12" x14ac:dyDescent="0.35">
      <c r="A251" s="14">
        <v>578</v>
      </c>
      <c r="B251" s="15">
        <v>579</v>
      </c>
      <c r="C251" s="15">
        <v>0.21210000000000001</v>
      </c>
      <c r="D251" s="15">
        <v>0.87</v>
      </c>
      <c r="E251" s="15">
        <v>0.29849999999999999</v>
      </c>
      <c r="F251" s="15">
        <v>3</v>
      </c>
      <c r="G251" s="15">
        <v>55</v>
      </c>
      <c r="H251" s="16">
        <v>58</v>
      </c>
      <c r="I251" t="str">
        <f t="shared" si="12"/>
        <v>REC-578</v>
      </c>
      <c r="J251" t="str">
        <f t="shared" si="13"/>
        <v>REC</v>
      </c>
      <c r="K251" t="str">
        <f t="shared" si="14"/>
        <v>578</v>
      </c>
      <c r="L251">
        <f t="shared" si="15"/>
        <v>7</v>
      </c>
    </row>
    <row r="252" spans="1:12" x14ac:dyDescent="0.35">
      <c r="A252" s="14">
        <v>511</v>
      </c>
      <c r="B252" s="15">
        <v>512</v>
      </c>
      <c r="C252" s="15">
        <v>0.1061</v>
      </c>
      <c r="D252" s="15">
        <v>0.46</v>
      </c>
      <c r="E252" s="15">
        <v>0.3881</v>
      </c>
      <c r="F252" s="15">
        <v>7</v>
      </c>
      <c r="G252" s="15">
        <v>51</v>
      </c>
      <c r="H252" s="16">
        <v>58</v>
      </c>
      <c r="I252" t="str">
        <f t="shared" si="12"/>
        <v>REC-511</v>
      </c>
      <c r="J252" t="str">
        <f t="shared" si="13"/>
        <v>REC</v>
      </c>
      <c r="K252" t="str">
        <f t="shared" si="14"/>
        <v>511</v>
      </c>
      <c r="L252">
        <f t="shared" si="15"/>
        <v>7</v>
      </c>
    </row>
    <row r="253" spans="1:12" x14ac:dyDescent="0.35">
      <c r="A253" s="14">
        <v>274</v>
      </c>
      <c r="B253" s="15">
        <v>275</v>
      </c>
      <c r="C253" s="15">
        <v>0.13639999999999999</v>
      </c>
      <c r="D253" s="15">
        <v>0.55000000000000004</v>
      </c>
      <c r="E253" s="15">
        <v>0.32840000000000003</v>
      </c>
      <c r="F253" s="15">
        <v>0</v>
      </c>
      <c r="G253" s="15">
        <v>57</v>
      </c>
      <c r="H253" s="16">
        <v>57</v>
      </c>
      <c r="I253" t="str">
        <f t="shared" si="12"/>
        <v>REC-274</v>
      </c>
      <c r="J253" t="str">
        <f t="shared" si="13"/>
        <v>REC</v>
      </c>
      <c r="K253" t="str">
        <f t="shared" si="14"/>
        <v>274</v>
      </c>
      <c r="L253">
        <f t="shared" si="15"/>
        <v>7</v>
      </c>
    </row>
    <row r="254" spans="1:12" x14ac:dyDescent="0.35">
      <c r="A254" s="14">
        <v>441</v>
      </c>
      <c r="B254" s="15">
        <v>442</v>
      </c>
      <c r="C254" s="15">
        <v>0.2273</v>
      </c>
      <c r="D254" s="15">
        <v>0.48</v>
      </c>
      <c r="E254" s="15">
        <v>0.29849999999999999</v>
      </c>
      <c r="F254" s="15">
        <v>1</v>
      </c>
      <c r="G254" s="15">
        <v>56</v>
      </c>
      <c r="H254" s="16">
        <v>57</v>
      </c>
      <c r="I254" t="str">
        <f t="shared" si="12"/>
        <v>REC-441</v>
      </c>
      <c r="J254" t="str">
        <f t="shared" si="13"/>
        <v>REC</v>
      </c>
      <c r="K254" t="str">
        <f t="shared" si="14"/>
        <v>441</v>
      </c>
      <c r="L254">
        <f t="shared" si="15"/>
        <v>7</v>
      </c>
    </row>
    <row r="255" spans="1:12" x14ac:dyDescent="0.35">
      <c r="A255" s="14">
        <v>243</v>
      </c>
      <c r="B255" s="15">
        <v>244</v>
      </c>
      <c r="C255" s="15">
        <v>0.2273</v>
      </c>
      <c r="D255" s="15">
        <v>0.51</v>
      </c>
      <c r="E255" s="15">
        <v>0.1045</v>
      </c>
      <c r="F255" s="15">
        <v>2</v>
      </c>
      <c r="G255" s="15">
        <v>55</v>
      </c>
      <c r="H255" s="16">
        <v>57</v>
      </c>
      <c r="I255" t="str">
        <f t="shared" si="12"/>
        <v>REC-243</v>
      </c>
      <c r="J255" t="str">
        <f t="shared" si="13"/>
        <v>REC</v>
      </c>
      <c r="K255" t="str">
        <f t="shared" si="14"/>
        <v>243</v>
      </c>
      <c r="L255">
        <f t="shared" si="15"/>
        <v>7</v>
      </c>
    </row>
    <row r="256" spans="1:12" x14ac:dyDescent="0.35">
      <c r="A256" s="14">
        <v>452</v>
      </c>
      <c r="B256" s="15">
        <v>453</v>
      </c>
      <c r="C256" s="15">
        <v>0.2273</v>
      </c>
      <c r="D256" s="15">
        <v>0.6</v>
      </c>
      <c r="E256" s="15">
        <v>0.25369999999999998</v>
      </c>
      <c r="F256" s="15">
        <v>3</v>
      </c>
      <c r="G256" s="15">
        <v>54</v>
      </c>
      <c r="H256" s="16">
        <v>57</v>
      </c>
      <c r="I256" t="str">
        <f t="shared" si="12"/>
        <v>REC-452</v>
      </c>
      <c r="J256" t="str">
        <f t="shared" si="13"/>
        <v>REC</v>
      </c>
      <c r="K256" t="str">
        <f t="shared" si="14"/>
        <v>452</v>
      </c>
      <c r="L256">
        <f t="shared" si="15"/>
        <v>7</v>
      </c>
    </row>
    <row r="257" spans="1:12" x14ac:dyDescent="0.35">
      <c r="A257" s="14">
        <v>101</v>
      </c>
      <c r="B257" s="15">
        <v>102</v>
      </c>
      <c r="C257" s="15">
        <v>0.19700000000000001</v>
      </c>
      <c r="D257" s="15">
        <v>0.37</v>
      </c>
      <c r="E257" s="15">
        <v>0.32840000000000003</v>
      </c>
      <c r="F257" s="15">
        <v>4</v>
      </c>
      <c r="G257" s="15">
        <v>53</v>
      </c>
      <c r="H257" s="16">
        <v>57</v>
      </c>
      <c r="I257" t="str">
        <f t="shared" si="12"/>
        <v>REC-101</v>
      </c>
      <c r="J257" t="str">
        <f t="shared" si="13"/>
        <v>REC</v>
      </c>
      <c r="K257" t="str">
        <f t="shared" si="14"/>
        <v>101</v>
      </c>
      <c r="L257">
        <f t="shared" si="15"/>
        <v>7</v>
      </c>
    </row>
    <row r="258" spans="1:12" x14ac:dyDescent="0.35">
      <c r="A258" s="14">
        <v>345</v>
      </c>
      <c r="B258" s="15">
        <v>346</v>
      </c>
      <c r="C258" s="15">
        <v>0.30299999999999999</v>
      </c>
      <c r="D258" s="15">
        <v>0.39</v>
      </c>
      <c r="E258" s="15">
        <v>0.22389999999999999</v>
      </c>
      <c r="F258" s="15">
        <v>6</v>
      </c>
      <c r="G258" s="15">
        <v>51</v>
      </c>
      <c r="H258" s="16">
        <v>57</v>
      </c>
      <c r="I258" t="str">
        <f t="shared" si="12"/>
        <v>REC-345</v>
      </c>
      <c r="J258" t="str">
        <f t="shared" si="13"/>
        <v>REC</v>
      </c>
      <c r="K258" t="str">
        <f t="shared" si="14"/>
        <v>345</v>
      </c>
      <c r="L258">
        <f t="shared" si="15"/>
        <v>7</v>
      </c>
    </row>
    <row r="259" spans="1:12" x14ac:dyDescent="0.35">
      <c r="A259" s="14">
        <v>539</v>
      </c>
      <c r="B259" s="15">
        <v>540</v>
      </c>
      <c r="C259" s="15">
        <v>0.16669999999999999</v>
      </c>
      <c r="D259" s="15">
        <v>0.4</v>
      </c>
      <c r="E259" s="15">
        <v>0.16420000000000001</v>
      </c>
      <c r="F259" s="15">
        <v>7</v>
      </c>
      <c r="G259" s="15">
        <v>50</v>
      </c>
      <c r="H259" s="16">
        <v>57</v>
      </c>
      <c r="I259" t="str">
        <f t="shared" ref="I259:I322" si="16">"REC-"&amp;TEXT(A259,"000")</f>
        <v>REC-539</v>
      </c>
      <c r="J259" t="str">
        <f t="shared" ref="J259:J322" si="17">LEFT(I259,3)</f>
        <v>REC</v>
      </c>
      <c r="K259" t="str">
        <f t="shared" ref="K259:K322" si="18">RIGHT(I259,3)</f>
        <v>539</v>
      </c>
      <c r="L259">
        <f t="shared" ref="L259:L322" si="19">LEN(I259)</f>
        <v>7</v>
      </c>
    </row>
    <row r="260" spans="1:12" x14ac:dyDescent="0.35">
      <c r="A260" s="14">
        <v>382</v>
      </c>
      <c r="B260" s="15">
        <v>383</v>
      </c>
      <c r="C260" s="15">
        <v>0.1515</v>
      </c>
      <c r="D260" s="15">
        <v>0.5</v>
      </c>
      <c r="E260" s="15">
        <v>0.25369999999999998</v>
      </c>
      <c r="F260" s="15">
        <v>7</v>
      </c>
      <c r="G260" s="15">
        <v>50</v>
      </c>
      <c r="H260" s="16">
        <v>57</v>
      </c>
      <c r="I260" t="str">
        <f t="shared" si="16"/>
        <v>REC-382</v>
      </c>
      <c r="J260" t="str">
        <f t="shared" si="17"/>
        <v>REC</v>
      </c>
      <c r="K260" t="str">
        <f t="shared" si="18"/>
        <v>382</v>
      </c>
      <c r="L260">
        <f t="shared" si="19"/>
        <v>7</v>
      </c>
    </row>
    <row r="261" spans="1:12" x14ac:dyDescent="0.35">
      <c r="A261" s="14">
        <v>368</v>
      </c>
      <c r="B261" s="15">
        <v>369</v>
      </c>
      <c r="C261" s="15">
        <v>0.19700000000000001</v>
      </c>
      <c r="D261" s="15">
        <v>0.47</v>
      </c>
      <c r="E261" s="15">
        <v>0.16420000000000001</v>
      </c>
      <c r="F261" s="15">
        <v>7</v>
      </c>
      <c r="G261" s="15">
        <v>50</v>
      </c>
      <c r="H261" s="16">
        <v>57</v>
      </c>
      <c r="I261" t="str">
        <f t="shared" si="16"/>
        <v>REC-368</v>
      </c>
      <c r="J261" t="str">
        <f t="shared" si="17"/>
        <v>REC</v>
      </c>
      <c r="K261" t="str">
        <f t="shared" si="18"/>
        <v>368</v>
      </c>
      <c r="L261">
        <f t="shared" si="19"/>
        <v>7</v>
      </c>
    </row>
    <row r="262" spans="1:12" x14ac:dyDescent="0.35">
      <c r="A262" s="14">
        <v>79</v>
      </c>
      <c r="B262" s="15">
        <v>80</v>
      </c>
      <c r="C262" s="15">
        <v>0.21210000000000001</v>
      </c>
      <c r="D262" s="15">
        <v>0.51</v>
      </c>
      <c r="E262" s="15">
        <v>0.29849999999999999</v>
      </c>
      <c r="F262" s="15">
        <v>7</v>
      </c>
      <c r="G262" s="15">
        <v>50</v>
      </c>
      <c r="H262" s="16">
        <v>57</v>
      </c>
      <c r="I262" t="str">
        <f t="shared" si="16"/>
        <v>REC-079</v>
      </c>
      <c r="J262" t="str">
        <f t="shared" si="17"/>
        <v>REC</v>
      </c>
      <c r="K262" t="str">
        <f t="shared" si="18"/>
        <v>079</v>
      </c>
      <c r="L262">
        <f t="shared" si="19"/>
        <v>7</v>
      </c>
    </row>
    <row r="263" spans="1:12" x14ac:dyDescent="0.35">
      <c r="A263" s="14">
        <v>453</v>
      </c>
      <c r="B263" s="15">
        <v>454</v>
      </c>
      <c r="C263" s="15">
        <v>0.21210000000000001</v>
      </c>
      <c r="D263" s="15">
        <v>0.65</v>
      </c>
      <c r="E263" s="15">
        <v>0.28360000000000002</v>
      </c>
      <c r="F263" s="15">
        <v>0</v>
      </c>
      <c r="G263" s="15">
        <v>56</v>
      </c>
      <c r="H263" s="16">
        <v>56</v>
      </c>
      <c r="I263" t="str">
        <f t="shared" si="16"/>
        <v>REC-453</v>
      </c>
      <c r="J263" t="str">
        <f t="shared" si="17"/>
        <v>REC</v>
      </c>
      <c r="K263" t="str">
        <f t="shared" si="18"/>
        <v>453</v>
      </c>
      <c r="L263">
        <f t="shared" si="19"/>
        <v>7</v>
      </c>
    </row>
    <row r="264" spans="1:12" x14ac:dyDescent="0.35">
      <c r="A264" s="14">
        <v>273</v>
      </c>
      <c r="B264" s="15">
        <v>274</v>
      </c>
      <c r="C264" s="15">
        <v>0.13639999999999999</v>
      </c>
      <c r="D264" s="15">
        <v>0.5</v>
      </c>
      <c r="E264" s="15">
        <v>0.32840000000000003</v>
      </c>
      <c r="F264" s="15">
        <v>2</v>
      </c>
      <c r="G264" s="15">
        <v>54</v>
      </c>
      <c r="H264" s="16">
        <v>56</v>
      </c>
      <c r="I264" t="str">
        <f t="shared" si="16"/>
        <v>REC-273</v>
      </c>
      <c r="J264" t="str">
        <f t="shared" si="17"/>
        <v>REC</v>
      </c>
      <c r="K264" t="str">
        <f t="shared" si="18"/>
        <v>273</v>
      </c>
      <c r="L264">
        <f t="shared" si="19"/>
        <v>7</v>
      </c>
    </row>
    <row r="265" spans="1:12" x14ac:dyDescent="0.35">
      <c r="A265" s="14">
        <v>11</v>
      </c>
      <c r="B265" s="15">
        <v>12</v>
      </c>
      <c r="C265" s="15">
        <v>0.33329999999999999</v>
      </c>
      <c r="D265" s="15">
        <v>0.81</v>
      </c>
      <c r="E265" s="15">
        <v>0.28360000000000002</v>
      </c>
      <c r="F265" s="15">
        <v>26</v>
      </c>
      <c r="G265" s="15">
        <v>30</v>
      </c>
      <c r="H265" s="16">
        <v>56</v>
      </c>
      <c r="I265" t="str">
        <f t="shared" si="16"/>
        <v>REC-011</v>
      </c>
      <c r="J265" t="str">
        <f t="shared" si="17"/>
        <v>REC</v>
      </c>
      <c r="K265" t="str">
        <f t="shared" si="18"/>
        <v>011</v>
      </c>
      <c r="L265">
        <f t="shared" si="19"/>
        <v>7</v>
      </c>
    </row>
    <row r="266" spans="1:12" x14ac:dyDescent="0.35">
      <c r="A266" s="14">
        <v>265</v>
      </c>
      <c r="B266" s="15">
        <v>266</v>
      </c>
      <c r="C266" s="15">
        <v>0.1515</v>
      </c>
      <c r="D266" s="15">
        <v>0.47</v>
      </c>
      <c r="E266" s="15">
        <v>0.58209999999999995</v>
      </c>
      <c r="F266" s="15">
        <v>3</v>
      </c>
      <c r="G266" s="15">
        <v>52</v>
      </c>
      <c r="H266" s="16">
        <v>55</v>
      </c>
      <c r="I266" t="str">
        <f t="shared" si="16"/>
        <v>REC-265</v>
      </c>
      <c r="J266" t="str">
        <f t="shared" si="17"/>
        <v>REC</v>
      </c>
      <c r="K266" t="str">
        <f t="shared" si="18"/>
        <v>265</v>
      </c>
      <c r="L266">
        <f t="shared" si="19"/>
        <v>7</v>
      </c>
    </row>
    <row r="267" spans="1:12" x14ac:dyDescent="0.35">
      <c r="A267" s="14">
        <v>179</v>
      </c>
      <c r="B267" s="15">
        <v>180</v>
      </c>
      <c r="C267" s="15">
        <v>0.1212</v>
      </c>
      <c r="D267" s="15">
        <v>0.39</v>
      </c>
      <c r="E267" s="15">
        <v>0.29849999999999999</v>
      </c>
      <c r="F267" s="15">
        <v>3</v>
      </c>
      <c r="G267" s="15">
        <v>52</v>
      </c>
      <c r="H267" s="16">
        <v>55</v>
      </c>
      <c r="I267" t="str">
        <f t="shared" si="16"/>
        <v>REC-179</v>
      </c>
      <c r="J267" t="str">
        <f t="shared" si="17"/>
        <v>REC</v>
      </c>
      <c r="K267" t="str">
        <f t="shared" si="18"/>
        <v>179</v>
      </c>
      <c r="L267">
        <f t="shared" si="19"/>
        <v>7</v>
      </c>
    </row>
    <row r="268" spans="1:12" x14ac:dyDescent="0.35">
      <c r="A268" s="14">
        <v>518</v>
      </c>
      <c r="B268" s="15">
        <v>519</v>
      </c>
      <c r="C268" s="15">
        <v>0.1061</v>
      </c>
      <c r="D268" s="15">
        <v>0.26</v>
      </c>
      <c r="E268" s="15">
        <v>0.3881</v>
      </c>
      <c r="F268" s="15">
        <v>5</v>
      </c>
      <c r="G268" s="15">
        <v>50</v>
      </c>
      <c r="H268" s="16">
        <v>55</v>
      </c>
      <c r="I268" t="str">
        <f t="shared" si="16"/>
        <v>REC-518</v>
      </c>
      <c r="J268" t="str">
        <f t="shared" si="17"/>
        <v>REC</v>
      </c>
      <c r="K268" t="str">
        <f t="shared" si="18"/>
        <v>518</v>
      </c>
      <c r="L268">
        <f t="shared" si="19"/>
        <v>7</v>
      </c>
    </row>
    <row r="269" spans="1:12" x14ac:dyDescent="0.35">
      <c r="A269" s="14">
        <v>557</v>
      </c>
      <c r="B269" s="15">
        <v>558</v>
      </c>
      <c r="C269" s="15">
        <v>0.2424</v>
      </c>
      <c r="D269" s="15">
        <v>0.6</v>
      </c>
      <c r="E269" s="15">
        <v>0.1045</v>
      </c>
      <c r="F269" s="15">
        <v>6</v>
      </c>
      <c r="G269" s="15">
        <v>49</v>
      </c>
      <c r="H269" s="16">
        <v>55</v>
      </c>
      <c r="I269" t="str">
        <f t="shared" si="16"/>
        <v>REC-557</v>
      </c>
      <c r="J269" t="str">
        <f t="shared" si="17"/>
        <v>REC</v>
      </c>
      <c r="K269" t="str">
        <f t="shared" si="18"/>
        <v>557</v>
      </c>
      <c r="L269">
        <f t="shared" si="19"/>
        <v>7</v>
      </c>
    </row>
    <row r="270" spans="1:12" x14ac:dyDescent="0.35">
      <c r="A270" s="14">
        <v>496</v>
      </c>
      <c r="B270" s="15">
        <v>497</v>
      </c>
      <c r="C270" s="15">
        <v>9.0899999999999995E-2</v>
      </c>
      <c r="D270" s="15">
        <v>0.35</v>
      </c>
      <c r="E270" s="15">
        <v>0.19400000000000001</v>
      </c>
      <c r="F270" s="15">
        <v>0</v>
      </c>
      <c r="G270" s="15">
        <v>54</v>
      </c>
      <c r="H270" s="16">
        <v>54</v>
      </c>
      <c r="I270" t="str">
        <f t="shared" si="16"/>
        <v>REC-496</v>
      </c>
      <c r="J270" t="str">
        <f t="shared" si="17"/>
        <v>REC</v>
      </c>
      <c r="K270" t="str">
        <f t="shared" si="18"/>
        <v>496</v>
      </c>
      <c r="L270">
        <f t="shared" si="19"/>
        <v>7</v>
      </c>
    </row>
    <row r="271" spans="1:12" x14ac:dyDescent="0.35">
      <c r="A271" s="14">
        <v>260</v>
      </c>
      <c r="B271" s="15">
        <v>261</v>
      </c>
      <c r="C271" s="15">
        <v>0.1515</v>
      </c>
      <c r="D271" s="15">
        <v>0.69</v>
      </c>
      <c r="E271" s="15">
        <v>0.1343</v>
      </c>
      <c r="F271" s="15">
        <v>0</v>
      </c>
      <c r="G271" s="15">
        <v>54</v>
      </c>
      <c r="H271" s="16">
        <v>54</v>
      </c>
      <c r="I271" t="str">
        <f t="shared" si="16"/>
        <v>REC-260</v>
      </c>
      <c r="J271" t="str">
        <f t="shared" si="17"/>
        <v>REC</v>
      </c>
      <c r="K271" t="str">
        <f t="shared" si="18"/>
        <v>260</v>
      </c>
      <c r="L271">
        <f t="shared" si="19"/>
        <v>7</v>
      </c>
    </row>
    <row r="272" spans="1:12" x14ac:dyDescent="0.35">
      <c r="A272" s="14">
        <v>88</v>
      </c>
      <c r="B272" s="15">
        <v>89</v>
      </c>
      <c r="C272" s="15">
        <v>0.2576</v>
      </c>
      <c r="D272" s="15">
        <v>0.48</v>
      </c>
      <c r="E272" s="15">
        <v>0.1045</v>
      </c>
      <c r="F272" s="15">
        <v>1</v>
      </c>
      <c r="G272" s="15">
        <v>53</v>
      </c>
      <c r="H272" s="16">
        <v>54</v>
      </c>
      <c r="I272" t="str">
        <f t="shared" si="16"/>
        <v>REC-088</v>
      </c>
      <c r="J272" t="str">
        <f t="shared" si="17"/>
        <v>REC</v>
      </c>
      <c r="K272" t="str">
        <f t="shared" si="18"/>
        <v>088</v>
      </c>
      <c r="L272">
        <f t="shared" si="19"/>
        <v>7</v>
      </c>
    </row>
    <row r="273" spans="1:12" x14ac:dyDescent="0.35">
      <c r="A273" s="14">
        <v>241</v>
      </c>
      <c r="B273" s="15">
        <v>242</v>
      </c>
      <c r="C273" s="15">
        <v>0.21210000000000001</v>
      </c>
      <c r="D273" s="15">
        <v>0.51</v>
      </c>
      <c r="E273" s="15">
        <v>0.16420000000000001</v>
      </c>
      <c r="F273" s="15">
        <v>3</v>
      </c>
      <c r="G273" s="15">
        <v>51</v>
      </c>
      <c r="H273" s="16">
        <v>54</v>
      </c>
      <c r="I273" t="str">
        <f t="shared" si="16"/>
        <v>REC-241</v>
      </c>
      <c r="J273" t="str">
        <f t="shared" si="17"/>
        <v>REC</v>
      </c>
      <c r="K273" t="str">
        <f t="shared" si="18"/>
        <v>241</v>
      </c>
      <c r="L273">
        <f t="shared" si="19"/>
        <v>7</v>
      </c>
    </row>
    <row r="274" spans="1:12" x14ac:dyDescent="0.35">
      <c r="A274" s="14">
        <v>222</v>
      </c>
      <c r="B274" s="15">
        <v>223</v>
      </c>
      <c r="C274" s="15">
        <v>0.18179999999999999</v>
      </c>
      <c r="D274" s="15">
        <v>0.4</v>
      </c>
      <c r="E274" s="15">
        <v>0.28360000000000002</v>
      </c>
      <c r="F274" s="15">
        <v>4</v>
      </c>
      <c r="G274" s="15">
        <v>50</v>
      </c>
      <c r="H274" s="16">
        <v>54</v>
      </c>
      <c r="I274" t="str">
        <f t="shared" si="16"/>
        <v>REC-222</v>
      </c>
      <c r="J274" t="str">
        <f t="shared" si="17"/>
        <v>REC</v>
      </c>
      <c r="K274" t="str">
        <f t="shared" si="18"/>
        <v>222</v>
      </c>
      <c r="L274">
        <f t="shared" si="19"/>
        <v>7</v>
      </c>
    </row>
    <row r="275" spans="1:12" x14ac:dyDescent="0.35">
      <c r="A275" s="14">
        <v>475</v>
      </c>
      <c r="B275" s="15">
        <v>476</v>
      </c>
      <c r="C275" s="15">
        <v>7.5800000000000006E-2</v>
      </c>
      <c r="D275" s="15">
        <v>0.33</v>
      </c>
      <c r="E275" s="15">
        <v>0.41789999999999999</v>
      </c>
      <c r="F275" s="15">
        <v>1</v>
      </c>
      <c r="G275" s="15">
        <v>52</v>
      </c>
      <c r="H275" s="16">
        <v>53</v>
      </c>
      <c r="I275" t="str">
        <f t="shared" si="16"/>
        <v>REC-475</v>
      </c>
      <c r="J275" t="str">
        <f t="shared" si="17"/>
        <v>REC</v>
      </c>
      <c r="K275" t="str">
        <f t="shared" si="18"/>
        <v>475</v>
      </c>
      <c r="L275">
        <f t="shared" si="19"/>
        <v>7</v>
      </c>
    </row>
    <row r="276" spans="1:12" x14ac:dyDescent="0.35">
      <c r="A276" s="14">
        <v>488</v>
      </c>
      <c r="B276" s="15">
        <v>489</v>
      </c>
      <c r="C276" s="15">
        <v>6.0600000000000001E-2</v>
      </c>
      <c r="D276" s="15">
        <v>0.41</v>
      </c>
      <c r="E276" s="15">
        <v>0.16420000000000001</v>
      </c>
      <c r="F276" s="15">
        <v>3</v>
      </c>
      <c r="G276" s="15">
        <v>50</v>
      </c>
      <c r="H276" s="16">
        <v>53</v>
      </c>
      <c r="I276" t="str">
        <f t="shared" si="16"/>
        <v>REC-488</v>
      </c>
      <c r="J276" t="str">
        <f t="shared" si="17"/>
        <v>REC</v>
      </c>
      <c r="K276" t="str">
        <f t="shared" si="18"/>
        <v>488</v>
      </c>
      <c r="L276">
        <f t="shared" si="19"/>
        <v>7</v>
      </c>
    </row>
    <row r="277" spans="1:12" x14ac:dyDescent="0.35">
      <c r="A277" s="14">
        <v>569</v>
      </c>
      <c r="B277" s="15">
        <v>570</v>
      </c>
      <c r="C277" s="15">
        <v>0.2273</v>
      </c>
      <c r="D277" s="15">
        <v>0.64</v>
      </c>
      <c r="E277" s="15">
        <v>0.16420000000000001</v>
      </c>
      <c r="F277" s="15">
        <v>4</v>
      </c>
      <c r="G277" s="15">
        <v>49</v>
      </c>
      <c r="H277" s="16">
        <v>53</v>
      </c>
      <c r="I277" t="str">
        <f t="shared" si="16"/>
        <v>REC-569</v>
      </c>
      <c r="J277" t="str">
        <f t="shared" si="17"/>
        <v>REC</v>
      </c>
      <c r="K277" t="str">
        <f t="shared" si="18"/>
        <v>569</v>
      </c>
      <c r="L277">
        <f t="shared" si="19"/>
        <v>7</v>
      </c>
    </row>
    <row r="278" spans="1:12" x14ac:dyDescent="0.35">
      <c r="A278" s="14">
        <v>311</v>
      </c>
      <c r="B278" s="15">
        <v>312</v>
      </c>
      <c r="C278" s="15">
        <v>0.16669999999999999</v>
      </c>
      <c r="D278" s="15">
        <v>0.51</v>
      </c>
      <c r="E278" s="15">
        <v>0.28360000000000002</v>
      </c>
      <c r="F278" s="15">
        <v>6</v>
      </c>
      <c r="G278" s="15">
        <v>47</v>
      </c>
      <c r="H278" s="16">
        <v>53</v>
      </c>
      <c r="I278" t="str">
        <f t="shared" si="16"/>
        <v>REC-311</v>
      </c>
      <c r="J278" t="str">
        <f t="shared" si="17"/>
        <v>REC</v>
      </c>
      <c r="K278" t="str">
        <f t="shared" si="18"/>
        <v>311</v>
      </c>
      <c r="L278">
        <f t="shared" si="19"/>
        <v>7</v>
      </c>
    </row>
    <row r="279" spans="1:12" x14ac:dyDescent="0.35">
      <c r="A279" s="14">
        <v>33</v>
      </c>
      <c r="B279" s="15">
        <v>34</v>
      </c>
      <c r="C279" s="15">
        <v>0.34849999999999998</v>
      </c>
      <c r="D279" s="15">
        <v>0.81</v>
      </c>
      <c r="E279" s="15">
        <v>0.22389999999999999</v>
      </c>
      <c r="F279" s="15">
        <v>7</v>
      </c>
      <c r="G279" s="15">
        <v>46</v>
      </c>
      <c r="H279" s="16">
        <v>53</v>
      </c>
      <c r="I279" t="str">
        <f t="shared" si="16"/>
        <v>REC-033</v>
      </c>
      <c r="J279" t="str">
        <f t="shared" si="17"/>
        <v>REC</v>
      </c>
      <c r="K279" t="str">
        <f t="shared" si="18"/>
        <v>033</v>
      </c>
      <c r="L279">
        <f t="shared" si="19"/>
        <v>7</v>
      </c>
    </row>
    <row r="280" spans="1:12" x14ac:dyDescent="0.35">
      <c r="A280" s="14">
        <v>41</v>
      </c>
      <c r="B280" s="15">
        <v>42</v>
      </c>
      <c r="C280" s="15">
        <v>0.33329999999999999</v>
      </c>
      <c r="D280" s="15">
        <v>0.46</v>
      </c>
      <c r="E280" s="15">
        <v>0.32840000000000003</v>
      </c>
      <c r="F280" s="15">
        <v>10</v>
      </c>
      <c r="G280" s="15">
        <v>43</v>
      </c>
      <c r="H280" s="16">
        <v>53</v>
      </c>
      <c r="I280" t="str">
        <f t="shared" si="16"/>
        <v>REC-041</v>
      </c>
      <c r="J280" t="str">
        <f t="shared" si="17"/>
        <v>REC</v>
      </c>
      <c r="K280" t="str">
        <f t="shared" si="18"/>
        <v>041</v>
      </c>
      <c r="L280">
        <f t="shared" si="19"/>
        <v>7</v>
      </c>
    </row>
    <row r="281" spans="1:12" x14ac:dyDescent="0.35">
      <c r="A281" s="14">
        <v>136</v>
      </c>
      <c r="B281" s="15">
        <v>137</v>
      </c>
      <c r="C281" s="15">
        <v>0.21210000000000001</v>
      </c>
      <c r="D281" s="15">
        <v>0.51</v>
      </c>
      <c r="E281" s="15">
        <v>0.28360000000000002</v>
      </c>
      <c r="F281" s="15">
        <v>1</v>
      </c>
      <c r="G281" s="15">
        <v>51</v>
      </c>
      <c r="H281" s="16">
        <v>52</v>
      </c>
      <c r="I281" t="str">
        <f t="shared" si="16"/>
        <v>REC-136</v>
      </c>
      <c r="J281" t="str">
        <f t="shared" si="17"/>
        <v>REC</v>
      </c>
      <c r="K281" t="str">
        <f t="shared" si="18"/>
        <v>136</v>
      </c>
      <c r="L281">
        <f t="shared" si="19"/>
        <v>7</v>
      </c>
    </row>
    <row r="282" spans="1:12" x14ac:dyDescent="0.35">
      <c r="A282" s="14">
        <v>289</v>
      </c>
      <c r="B282" s="15">
        <v>290</v>
      </c>
      <c r="C282" s="15">
        <v>0.16669999999999999</v>
      </c>
      <c r="D282" s="15">
        <v>0.44</v>
      </c>
      <c r="E282" s="15">
        <v>0.41789999999999999</v>
      </c>
      <c r="F282" s="15">
        <v>3</v>
      </c>
      <c r="G282" s="15">
        <v>49</v>
      </c>
      <c r="H282" s="16">
        <v>52</v>
      </c>
      <c r="I282" t="str">
        <f t="shared" si="16"/>
        <v>REC-289</v>
      </c>
      <c r="J282" t="str">
        <f t="shared" si="17"/>
        <v>REC</v>
      </c>
      <c r="K282" t="str">
        <f t="shared" si="18"/>
        <v>289</v>
      </c>
      <c r="L282">
        <f t="shared" si="19"/>
        <v>7</v>
      </c>
    </row>
    <row r="283" spans="1:12" x14ac:dyDescent="0.35">
      <c r="A283" s="14">
        <v>66</v>
      </c>
      <c r="B283" s="15">
        <v>67</v>
      </c>
      <c r="C283" s="15">
        <v>0.19700000000000001</v>
      </c>
      <c r="D283" s="15">
        <v>0.64</v>
      </c>
      <c r="E283" s="15">
        <v>0.1343</v>
      </c>
      <c r="F283" s="15">
        <v>3</v>
      </c>
      <c r="G283" s="15">
        <v>49</v>
      </c>
      <c r="H283" s="16">
        <v>52</v>
      </c>
      <c r="I283" t="str">
        <f t="shared" si="16"/>
        <v>REC-066</v>
      </c>
      <c r="J283" t="str">
        <f t="shared" si="17"/>
        <v>REC</v>
      </c>
      <c r="K283" t="str">
        <f t="shared" si="18"/>
        <v>066</v>
      </c>
      <c r="L283">
        <f t="shared" si="19"/>
        <v>7</v>
      </c>
    </row>
    <row r="284" spans="1:12" x14ac:dyDescent="0.35">
      <c r="A284" s="14">
        <v>65</v>
      </c>
      <c r="B284" s="15">
        <v>66</v>
      </c>
      <c r="C284" s="17"/>
      <c r="D284" s="15">
        <v>0.47</v>
      </c>
      <c r="E284" s="15">
        <v>0.1045</v>
      </c>
      <c r="F284" s="15">
        <v>3</v>
      </c>
      <c r="G284" s="15">
        <v>49</v>
      </c>
      <c r="H284" s="16">
        <v>52</v>
      </c>
      <c r="I284" t="str">
        <f t="shared" si="16"/>
        <v>REC-065</v>
      </c>
      <c r="J284" t="str">
        <f t="shared" si="17"/>
        <v>REC</v>
      </c>
      <c r="K284" t="str">
        <f t="shared" si="18"/>
        <v>065</v>
      </c>
      <c r="L284">
        <f t="shared" si="19"/>
        <v>7</v>
      </c>
    </row>
    <row r="285" spans="1:12" x14ac:dyDescent="0.35">
      <c r="A285" s="14">
        <v>321</v>
      </c>
      <c r="B285" s="15">
        <v>322</v>
      </c>
      <c r="C285" s="15">
        <v>0.2273</v>
      </c>
      <c r="D285" s="15">
        <v>0.69</v>
      </c>
      <c r="E285" s="15">
        <v>0</v>
      </c>
      <c r="F285" s="15">
        <v>4</v>
      </c>
      <c r="G285" s="15">
        <v>48</v>
      </c>
      <c r="H285" s="16">
        <v>52</v>
      </c>
      <c r="I285" t="str">
        <f t="shared" si="16"/>
        <v>REC-321</v>
      </c>
      <c r="J285" t="str">
        <f t="shared" si="17"/>
        <v>REC</v>
      </c>
      <c r="K285" t="str">
        <f t="shared" si="18"/>
        <v>321</v>
      </c>
      <c r="L285">
        <f t="shared" si="19"/>
        <v>7</v>
      </c>
    </row>
    <row r="286" spans="1:12" x14ac:dyDescent="0.35">
      <c r="A286" s="14">
        <v>418</v>
      </c>
      <c r="B286" s="15">
        <v>419</v>
      </c>
      <c r="C286" s="15">
        <v>0.30299999999999999</v>
      </c>
      <c r="D286" s="15">
        <v>0.87</v>
      </c>
      <c r="E286" s="15">
        <v>8.9599999999999999E-2</v>
      </c>
      <c r="F286" s="15">
        <v>5</v>
      </c>
      <c r="G286" s="15">
        <v>47</v>
      </c>
      <c r="H286" s="16">
        <v>52</v>
      </c>
      <c r="I286" t="str">
        <f t="shared" si="16"/>
        <v>REC-418</v>
      </c>
      <c r="J286" t="str">
        <f t="shared" si="17"/>
        <v>REC</v>
      </c>
      <c r="K286" t="str">
        <f t="shared" si="18"/>
        <v>418</v>
      </c>
      <c r="L286">
        <f t="shared" si="19"/>
        <v>7</v>
      </c>
    </row>
    <row r="287" spans="1:12" x14ac:dyDescent="0.35">
      <c r="A287" s="14">
        <v>221</v>
      </c>
      <c r="B287" s="15">
        <v>222</v>
      </c>
      <c r="C287" s="15">
        <v>0.18179999999999999</v>
      </c>
      <c r="D287" s="15">
        <v>0.4</v>
      </c>
      <c r="E287" s="15">
        <v>0.28360000000000002</v>
      </c>
      <c r="F287" s="15">
        <v>5</v>
      </c>
      <c r="G287" s="15">
        <v>47</v>
      </c>
      <c r="H287" s="16">
        <v>52</v>
      </c>
      <c r="I287" t="str">
        <f t="shared" si="16"/>
        <v>REC-221</v>
      </c>
      <c r="J287" t="str">
        <f t="shared" si="17"/>
        <v>REC</v>
      </c>
      <c r="K287" t="str">
        <f t="shared" si="18"/>
        <v>221</v>
      </c>
      <c r="L287">
        <f t="shared" si="19"/>
        <v>7</v>
      </c>
    </row>
    <row r="288" spans="1:12" x14ac:dyDescent="0.35">
      <c r="A288" s="14">
        <v>244</v>
      </c>
      <c r="B288" s="15">
        <v>245</v>
      </c>
      <c r="C288" s="15">
        <v>0.2273</v>
      </c>
      <c r="D288" s="15">
        <v>0.59</v>
      </c>
      <c r="E288" s="15">
        <v>8.9599999999999999E-2</v>
      </c>
      <c r="F288" s="15">
        <v>6</v>
      </c>
      <c r="G288" s="15">
        <v>46</v>
      </c>
      <c r="H288" s="16">
        <v>52</v>
      </c>
      <c r="I288" t="str">
        <f t="shared" si="16"/>
        <v>REC-244</v>
      </c>
      <c r="J288" t="str">
        <f t="shared" si="17"/>
        <v>REC</v>
      </c>
      <c r="K288" t="str">
        <f t="shared" si="18"/>
        <v>244</v>
      </c>
      <c r="L288">
        <f t="shared" si="19"/>
        <v>7</v>
      </c>
    </row>
    <row r="289" spans="1:12" x14ac:dyDescent="0.35">
      <c r="A289" s="14">
        <v>250</v>
      </c>
      <c r="B289" s="15">
        <v>251</v>
      </c>
      <c r="C289" s="15">
        <v>0.2273</v>
      </c>
      <c r="D289" s="15">
        <v>0.93</v>
      </c>
      <c r="E289" s="15">
        <v>0</v>
      </c>
      <c r="F289" s="15">
        <v>0</v>
      </c>
      <c r="G289" s="15">
        <v>51</v>
      </c>
      <c r="H289" s="16">
        <v>51</v>
      </c>
      <c r="I289" t="str">
        <f t="shared" si="16"/>
        <v>REC-250</v>
      </c>
      <c r="J289" t="str">
        <f t="shared" si="17"/>
        <v>REC</v>
      </c>
      <c r="K289" t="str">
        <f t="shared" si="18"/>
        <v>250</v>
      </c>
      <c r="L289">
        <f t="shared" si="19"/>
        <v>7</v>
      </c>
    </row>
    <row r="290" spans="1:12" x14ac:dyDescent="0.35">
      <c r="A290" s="14">
        <v>157</v>
      </c>
      <c r="B290" s="15">
        <v>158</v>
      </c>
      <c r="C290" s="15">
        <v>0.21210000000000001</v>
      </c>
      <c r="D290" s="15">
        <v>0.47</v>
      </c>
      <c r="E290" s="15">
        <v>0.1045</v>
      </c>
      <c r="F290" s="15">
        <v>1</v>
      </c>
      <c r="G290" s="15">
        <v>50</v>
      </c>
      <c r="H290" s="16">
        <v>51</v>
      </c>
      <c r="I290" t="str">
        <f t="shared" si="16"/>
        <v>REC-157</v>
      </c>
      <c r="J290" t="str">
        <f t="shared" si="17"/>
        <v>REC</v>
      </c>
      <c r="K290" t="str">
        <f t="shared" si="18"/>
        <v>157</v>
      </c>
      <c r="L290">
        <f t="shared" si="19"/>
        <v>7</v>
      </c>
    </row>
    <row r="291" spans="1:12" x14ac:dyDescent="0.35">
      <c r="A291" s="14">
        <v>56</v>
      </c>
      <c r="B291" s="15">
        <v>57</v>
      </c>
      <c r="C291" s="15">
        <v>0.18179999999999999</v>
      </c>
      <c r="D291" s="15">
        <v>0.4</v>
      </c>
      <c r="E291" s="15">
        <v>0.32840000000000003</v>
      </c>
      <c r="F291" s="15">
        <v>10</v>
      </c>
      <c r="G291" s="15">
        <v>41</v>
      </c>
      <c r="H291" s="16">
        <v>51</v>
      </c>
      <c r="I291" t="str">
        <f t="shared" si="16"/>
        <v>REC-056</v>
      </c>
      <c r="J291" t="str">
        <f t="shared" si="17"/>
        <v>REC</v>
      </c>
      <c r="K291" t="str">
        <f t="shared" si="18"/>
        <v>056</v>
      </c>
      <c r="L291">
        <f t="shared" si="19"/>
        <v>7</v>
      </c>
    </row>
    <row r="292" spans="1:12" x14ac:dyDescent="0.35">
      <c r="A292" s="14">
        <v>520</v>
      </c>
      <c r="B292" s="15">
        <v>521</v>
      </c>
      <c r="C292" s="15">
        <v>0.1212</v>
      </c>
      <c r="D292" s="15">
        <v>0.3</v>
      </c>
      <c r="E292" s="15">
        <v>0.28360000000000002</v>
      </c>
      <c r="F292" s="15">
        <v>5</v>
      </c>
      <c r="G292" s="15">
        <v>45</v>
      </c>
      <c r="H292" s="16">
        <v>50</v>
      </c>
      <c r="I292" t="str">
        <f t="shared" si="16"/>
        <v>REC-520</v>
      </c>
      <c r="J292" t="str">
        <f t="shared" si="17"/>
        <v>REC</v>
      </c>
      <c r="K292" t="str">
        <f t="shared" si="18"/>
        <v>520</v>
      </c>
      <c r="L292">
        <f t="shared" si="19"/>
        <v>7</v>
      </c>
    </row>
    <row r="293" spans="1:12" x14ac:dyDescent="0.35">
      <c r="A293" s="14">
        <v>151</v>
      </c>
      <c r="B293" s="15">
        <v>152</v>
      </c>
      <c r="C293" s="15">
        <v>0.19700000000000001</v>
      </c>
      <c r="D293" s="15">
        <v>0.4</v>
      </c>
      <c r="E293" s="15">
        <v>0.25369999999999998</v>
      </c>
      <c r="F293" s="15">
        <v>7</v>
      </c>
      <c r="G293" s="15">
        <v>43</v>
      </c>
      <c r="H293" s="16">
        <v>50</v>
      </c>
      <c r="I293" t="str">
        <f t="shared" si="16"/>
        <v>REC-151</v>
      </c>
      <c r="J293" t="str">
        <f t="shared" si="17"/>
        <v>REC</v>
      </c>
      <c r="K293" t="str">
        <f t="shared" si="18"/>
        <v>151</v>
      </c>
      <c r="L293">
        <f t="shared" si="19"/>
        <v>7</v>
      </c>
    </row>
    <row r="294" spans="1:12" x14ac:dyDescent="0.35">
      <c r="A294" s="14">
        <v>604</v>
      </c>
      <c r="B294" s="15">
        <v>605</v>
      </c>
      <c r="C294" s="15">
        <v>0.21210000000000001</v>
      </c>
      <c r="D294" s="15">
        <v>0.86</v>
      </c>
      <c r="E294" s="15">
        <v>0.1045</v>
      </c>
      <c r="F294" s="15">
        <v>0</v>
      </c>
      <c r="G294" s="15">
        <v>49</v>
      </c>
      <c r="H294" s="16">
        <v>49</v>
      </c>
      <c r="I294" t="str">
        <f t="shared" si="16"/>
        <v>REC-604</v>
      </c>
      <c r="J294" t="str">
        <f t="shared" si="17"/>
        <v>REC</v>
      </c>
      <c r="K294" t="str">
        <f t="shared" si="18"/>
        <v>604</v>
      </c>
      <c r="L294">
        <f t="shared" si="19"/>
        <v>7</v>
      </c>
    </row>
    <row r="295" spans="1:12" x14ac:dyDescent="0.35">
      <c r="A295" s="14">
        <v>266</v>
      </c>
      <c r="B295" s="15">
        <v>267</v>
      </c>
      <c r="C295" s="15">
        <v>0.19700000000000001</v>
      </c>
      <c r="D295" s="15">
        <v>0.44</v>
      </c>
      <c r="E295" s="15">
        <v>0.35820000000000002</v>
      </c>
      <c r="F295" s="15">
        <v>0</v>
      </c>
      <c r="G295" s="15">
        <v>49</v>
      </c>
      <c r="H295" s="16">
        <v>49</v>
      </c>
      <c r="I295" t="str">
        <f t="shared" si="16"/>
        <v>REC-266</v>
      </c>
      <c r="J295" t="str">
        <f t="shared" si="17"/>
        <v>REC</v>
      </c>
      <c r="K295" t="str">
        <f t="shared" si="18"/>
        <v>266</v>
      </c>
      <c r="L295">
        <f t="shared" si="19"/>
        <v>7</v>
      </c>
    </row>
    <row r="296" spans="1:12" x14ac:dyDescent="0.35">
      <c r="A296" s="14">
        <v>195</v>
      </c>
      <c r="B296" s="15">
        <v>196</v>
      </c>
      <c r="C296" s="15">
        <v>0.1061</v>
      </c>
      <c r="D296" s="15">
        <v>0.43</v>
      </c>
      <c r="E296" s="15">
        <v>0.3881</v>
      </c>
      <c r="F296" s="15">
        <v>0</v>
      </c>
      <c r="G296" s="15">
        <v>49</v>
      </c>
      <c r="H296" s="16">
        <v>49</v>
      </c>
      <c r="I296" t="str">
        <f t="shared" si="16"/>
        <v>REC-195</v>
      </c>
      <c r="J296" t="str">
        <f t="shared" si="17"/>
        <v>REC</v>
      </c>
      <c r="K296" t="str">
        <f t="shared" si="18"/>
        <v>195</v>
      </c>
      <c r="L296">
        <f t="shared" si="19"/>
        <v>7</v>
      </c>
    </row>
    <row r="297" spans="1:12" x14ac:dyDescent="0.35">
      <c r="A297" s="14">
        <v>268</v>
      </c>
      <c r="B297" s="15">
        <v>269</v>
      </c>
      <c r="C297" s="15">
        <v>0.16669999999999999</v>
      </c>
      <c r="D297" s="15">
        <v>0.47</v>
      </c>
      <c r="E297" s="15">
        <v>0.41789999999999999</v>
      </c>
      <c r="F297" s="15">
        <v>1</v>
      </c>
      <c r="G297" s="15">
        <v>48</v>
      </c>
      <c r="H297" s="16">
        <v>49</v>
      </c>
      <c r="I297" t="str">
        <f t="shared" si="16"/>
        <v>REC-268</v>
      </c>
      <c r="J297" t="str">
        <f t="shared" si="17"/>
        <v>REC</v>
      </c>
      <c r="K297" t="str">
        <f t="shared" si="18"/>
        <v>268</v>
      </c>
      <c r="L297">
        <f t="shared" si="19"/>
        <v>7</v>
      </c>
    </row>
    <row r="298" spans="1:12" x14ac:dyDescent="0.35">
      <c r="A298" s="14">
        <v>196</v>
      </c>
      <c r="B298" s="15">
        <v>197</v>
      </c>
      <c r="C298" s="15">
        <v>0.1212</v>
      </c>
      <c r="D298" s="15">
        <v>0.4</v>
      </c>
      <c r="E298" s="15">
        <v>0.52239999999999998</v>
      </c>
      <c r="F298" s="15">
        <v>2</v>
      </c>
      <c r="G298" s="15">
        <v>47</v>
      </c>
      <c r="H298" s="16">
        <v>49</v>
      </c>
      <c r="I298" t="str">
        <f t="shared" si="16"/>
        <v>REC-196</v>
      </c>
      <c r="J298" t="str">
        <f t="shared" si="17"/>
        <v>REC</v>
      </c>
      <c r="K298" t="str">
        <f t="shared" si="18"/>
        <v>196</v>
      </c>
      <c r="L298">
        <f t="shared" si="19"/>
        <v>7</v>
      </c>
    </row>
    <row r="299" spans="1:12" x14ac:dyDescent="0.35">
      <c r="A299" s="14">
        <v>519</v>
      </c>
      <c r="B299" s="15">
        <v>520</v>
      </c>
      <c r="C299" s="15">
        <v>0.1212</v>
      </c>
      <c r="D299" s="15">
        <v>0.3</v>
      </c>
      <c r="E299" s="15">
        <v>0.25369999999999998</v>
      </c>
      <c r="F299" s="15">
        <v>5</v>
      </c>
      <c r="G299" s="15">
        <v>44</v>
      </c>
      <c r="H299" s="16">
        <v>49</v>
      </c>
      <c r="I299" t="str">
        <f t="shared" si="16"/>
        <v>REC-519</v>
      </c>
      <c r="J299" t="str">
        <f t="shared" si="17"/>
        <v>REC</v>
      </c>
      <c r="K299" t="str">
        <f t="shared" si="18"/>
        <v>519</v>
      </c>
      <c r="L299">
        <f t="shared" si="19"/>
        <v>7</v>
      </c>
    </row>
    <row r="300" spans="1:12" x14ac:dyDescent="0.35">
      <c r="A300" s="14">
        <v>135</v>
      </c>
      <c r="B300" s="15">
        <v>136</v>
      </c>
      <c r="C300" s="15">
        <v>0.21210000000000001</v>
      </c>
      <c r="D300" s="15">
        <v>0.55000000000000004</v>
      </c>
      <c r="E300" s="15">
        <v>0.22389999999999999</v>
      </c>
      <c r="F300" s="15">
        <v>0</v>
      </c>
      <c r="G300" s="15">
        <v>48</v>
      </c>
      <c r="H300" s="16">
        <v>48</v>
      </c>
      <c r="I300" t="str">
        <f t="shared" si="16"/>
        <v>REC-135</v>
      </c>
      <c r="J300" t="str">
        <f t="shared" si="17"/>
        <v>REC</v>
      </c>
      <c r="K300" t="str">
        <f t="shared" si="18"/>
        <v>135</v>
      </c>
      <c r="L300">
        <f t="shared" si="19"/>
        <v>7</v>
      </c>
    </row>
    <row r="301" spans="1:12" x14ac:dyDescent="0.35">
      <c r="A301" s="14">
        <v>89</v>
      </c>
      <c r="B301" s="15">
        <v>90</v>
      </c>
      <c r="C301" s="15">
        <v>0.2727</v>
      </c>
      <c r="D301" s="15">
        <v>0.64</v>
      </c>
      <c r="E301" s="15">
        <v>0</v>
      </c>
      <c r="F301" s="15">
        <v>0</v>
      </c>
      <c r="G301" s="15">
        <v>48</v>
      </c>
      <c r="H301" s="16">
        <v>48</v>
      </c>
      <c r="I301" t="str">
        <f t="shared" si="16"/>
        <v>REC-089</v>
      </c>
      <c r="J301" t="str">
        <f t="shared" si="17"/>
        <v>REC</v>
      </c>
      <c r="K301" t="str">
        <f t="shared" si="18"/>
        <v>089</v>
      </c>
      <c r="L301">
        <f t="shared" si="19"/>
        <v>7</v>
      </c>
    </row>
    <row r="302" spans="1:12" x14ac:dyDescent="0.35">
      <c r="A302" s="14">
        <v>203</v>
      </c>
      <c r="B302" s="15">
        <v>204</v>
      </c>
      <c r="C302" s="15">
        <v>0.13639999999999999</v>
      </c>
      <c r="D302" s="15">
        <v>0.4</v>
      </c>
      <c r="E302" s="15">
        <v>0.32840000000000003</v>
      </c>
      <c r="F302" s="15">
        <v>4</v>
      </c>
      <c r="G302" s="15">
        <v>44</v>
      </c>
      <c r="H302" s="16">
        <v>48</v>
      </c>
      <c r="I302" t="str">
        <f t="shared" si="16"/>
        <v>REC-203</v>
      </c>
      <c r="J302" t="str">
        <f t="shared" si="17"/>
        <v>REC</v>
      </c>
      <c r="K302" t="str">
        <f t="shared" si="18"/>
        <v>203</v>
      </c>
      <c r="L302">
        <f t="shared" si="19"/>
        <v>7</v>
      </c>
    </row>
    <row r="303" spans="1:12" x14ac:dyDescent="0.35">
      <c r="A303" s="14">
        <v>581</v>
      </c>
      <c r="B303" s="15">
        <v>582</v>
      </c>
      <c r="C303" s="15">
        <v>0.19700000000000001</v>
      </c>
      <c r="D303" s="15">
        <v>0.93</v>
      </c>
      <c r="E303" s="15">
        <v>0.32840000000000003</v>
      </c>
      <c r="F303" s="15">
        <v>7</v>
      </c>
      <c r="G303" s="15">
        <v>41</v>
      </c>
      <c r="H303" s="16">
        <v>48</v>
      </c>
      <c r="I303" t="str">
        <f t="shared" si="16"/>
        <v>REC-581</v>
      </c>
      <c r="J303" t="str">
        <f t="shared" si="17"/>
        <v>REC</v>
      </c>
      <c r="K303" t="str">
        <f t="shared" si="18"/>
        <v>581</v>
      </c>
      <c r="L303">
        <f t="shared" si="19"/>
        <v>7</v>
      </c>
    </row>
    <row r="304" spans="1:12" x14ac:dyDescent="0.35">
      <c r="A304" s="14">
        <v>223</v>
      </c>
      <c r="B304" s="15">
        <v>224</v>
      </c>
      <c r="C304" s="15">
        <v>0.19700000000000001</v>
      </c>
      <c r="D304" s="15">
        <v>0.4</v>
      </c>
      <c r="E304" s="15">
        <v>0.22389999999999999</v>
      </c>
      <c r="F304" s="15">
        <v>0</v>
      </c>
      <c r="G304" s="15">
        <v>47</v>
      </c>
      <c r="H304" s="16">
        <v>47</v>
      </c>
      <c r="I304" t="str">
        <f t="shared" si="16"/>
        <v>REC-223</v>
      </c>
      <c r="J304" t="str">
        <f t="shared" si="17"/>
        <v>REC</v>
      </c>
      <c r="K304" t="str">
        <f t="shared" si="18"/>
        <v>223</v>
      </c>
      <c r="L304">
        <f t="shared" si="19"/>
        <v>7</v>
      </c>
    </row>
    <row r="305" spans="1:12" x14ac:dyDescent="0.35">
      <c r="A305" s="14">
        <v>417</v>
      </c>
      <c r="B305" s="15">
        <v>418</v>
      </c>
      <c r="C305" s="15">
        <v>0.2727</v>
      </c>
      <c r="D305" s="15">
        <v>0.93</v>
      </c>
      <c r="E305" s="15">
        <v>0.1343</v>
      </c>
      <c r="F305" s="15">
        <v>1</v>
      </c>
      <c r="G305" s="15">
        <v>46</v>
      </c>
      <c r="H305" s="16">
        <v>47</v>
      </c>
      <c r="I305" t="str">
        <f t="shared" si="16"/>
        <v>REC-417</v>
      </c>
      <c r="J305" t="str">
        <f t="shared" si="17"/>
        <v>REC</v>
      </c>
      <c r="K305" t="str">
        <f t="shared" si="18"/>
        <v>417</v>
      </c>
      <c r="L305">
        <f t="shared" si="19"/>
        <v>7</v>
      </c>
    </row>
    <row r="306" spans="1:12" x14ac:dyDescent="0.35">
      <c r="A306" s="14">
        <v>246</v>
      </c>
      <c r="B306" s="15">
        <v>247</v>
      </c>
      <c r="C306" s="15">
        <v>0.19700000000000001</v>
      </c>
      <c r="D306" s="15">
        <v>0.8</v>
      </c>
      <c r="E306" s="15">
        <v>8.9599999999999999E-2</v>
      </c>
      <c r="F306" s="15">
        <v>2</v>
      </c>
      <c r="G306" s="15">
        <v>45</v>
      </c>
      <c r="H306" s="16">
        <v>47</v>
      </c>
      <c r="I306" t="str">
        <f t="shared" si="16"/>
        <v>REC-246</v>
      </c>
      <c r="J306" t="str">
        <f t="shared" si="17"/>
        <v>REC</v>
      </c>
      <c r="K306" t="str">
        <f t="shared" si="18"/>
        <v>246</v>
      </c>
      <c r="L306">
        <f t="shared" si="19"/>
        <v>7</v>
      </c>
    </row>
    <row r="307" spans="1:12" x14ac:dyDescent="0.35">
      <c r="A307" s="14">
        <v>582</v>
      </c>
      <c r="B307" s="15">
        <v>583</v>
      </c>
      <c r="C307" s="15">
        <v>0.19700000000000001</v>
      </c>
      <c r="D307" s="15">
        <v>0.93</v>
      </c>
      <c r="E307" s="15">
        <v>0.32840000000000003</v>
      </c>
      <c r="F307" s="15">
        <v>4</v>
      </c>
      <c r="G307" s="15">
        <v>43</v>
      </c>
      <c r="H307" s="16">
        <v>47</v>
      </c>
      <c r="I307" t="str">
        <f t="shared" si="16"/>
        <v>REC-582</v>
      </c>
      <c r="J307" t="str">
        <f t="shared" si="17"/>
        <v>REC</v>
      </c>
      <c r="K307" t="str">
        <f t="shared" si="18"/>
        <v>582</v>
      </c>
      <c r="L307">
        <f t="shared" si="19"/>
        <v>7</v>
      </c>
    </row>
    <row r="308" spans="1:12" x14ac:dyDescent="0.35">
      <c r="A308" s="14">
        <v>381</v>
      </c>
      <c r="B308" s="15">
        <v>382</v>
      </c>
      <c r="C308" s="15">
        <v>0.1515</v>
      </c>
      <c r="D308" s="15">
        <v>0.47</v>
      </c>
      <c r="E308" s="15">
        <v>0.22389999999999999</v>
      </c>
      <c r="F308" s="15">
        <v>8</v>
      </c>
      <c r="G308" s="15">
        <v>39</v>
      </c>
      <c r="H308" s="16">
        <v>47</v>
      </c>
      <c r="I308" t="str">
        <f t="shared" si="16"/>
        <v>REC-381</v>
      </c>
      <c r="J308" t="str">
        <f t="shared" si="17"/>
        <v>REC</v>
      </c>
      <c r="K308" t="str">
        <f t="shared" si="18"/>
        <v>381</v>
      </c>
      <c r="L308">
        <f t="shared" si="19"/>
        <v>7</v>
      </c>
    </row>
    <row r="309" spans="1:12" x14ac:dyDescent="0.35">
      <c r="A309" s="14">
        <v>535</v>
      </c>
      <c r="B309" s="15">
        <v>536</v>
      </c>
      <c r="C309" s="15">
        <v>0.1212</v>
      </c>
      <c r="D309" s="15">
        <v>0.46</v>
      </c>
      <c r="E309" s="15">
        <v>0.1343</v>
      </c>
      <c r="F309" s="15">
        <v>3</v>
      </c>
      <c r="G309" s="15">
        <v>43</v>
      </c>
      <c r="H309" s="16">
        <v>46</v>
      </c>
      <c r="I309" t="str">
        <f t="shared" si="16"/>
        <v>REC-535</v>
      </c>
      <c r="J309" t="str">
        <f t="shared" si="17"/>
        <v>REC</v>
      </c>
      <c r="K309" t="str">
        <f t="shared" si="18"/>
        <v>535</v>
      </c>
      <c r="L309">
        <f t="shared" si="19"/>
        <v>7</v>
      </c>
    </row>
    <row r="310" spans="1:12" x14ac:dyDescent="0.35">
      <c r="A310" s="14">
        <v>102</v>
      </c>
      <c r="B310" s="15">
        <v>103</v>
      </c>
      <c r="C310" s="15">
        <v>0.2273</v>
      </c>
      <c r="D310" s="15">
        <v>0.33</v>
      </c>
      <c r="E310" s="15">
        <v>0.32840000000000003</v>
      </c>
      <c r="F310" s="15">
        <v>12</v>
      </c>
      <c r="G310" s="15">
        <v>34</v>
      </c>
      <c r="H310" s="16">
        <v>46</v>
      </c>
      <c r="I310" t="str">
        <f t="shared" si="16"/>
        <v>REC-102</v>
      </c>
      <c r="J310" t="str">
        <f t="shared" si="17"/>
        <v>REC</v>
      </c>
      <c r="K310" t="str">
        <f t="shared" si="18"/>
        <v>102</v>
      </c>
      <c r="L310">
        <f t="shared" si="19"/>
        <v>7</v>
      </c>
    </row>
    <row r="311" spans="1:12" x14ac:dyDescent="0.35">
      <c r="A311" s="14">
        <v>498</v>
      </c>
      <c r="B311" s="15">
        <v>499</v>
      </c>
      <c r="C311" s="15">
        <v>7.5800000000000006E-2</v>
      </c>
      <c r="D311" s="15">
        <v>0.45</v>
      </c>
      <c r="E311" s="15">
        <v>0.16420000000000001</v>
      </c>
      <c r="F311" s="15">
        <v>1</v>
      </c>
      <c r="G311" s="15">
        <v>44</v>
      </c>
      <c r="H311" s="16">
        <v>45</v>
      </c>
      <c r="I311" t="str">
        <f t="shared" si="16"/>
        <v>REC-498</v>
      </c>
      <c r="J311" t="str">
        <f t="shared" si="17"/>
        <v>REC</v>
      </c>
      <c r="K311" t="str">
        <f t="shared" si="18"/>
        <v>498</v>
      </c>
      <c r="L311">
        <f t="shared" si="19"/>
        <v>7</v>
      </c>
    </row>
    <row r="312" spans="1:12" x14ac:dyDescent="0.35">
      <c r="A312" s="14">
        <v>538</v>
      </c>
      <c r="B312" s="15">
        <v>539</v>
      </c>
      <c r="C312" s="15">
        <v>0.13639999999999999</v>
      </c>
      <c r="D312" s="15">
        <v>0.46</v>
      </c>
      <c r="E312" s="15">
        <v>0.22389999999999999</v>
      </c>
      <c r="F312" s="15">
        <v>2</v>
      </c>
      <c r="G312" s="15">
        <v>43</v>
      </c>
      <c r="H312" s="16">
        <v>45</v>
      </c>
      <c r="I312" t="str">
        <f t="shared" si="16"/>
        <v>REC-538</v>
      </c>
      <c r="J312" t="str">
        <f t="shared" si="17"/>
        <v>REC</v>
      </c>
      <c r="K312" t="str">
        <f t="shared" si="18"/>
        <v>538</v>
      </c>
      <c r="L312">
        <f t="shared" si="19"/>
        <v>7</v>
      </c>
    </row>
    <row r="313" spans="1:12" x14ac:dyDescent="0.35">
      <c r="A313" s="14">
        <v>224</v>
      </c>
      <c r="B313" s="15">
        <v>225</v>
      </c>
      <c r="C313" s="15">
        <v>0.19700000000000001</v>
      </c>
      <c r="D313" s="15">
        <v>0.4</v>
      </c>
      <c r="E313" s="15">
        <v>0.22389999999999999</v>
      </c>
      <c r="F313" s="15">
        <v>2</v>
      </c>
      <c r="G313" s="15">
        <v>43</v>
      </c>
      <c r="H313" s="16">
        <v>45</v>
      </c>
      <c r="I313" t="str">
        <f t="shared" si="16"/>
        <v>REC-224</v>
      </c>
      <c r="J313" t="str">
        <f t="shared" si="17"/>
        <v>REC</v>
      </c>
      <c r="K313" t="str">
        <f t="shared" si="18"/>
        <v>224</v>
      </c>
      <c r="L313">
        <f t="shared" si="19"/>
        <v>7</v>
      </c>
    </row>
    <row r="314" spans="1:12" x14ac:dyDescent="0.35">
      <c r="A314" s="14">
        <v>124</v>
      </c>
      <c r="B314" s="15">
        <v>125</v>
      </c>
      <c r="C314" s="15">
        <v>0.2576</v>
      </c>
      <c r="D314" s="15">
        <v>0.47</v>
      </c>
      <c r="E314" s="15">
        <v>0</v>
      </c>
      <c r="F314" s="15">
        <v>3</v>
      </c>
      <c r="G314" s="15">
        <v>42</v>
      </c>
      <c r="H314" s="16">
        <v>45</v>
      </c>
      <c r="I314" t="str">
        <f t="shared" si="16"/>
        <v>REC-124</v>
      </c>
      <c r="J314" t="str">
        <f t="shared" si="17"/>
        <v>REC</v>
      </c>
      <c r="K314" t="str">
        <f t="shared" si="18"/>
        <v>124</v>
      </c>
      <c r="L314">
        <f t="shared" si="19"/>
        <v>7</v>
      </c>
    </row>
    <row r="315" spans="1:12" x14ac:dyDescent="0.35">
      <c r="A315" s="14">
        <v>568</v>
      </c>
      <c r="B315" s="15">
        <v>569</v>
      </c>
      <c r="C315" s="15">
        <v>0.2273</v>
      </c>
      <c r="D315" s="15">
        <v>0.65</v>
      </c>
      <c r="E315" s="15">
        <v>0.19400000000000001</v>
      </c>
      <c r="F315" s="15">
        <v>5</v>
      </c>
      <c r="G315" s="15">
        <v>40</v>
      </c>
      <c r="H315" s="16">
        <v>45</v>
      </c>
      <c r="I315" t="str">
        <f t="shared" si="16"/>
        <v>REC-568</v>
      </c>
      <c r="J315" t="str">
        <f t="shared" si="17"/>
        <v>REC</v>
      </c>
      <c r="K315" t="str">
        <f t="shared" si="18"/>
        <v>568</v>
      </c>
      <c r="L315">
        <f t="shared" si="19"/>
        <v>7</v>
      </c>
    </row>
    <row r="316" spans="1:12" x14ac:dyDescent="0.35">
      <c r="A316" s="14">
        <v>267</v>
      </c>
      <c r="B316" s="15">
        <v>268</v>
      </c>
      <c r="C316" s="15">
        <v>0.18179999999999999</v>
      </c>
      <c r="D316" s="15">
        <v>0.47</v>
      </c>
      <c r="E316" s="15">
        <v>0.32840000000000003</v>
      </c>
      <c r="F316" s="15">
        <v>0</v>
      </c>
      <c r="G316" s="15">
        <v>44</v>
      </c>
      <c r="H316" s="16">
        <v>44</v>
      </c>
      <c r="I316" t="str">
        <f t="shared" si="16"/>
        <v>REC-267</v>
      </c>
      <c r="J316" t="str">
        <f t="shared" si="17"/>
        <v>REC</v>
      </c>
      <c r="K316" t="str">
        <f t="shared" si="18"/>
        <v>267</v>
      </c>
      <c r="L316">
        <f t="shared" si="19"/>
        <v>7</v>
      </c>
    </row>
    <row r="317" spans="1:12" x14ac:dyDescent="0.35">
      <c r="A317" s="14">
        <v>310</v>
      </c>
      <c r="B317" s="15">
        <v>311</v>
      </c>
      <c r="C317" s="15">
        <v>0.18179999999999999</v>
      </c>
      <c r="D317" s="15">
        <v>0.55000000000000004</v>
      </c>
      <c r="E317" s="15">
        <v>0.19400000000000001</v>
      </c>
      <c r="F317" s="15">
        <v>4</v>
      </c>
      <c r="G317" s="15">
        <v>40</v>
      </c>
      <c r="H317" s="16">
        <v>44</v>
      </c>
      <c r="I317" t="str">
        <f t="shared" si="16"/>
        <v>REC-310</v>
      </c>
      <c r="J317" t="str">
        <f t="shared" si="17"/>
        <v>REC</v>
      </c>
      <c r="K317" t="str">
        <f t="shared" si="18"/>
        <v>310</v>
      </c>
      <c r="L317">
        <f t="shared" si="19"/>
        <v>7</v>
      </c>
    </row>
    <row r="318" spans="1:12" x14ac:dyDescent="0.35">
      <c r="A318" s="14">
        <v>347</v>
      </c>
      <c r="B318" s="15">
        <v>348</v>
      </c>
      <c r="C318" s="15">
        <v>0.28789999999999999</v>
      </c>
      <c r="D318" s="15">
        <v>0.45</v>
      </c>
      <c r="E318" s="15">
        <v>0.28360000000000002</v>
      </c>
      <c r="F318" s="15">
        <v>5</v>
      </c>
      <c r="G318" s="15">
        <v>39</v>
      </c>
      <c r="H318" s="16">
        <v>44</v>
      </c>
      <c r="I318" t="str">
        <f t="shared" si="16"/>
        <v>REC-347</v>
      </c>
      <c r="J318" t="str">
        <f t="shared" si="17"/>
        <v>REC</v>
      </c>
      <c r="K318" t="str">
        <f t="shared" si="18"/>
        <v>347</v>
      </c>
      <c r="L318">
        <f t="shared" si="19"/>
        <v>7</v>
      </c>
    </row>
    <row r="319" spans="1:12" x14ac:dyDescent="0.35">
      <c r="A319" s="14">
        <v>55</v>
      </c>
      <c r="B319" s="15">
        <v>56</v>
      </c>
      <c r="C319" s="15">
        <v>0.16669999999999999</v>
      </c>
      <c r="D319" s="15">
        <v>0.43</v>
      </c>
      <c r="E319" s="15">
        <v>0.25369999999999998</v>
      </c>
      <c r="F319" s="15">
        <v>11</v>
      </c>
      <c r="G319" s="15">
        <v>33</v>
      </c>
      <c r="H319" s="16">
        <v>44</v>
      </c>
      <c r="I319" t="str">
        <f t="shared" si="16"/>
        <v>REC-055</v>
      </c>
      <c r="J319" t="str">
        <f t="shared" si="17"/>
        <v>REC</v>
      </c>
      <c r="K319" t="str">
        <f t="shared" si="18"/>
        <v>055</v>
      </c>
      <c r="L319">
        <f t="shared" si="19"/>
        <v>7</v>
      </c>
    </row>
    <row r="320" spans="1:12" x14ac:dyDescent="0.35">
      <c r="A320" s="14">
        <v>584</v>
      </c>
      <c r="B320" s="15">
        <v>585</v>
      </c>
      <c r="C320" s="15">
        <v>0.18179999999999999</v>
      </c>
      <c r="D320" s="15">
        <v>0.93</v>
      </c>
      <c r="E320" s="15">
        <v>0.4627</v>
      </c>
      <c r="F320" s="15">
        <v>1</v>
      </c>
      <c r="G320" s="15">
        <v>42</v>
      </c>
      <c r="H320" s="16">
        <v>43</v>
      </c>
      <c r="I320" t="str">
        <f t="shared" si="16"/>
        <v>REC-584</v>
      </c>
      <c r="J320" t="str">
        <f t="shared" si="17"/>
        <v>REC</v>
      </c>
      <c r="K320" t="str">
        <f t="shared" si="18"/>
        <v>584</v>
      </c>
      <c r="L320">
        <f t="shared" si="19"/>
        <v>7</v>
      </c>
    </row>
    <row r="321" spans="1:12" x14ac:dyDescent="0.35">
      <c r="A321" s="14">
        <v>112</v>
      </c>
      <c r="B321" s="15">
        <v>113</v>
      </c>
      <c r="C321" s="15">
        <v>0.19700000000000001</v>
      </c>
      <c r="D321" s="15">
        <v>0.51</v>
      </c>
      <c r="E321" s="15">
        <v>0.19400000000000001</v>
      </c>
      <c r="F321" s="15">
        <v>3</v>
      </c>
      <c r="G321" s="15">
        <v>40</v>
      </c>
      <c r="H321" s="16">
        <v>43</v>
      </c>
      <c r="I321" t="str">
        <f t="shared" si="16"/>
        <v>REC-112</v>
      </c>
      <c r="J321" t="str">
        <f t="shared" si="17"/>
        <v>REC</v>
      </c>
      <c r="K321" t="str">
        <f t="shared" si="18"/>
        <v>112</v>
      </c>
      <c r="L321">
        <f t="shared" si="19"/>
        <v>7</v>
      </c>
    </row>
    <row r="322" spans="1:12" x14ac:dyDescent="0.35">
      <c r="A322" s="14">
        <v>113</v>
      </c>
      <c r="B322" s="15">
        <v>114</v>
      </c>
      <c r="C322" s="15">
        <v>0.19700000000000001</v>
      </c>
      <c r="D322" s="15">
        <v>0.55000000000000004</v>
      </c>
      <c r="E322" s="15">
        <v>0.1343</v>
      </c>
      <c r="F322" s="15">
        <v>1</v>
      </c>
      <c r="G322" s="15">
        <v>41</v>
      </c>
      <c r="H322" s="16">
        <v>42</v>
      </c>
      <c r="I322" t="str">
        <f t="shared" si="16"/>
        <v>REC-113</v>
      </c>
      <c r="J322" t="str">
        <f t="shared" si="17"/>
        <v>REC</v>
      </c>
      <c r="K322" t="str">
        <f t="shared" si="18"/>
        <v>113</v>
      </c>
      <c r="L322">
        <f t="shared" si="19"/>
        <v>7</v>
      </c>
    </row>
    <row r="323" spans="1:12" x14ac:dyDescent="0.35">
      <c r="A323" s="14">
        <v>291</v>
      </c>
      <c r="B323" s="15">
        <v>292</v>
      </c>
      <c r="C323" s="15">
        <v>0.19700000000000001</v>
      </c>
      <c r="D323" s="15">
        <v>0.41</v>
      </c>
      <c r="E323" s="15">
        <v>0.3881</v>
      </c>
      <c r="F323" s="15">
        <v>3</v>
      </c>
      <c r="G323" s="15">
        <v>39</v>
      </c>
      <c r="H323" s="16">
        <v>42</v>
      </c>
      <c r="I323" t="str">
        <f t="shared" ref="I323:I386" si="20">"REC-"&amp;TEXT(A323,"000")</f>
        <v>REC-291</v>
      </c>
      <c r="J323" t="str">
        <f t="shared" ref="J323:J386" si="21">LEFT(I323,3)</f>
        <v>REC</v>
      </c>
      <c r="K323" t="str">
        <f t="shared" ref="K323:K386" si="22">RIGHT(I323,3)</f>
        <v>291</v>
      </c>
      <c r="L323">
        <f t="shared" ref="L323:L386" si="23">LEN(I323)</f>
        <v>7</v>
      </c>
    </row>
    <row r="324" spans="1:12" x14ac:dyDescent="0.35">
      <c r="A324" s="14">
        <v>78</v>
      </c>
      <c r="B324" s="15">
        <v>79</v>
      </c>
      <c r="C324" s="15">
        <v>0.13639999999999999</v>
      </c>
      <c r="D324" s="15">
        <v>0.69</v>
      </c>
      <c r="E324" s="15">
        <v>0.32840000000000003</v>
      </c>
      <c r="F324" s="15">
        <v>5</v>
      </c>
      <c r="G324" s="15">
        <v>37</v>
      </c>
      <c r="H324" s="16">
        <v>42</v>
      </c>
      <c r="I324" t="str">
        <f t="shared" si="20"/>
        <v>REC-078</v>
      </c>
      <c r="J324" t="str">
        <f t="shared" si="21"/>
        <v>REC</v>
      </c>
      <c r="K324" t="str">
        <f t="shared" si="22"/>
        <v>078</v>
      </c>
      <c r="L324">
        <f t="shared" si="23"/>
        <v>7</v>
      </c>
    </row>
    <row r="325" spans="1:12" x14ac:dyDescent="0.35">
      <c r="A325" s="14">
        <v>476</v>
      </c>
      <c r="B325" s="15">
        <v>477</v>
      </c>
      <c r="C325" s="15">
        <v>7.5800000000000006E-2</v>
      </c>
      <c r="D325" s="15">
        <v>0.38</v>
      </c>
      <c r="E325" s="15">
        <v>0.28360000000000002</v>
      </c>
      <c r="F325" s="15">
        <v>0</v>
      </c>
      <c r="G325" s="15">
        <v>41</v>
      </c>
      <c r="H325" s="16">
        <v>41</v>
      </c>
      <c r="I325" t="str">
        <f t="shared" si="20"/>
        <v>REC-476</v>
      </c>
      <c r="J325" t="str">
        <f t="shared" si="21"/>
        <v>REC</v>
      </c>
      <c r="K325" t="str">
        <f t="shared" si="22"/>
        <v>476</v>
      </c>
      <c r="L325">
        <f t="shared" si="23"/>
        <v>7</v>
      </c>
    </row>
    <row r="326" spans="1:12" x14ac:dyDescent="0.35">
      <c r="A326" s="14">
        <v>405</v>
      </c>
      <c r="B326" s="15">
        <v>406</v>
      </c>
      <c r="C326" s="15">
        <v>0.2424</v>
      </c>
      <c r="D326" s="15">
        <v>0.93</v>
      </c>
      <c r="E326" s="15">
        <v>0.1045</v>
      </c>
      <c r="F326" s="15">
        <v>0</v>
      </c>
      <c r="G326" s="15">
        <v>41</v>
      </c>
      <c r="H326" s="16">
        <v>41</v>
      </c>
      <c r="I326" t="str">
        <f t="shared" si="20"/>
        <v>REC-405</v>
      </c>
      <c r="J326" t="str">
        <f t="shared" si="21"/>
        <v>REC</v>
      </c>
      <c r="K326" t="str">
        <f t="shared" si="22"/>
        <v>405</v>
      </c>
      <c r="L326">
        <f t="shared" si="23"/>
        <v>7</v>
      </c>
    </row>
    <row r="327" spans="1:12" x14ac:dyDescent="0.35">
      <c r="A327" s="14">
        <v>609</v>
      </c>
      <c r="B327" s="15">
        <v>610</v>
      </c>
      <c r="C327" s="15">
        <v>0.2576</v>
      </c>
      <c r="D327" s="15">
        <v>0.86</v>
      </c>
      <c r="E327" s="15">
        <v>0</v>
      </c>
      <c r="F327" s="15">
        <v>1</v>
      </c>
      <c r="G327" s="15">
        <v>40</v>
      </c>
      <c r="H327" s="16">
        <v>41</v>
      </c>
      <c r="I327" t="str">
        <f t="shared" si="20"/>
        <v>REC-609</v>
      </c>
      <c r="J327" t="str">
        <f t="shared" si="21"/>
        <v>REC</v>
      </c>
      <c r="K327" t="str">
        <f t="shared" si="22"/>
        <v>609</v>
      </c>
      <c r="L327">
        <f t="shared" si="23"/>
        <v>7</v>
      </c>
    </row>
    <row r="328" spans="1:12" x14ac:dyDescent="0.35">
      <c r="A328" s="14">
        <v>204</v>
      </c>
      <c r="B328" s="15">
        <v>205</v>
      </c>
      <c r="C328" s="15">
        <v>0.13639999999999999</v>
      </c>
      <c r="D328" s="15">
        <v>0.43</v>
      </c>
      <c r="E328" s="15">
        <v>0.32840000000000003</v>
      </c>
      <c r="F328" s="15">
        <v>1</v>
      </c>
      <c r="G328" s="15">
        <v>40</v>
      </c>
      <c r="H328" s="16">
        <v>41</v>
      </c>
      <c r="I328" t="str">
        <f t="shared" si="20"/>
        <v>REC-204</v>
      </c>
      <c r="J328" t="str">
        <f t="shared" si="21"/>
        <v>REC</v>
      </c>
      <c r="K328" t="str">
        <f t="shared" si="22"/>
        <v>204</v>
      </c>
      <c r="L328">
        <f t="shared" si="23"/>
        <v>7</v>
      </c>
    </row>
    <row r="329" spans="1:12" x14ac:dyDescent="0.35">
      <c r="A329" s="14">
        <v>580</v>
      </c>
      <c r="B329" s="15">
        <v>581</v>
      </c>
      <c r="C329" s="15">
        <v>0.19700000000000001</v>
      </c>
      <c r="D329" s="15">
        <v>0.93</v>
      </c>
      <c r="E329" s="15">
        <v>0.32840000000000003</v>
      </c>
      <c r="F329" s="15">
        <v>6</v>
      </c>
      <c r="G329" s="15">
        <v>35</v>
      </c>
      <c r="H329" s="16">
        <v>41</v>
      </c>
      <c r="I329" t="str">
        <f t="shared" si="20"/>
        <v>REC-580</v>
      </c>
      <c r="J329" t="str">
        <f t="shared" si="21"/>
        <v>REC</v>
      </c>
      <c r="K329" t="str">
        <f t="shared" si="22"/>
        <v>580</v>
      </c>
      <c r="L329">
        <f t="shared" si="23"/>
        <v>7</v>
      </c>
    </row>
    <row r="330" spans="1:12" x14ac:dyDescent="0.35">
      <c r="A330" s="14">
        <v>344</v>
      </c>
      <c r="B330" s="15">
        <v>345</v>
      </c>
      <c r="C330" s="15">
        <v>0.30299999999999999</v>
      </c>
      <c r="D330" s="15">
        <v>0.39</v>
      </c>
      <c r="E330" s="15">
        <v>0.25369999999999998</v>
      </c>
      <c r="F330" s="15">
        <v>6</v>
      </c>
      <c r="G330" s="15">
        <v>35</v>
      </c>
      <c r="H330" s="16">
        <v>41</v>
      </c>
      <c r="I330" t="str">
        <f t="shared" si="20"/>
        <v>REC-344</v>
      </c>
      <c r="J330" t="str">
        <f t="shared" si="21"/>
        <v>REC</v>
      </c>
      <c r="K330" t="str">
        <f t="shared" si="22"/>
        <v>344</v>
      </c>
      <c r="L330">
        <f t="shared" si="23"/>
        <v>7</v>
      </c>
    </row>
    <row r="331" spans="1:12" x14ac:dyDescent="0.35">
      <c r="A331" s="14">
        <v>298</v>
      </c>
      <c r="B331" s="15">
        <v>299</v>
      </c>
      <c r="C331" s="15">
        <v>0.1212</v>
      </c>
      <c r="D331" s="15">
        <v>0.46</v>
      </c>
      <c r="E331" s="15">
        <v>0.29849999999999999</v>
      </c>
      <c r="F331" s="15">
        <v>0</v>
      </c>
      <c r="G331" s="15">
        <v>40</v>
      </c>
      <c r="H331" s="16">
        <v>40</v>
      </c>
      <c r="I331" t="str">
        <f t="shared" si="20"/>
        <v>REC-298</v>
      </c>
      <c r="J331" t="str">
        <f t="shared" si="21"/>
        <v>REC</v>
      </c>
      <c r="K331" t="str">
        <f t="shared" si="22"/>
        <v>298</v>
      </c>
      <c r="L331">
        <f t="shared" si="23"/>
        <v>7</v>
      </c>
    </row>
    <row r="332" spans="1:12" x14ac:dyDescent="0.35">
      <c r="A332" s="14">
        <v>570</v>
      </c>
      <c r="B332" s="15">
        <v>571</v>
      </c>
      <c r="C332" s="15">
        <v>0.2273</v>
      </c>
      <c r="D332" s="15">
        <v>0.64</v>
      </c>
      <c r="E332" s="15">
        <v>0.16420000000000001</v>
      </c>
      <c r="F332" s="15">
        <v>3</v>
      </c>
      <c r="G332" s="15">
        <v>37</v>
      </c>
      <c r="H332" s="16">
        <v>40</v>
      </c>
      <c r="I332" t="str">
        <f t="shared" si="20"/>
        <v>REC-570</v>
      </c>
      <c r="J332" t="str">
        <f t="shared" si="21"/>
        <v>REC</v>
      </c>
      <c r="K332" t="str">
        <f t="shared" si="22"/>
        <v>570</v>
      </c>
      <c r="L332">
        <f t="shared" si="23"/>
        <v>7</v>
      </c>
    </row>
    <row r="333" spans="1:12" x14ac:dyDescent="0.35">
      <c r="A333" s="14">
        <v>487</v>
      </c>
      <c r="B333" s="15">
        <v>488</v>
      </c>
      <c r="C333" s="15">
        <v>3.0300000000000001E-2</v>
      </c>
      <c r="D333" s="15">
        <v>0.41</v>
      </c>
      <c r="E333" s="15">
        <v>0.25369999999999998</v>
      </c>
      <c r="F333" s="15">
        <v>3</v>
      </c>
      <c r="G333" s="15">
        <v>37</v>
      </c>
      <c r="H333" s="16">
        <v>40</v>
      </c>
      <c r="I333" t="str">
        <f t="shared" si="20"/>
        <v>REC-487</v>
      </c>
      <c r="J333" t="str">
        <f t="shared" si="21"/>
        <v>REC</v>
      </c>
      <c r="K333" t="str">
        <f t="shared" si="22"/>
        <v>487</v>
      </c>
      <c r="L333">
        <f t="shared" si="23"/>
        <v>7</v>
      </c>
    </row>
    <row r="334" spans="1:12" x14ac:dyDescent="0.35">
      <c r="A334" s="14">
        <v>534</v>
      </c>
      <c r="B334" s="15">
        <v>535</v>
      </c>
      <c r="C334" s="15">
        <v>0.13639999999999999</v>
      </c>
      <c r="D334" s="15">
        <v>0.42</v>
      </c>
      <c r="E334" s="15">
        <v>0</v>
      </c>
      <c r="F334" s="15">
        <v>6</v>
      </c>
      <c r="G334" s="15">
        <v>34</v>
      </c>
      <c r="H334" s="16">
        <v>40</v>
      </c>
      <c r="I334" t="str">
        <f t="shared" si="20"/>
        <v>REC-534</v>
      </c>
      <c r="J334" t="str">
        <f t="shared" si="21"/>
        <v>REC</v>
      </c>
      <c r="K334" t="str">
        <f t="shared" si="22"/>
        <v>534</v>
      </c>
      <c r="L334">
        <f t="shared" si="23"/>
        <v>7</v>
      </c>
    </row>
    <row r="335" spans="1:12" x14ac:dyDescent="0.35">
      <c r="A335" s="14">
        <v>1</v>
      </c>
      <c r="B335" s="15">
        <v>2</v>
      </c>
      <c r="C335" s="15">
        <v>0.2727</v>
      </c>
      <c r="D335" s="15">
        <v>0.8</v>
      </c>
      <c r="E335" s="15">
        <v>0</v>
      </c>
      <c r="F335" s="15">
        <v>8</v>
      </c>
      <c r="G335" s="15">
        <v>32</v>
      </c>
      <c r="H335" s="16">
        <v>40</v>
      </c>
      <c r="I335" t="str">
        <f t="shared" si="20"/>
        <v>REC-001</v>
      </c>
      <c r="J335" t="str">
        <f t="shared" si="21"/>
        <v>REC</v>
      </c>
      <c r="K335" t="str">
        <f t="shared" si="22"/>
        <v>001</v>
      </c>
      <c r="L335">
        <f t="shared" si="23"/>
        <v>7</v>
      </c>
    </row>
    <row r="336" spans="1:12" x14ac:dyDescent="0.35">
      <c r="A336" s="14">
        <v>499</v>
      </c>
      <c r="B336" s="15">
        <v>500</v>
      </c>
      <c r="C336" s="15">
        <v>0.1061</v>
      </c>
      <c r="D336" s="15">
        <v>0.41</v>
      </c>
      <c r="E336" s="15">
        <v>8.9599999999999999E-2</v>
      </c>
      <c r="F336" s="15">
        <v>0</v>
      </c>
      <c r="G336" s="15">
        <v>39</v>
      </c>
      <c r="H336" s="16">
        <v>39</v>
      </c>
      <c r="I336" t="str">
        <f t="shared" si="20"/>
        <v>REC-499</v>
      </c>
      <c r="J336" t="str">
        <f t="shared" si="21"/>
        <v>REC</v>
      </c>
      <c r="K336" t="str">
        <f t="shared" si="22"/>
        <v>499</v>
      </c>
      <c r="L336">
        <f t="shared" si="23"/>
        <v>7</v>
      </c>
    </row>
    <row r="337" spans="1:12" x14ac:dyDescent="0.35">
      <c r="A337" s="14">
        <v>263</v>
      </c>
      <c r="B337" s="15">
        <v>264</v>
      </c>
      <c r="C337" s="15">
        <v>0.18179999999999999</v>
      </c>
      <c r="D337" s="15">
        <v>0.55000000000000004</v>
      </c>
      <c r="E337" s="15">
        <v>0.22389999999999999</v>
      </c>
      <c r="F337" s="15">
        <v>0</v>
      </c>
      <c r="G337" s="15">
        <v>39</v>
      </c>
      <c r="H337" s="16">
        <v>39</v>
      </c>
      <c r="I337" t="str">
        <f t="shared" si="20"/>
        <v>REC-263</v>
      </c>
      <c r="J337" t="str">
        <f t="shared" si="21"/>
        <v>REC</v>
      </c>
      <c r="K337" t="str">
        <f t="shared" si="22"/>
        <v>263</v>
      </c>
      <c r="L337">
        <f t="shared" si="23"/>
        <v>7</v>
      </c>
    </row>
    <row r="338" spans="1:12" x14ac:dyDescent="0.35">
      <c r="A338" s="14">
        <v>158</v>
      </c>
      <c r="B338" s="15">
        <v>159</v>
      </c>
      <c r="C338" s="15">
        <v>0.19700000000000001</v>
      </c>
      <c r="D338" s="15">
        <v>0.47</v>
      </c>
      <c r="E338" s="15">
        <v>0.1343</v>
      </c>
      <c r="F338" s="15">
        <v>0</v>
      </c>
      <c r="G338" s="15">
        <v>39</v>
      </c>
      <c r="H338" s="16">
        <v>39</v>
      </c>
      <c r="I338" t="str">
        <f t="shared" si="20"/>
        <v>REC-158</v>
      </c>
      <c r="J338" t="str">
        <f t="shared" si="21"/>
        <v>REC</v>
      </c>
      <c r="K338" t="str">
        <f t="shared" si="22"/>
        <v>158</v>
      </c>
      <c r="L338">
        <f t="shared" si="23"/>
        <v>7</v>
      </c>
    </row>
    <row r="339" spans="1:12" x14ac:dyDescent="0.35">
      <c r="A339" s="14">
        <v>348</v>
      </c>
      <c r="B339" s="15">
        <v>349</v>
      </c>
      <c r="C339" s="15">
        <v>0.30299999999999999</v>
      </c>
      <c r="D339" s="15">
        <v>0.56000000000000005</v>
      </c>
      <c r="E339" s="15">
        <v>0</v>
      </c>
      <c r="F339" s="15">
        <v>6</v>
      </c>
      <c r="G339" s="15">
        <v>33</v>
      </c>
      <c r="H339" s="16">
        <v>39</v>
      </c>
      <c r="I339" t="str">
        <f t="shared" si="20"/>
        <v>REC-348</v>
      </c>
      <c r="J339" t="str">
        <f t="shared" si="21"/>
        <v>REC</v>
      </c>
      <c r="K339" t="str">
        <f t="shared" si="22"/>
        <v>348</v>
      </c>
      <c r="L339">
        <f t="shared" si="23"/>
        <v>7</v>
      </c>
    </row>
    <row r="340" spans="1:12" x14ac:dyDescent="0.35">
      <c r="A340" s="14">
        <v>23</v>
      </c>
      <c r="B340" s="15">
        <v>24</v>
      </c>
      <c r="C340" s="17"/>
      <c r="D340" s="15">
        <v>0.88</v>
      </c>
      <c r="E340" s="15">
        <v>0.29849999999999999</v>
      </c>
      <c r="F340" s="15">
        <v>15</v>
      </c>
      <c r="G340" s="15">
        <v>24</v>
      </c>
      <c r="H340" s="16">
        <v>39</v>
      </c>
      <c r="I340" t="str">
        <f t="shared" si="20"/>
        <v>REC-023</v>
      </c>
      <c r="J340" t="str">
        <f t="shared" si="21"/>
        <v>REC</v>
      </c>
      <c r="K340" t="str">
        <f t="shared" si="22"/>
        <v>023</v>
      </c>
      <c r="L340">
        <f t="shared" si="23"/>
        <v>7</v>
      </c>
    </row>
    <row r="341" spans="1:12" x14ac:dyDescent="0.35">
      <c r="A341" s="14">
        <v>205</v>
      </c>
      <c r="B341" s="15">
        <v>206</v>
      </c>
      <c r="C341" s="15">
        <v>0.1212</v>
      </c>
      <c r="D341" s="15">
        <v>0.46</v>
      </c>
      <c r="E341" s="15">
        <v>0.25369999999999998</v>
      </c>
      <c r="F341" s="15">
        <v>0</v>
      </c>
      <c r="G341" s="15">
        <v>38</v>
      </c>
      <c r="H341" s="16">
        <v>38</v>
      </c>
      <c r="I341" t="str">
        <f t="shared" si="20"/>
        <v>REC-205</v>
      </c>
      <c r="J341" t="str">
        <f t="shared" si="21"/>
        <v>REC</v>
      </c>
      <c r="K341" t="str">
        <f t="shared" si="22"/>
        <v>205</v>
      </c>
      <c r="L341">
        <f t="shared" si="23"/>
        <v>7</v>
      </c>
    </row>
    <row r="342" spans="1:12" x14ac:dyDescent="0.35">
      <c r="A342" s="14">
        <v>230</v>
      </c>
      <c r="B342" s="15">
        <v>231</v>
      </c>
      <c r="C342" s="15">
        <v>0.13639999999999999</v>
      </c>
      <c r="D342" s="15">
        <v>0.59</v>
      </c>
      <c r="E342" s="15">
        <v>0.19400000000000001</v>
      </c>
      <c r="F342" s="15">
        <v>1</v>
      </c>
      <c r="G342" s="15">
        <v>37</v>
      </c>
      <c r="H342" s="16">
        <v>38</v>
      </c>
      <c r="I342" t="str">
        <f t="shared" si="20"/>
        <v>REC-230</v>
      </c>
      <c r="J342" t="str">
        <f t="shared" si="21"/>
        <v>REC</v>
      </c>
      <c r="K342" t="str">
        <f t="shared" si="22"/>
        <v>230</v>
      </c>
      <c r="L342">
        <f t="shared" si="23"/>
        <v>7</v>
      </c>
    </row>
    <row r="343" spans="1:12" x14ac:dyDescent="0.35">
      <c r="A343" s="14">
        <v>608</v>
      </c>
      <c r="B343" s="15">
        <v>609</v>
      </c>
      <c r="C343" s="15">
        <v>0.2727</v>
      </c>
      <c r="D343" s="15">
        <v>0.8</v>
      </c>
      <c r="E343" s="15">
        <v>0</v>
      </c>
      <c r="F343" s="15">
        <v>2</v>
      </c>
      <c r="G343" s="15">
        <v>36</v>
      </c>
      <c r="H343" s="16">
        <v>38</v>
      </c>
      <c r="I343" t="str">
        <f t="shared" si="20"/>
        <v>REC-608</v>
      </c>
      <c r="J343" t="str">
        <f t="shared" si="21"/>
        <v>REC</v>
      </c>
      <c r="K343" t="str">
        <f t="shared" si="22"/>
        <v>608</v>
      </c>
      <c r="L343">
        <f t="shared" si="23"/>
        <v>7</v>
      </c>
    </row>
    <row r="344" spans="1:12" x14ac:dyDescent="0.35">
      <c r="A344" s="14">
        <v>592</v>
      </c>
      <c r="B344" s="15">
        <v>593</v>
      </c>
      <c r="C344" s="15">
        <v>0.21210000000000001</v>
      </c>
      <c r="D344" s="15">
        <v>0.74</v>
      </c>
      <c r="E344" s="15">
        <v>8.9599999999999999E-2</v>
      </c>
      <c r="F344" s="15">
        <v>2</v>
      </c>
      <c r="G344" s="15">
        <v>36</v>
      </c>
      <c r="H344" s="16">
        <v>38</v>
      </c>
      <c r="I344" t="str">
        <f t="shared" si="20"/>
        <v>REC-592</v>
      </c>
      <c r="J344" t="str">
        <f t="shared" si="21"/>
        <v>REC</v>
      </c>
      <c r="K344" t="str">
        <f t="shared" si="22"/>
        <v>592</v>
      </c>
      <c r="L344">
        <f t="shared" si="23"/>
        <v>7</v>
      </c>
    </row>
    <row r="345" spans="1:12" x14ac:dyDescent="0.35">
      <c r="A345" s="14">
        <v>287</v>
      </c>
      <c r="B345" s="15">
        <v>288</v>
      </c>
      <c r="C345" s="15">
        <v>0.13639999999999999</v>
      </c>
      <c r="D345" s="15">
        <v>0.5</v>
      </c>
      <c r="E345" s="15">
        <v>0.35820000000000002</v>
      </c>
      <c r="F345" s="15">
        <v>2</v>
      </c>
      <c r="G345" s="15">
        <v>36</v>
      </c>
      <c r="H345" s="16">
        <v>38</v>
      </c>
      <c r="I345" t="str">
        <f t="shared" si="20"/>
        <v>REC-287</v>
      </c>
      <c r="J345" t="str">
        <f t="shared" si="21"/>
        <v>REC</v>
      </c>
      <c r="K345" t="str">
        <f t="shared" si="22"/>
        <v>287</v>
      </c>
      <c r="L345">
        <f t="shared" si="23"/>
        <v>7</v>
      </c>
    </row>
    <row r="346" spans="1:12" x14ac:dyDescent="0.35">
      <c r="A346" s="14">
        <v>182</v>
      </c>
      <c r="B346" s="15">
        <v>183</v>
      </c>
      <c r="C346" s="15">
        <v>0.1061</v>
      </c>
      <c r="D346" s="15">
        <v>0.39</v>
      </c>
      <c r="E346" s="15">
        <v>0.35820000000000002</v>
      </c>
      <c r="F346" s="15">
        <v>2</v>
      </c>
      <c r="G346" s="15">
        <v>35</v>
      </c>
      <c r="H346" s="16">
        <v>37</v>
      </c>
      <c r="I346" t="str">
        <f t="shared" si="20"/>
        <v>REC-182</v>
      </c>
      <c r="J346" t="str">
        <f t="shared" si="21"/>
        <v>REC</v>
      </c>
      <c r="K346" t="str">
        <f t="shared" si="22"/>
        <v>182</v>
      </c>
      <c r="L346">
        <f t="shared" si="23"/>
        <v>7</v>
      </c>
    </row>
    <row r="347" spans="1:12" x14ac:dyDescent="0.35">
      <c r="A347" s="14">
        <v>288</v>
      </c>
      <c r="B347" s="15">
        <v>289</v>
      </c>
      <c r="C347" s="15">
        <v>0.16669999999999999</v>
      </c>
      <c r="D347" s="15">
        <v>0.44</v>
      </c>
      <c r="E347" s="15">
        <v>0.44779999999999998</v>
      </c>
      <c r="F347" s="15">
        <v>4</v>
      </c>
      <c r="G347" s="15">
        <v>33</v>
      </c>
      <c r="H347" s="16">
        <v>37</v>
      </c>
      <c r="I347" t="str">
        <f t="shared" si="20"/>
        <v>REC-288</v>
      </c>
      <c r="J347" t="str">
        <f t="shared" si="21"/>
        <v>REC</v>
      </c>
      <c r="K347" t="str">
        <f t="shared" si="22"/>
        <v>288</v>
      </c>
      <c r="L347">
        <f t="shared" si="23"/>
        <v>7</v>
      </c>
    </row>
    <row r="348" spans="1:12" x14ac:dyDescent="0.35">
      <c r="A348" s="14">
        <v>19</v>
      </c>
      <c r="B348" s="15">
        <v>20</v>
      </c>
      <c r="C348" s="15">
        <v>0.42420000000000002</v>
      </c>
      <c r="D348" s="15">
        <v>0.88</v>
      </c>
      <c r="E348" s="15">
        <v>0.25369999999999998</v>
      </c>
      <c r="F348" s="15">
        <v>6</v>
      </c>
      <c r="G348" s="15">
        <v>31</v>
      </c>
      <c r="H348" s="16">
        <v>37</v>
      </c>
      <c r="I348" t="str">
        <f t="shared" si="20"/>
        <v>REC-019</v>
      </c>
      <c r="J348" t="str">
        <f t="shared" si="21"/>
        <v>REC</v>
      </c>
      <c r="K348" t="str">
        <f t="shared" si="22"/>
        <v>019</v>
      </c>
      <c r="L348">
        <f t="shared" si="23"/>
        <v>7</v>
      </c>
    </row>
    <row r="349" spans="1:12" x14ac:dyDescent="0.35">
      <c r="A349" s="14">
        <v>583</v>
      </c>
      <c r="B349" s="15">
        <v>584</v>
      </c>
      <c r="C349" s="15">
        <v>0.19700000000000001</v>
      </c>
      <c r="D349" s="15">
        <v>0.93</v>
      </c>
      <c r="E349" s="15">
        <v>0.35820000000000002</v>
      </c>
      <c r="F349" s="15">
        <v>0</v>
      </c>
      <c r="G349" s="15">
        <v>36</v>
      </c>
      <c r="H349" s="16">
        <v>36</v>
      </c>
      <c r="I349" t="str">
        <f t="shared" si="20"/>
        <v>REC-583</v>
      </c>
      <c r="J349" t="str">
        <f t="shared" si="21"/>
        <v>REC</v>
      </c>
      <c r="K349" t="str">
        <f t="shared" si="22"/>
        <v>583</v>
      </c>
      <c r="L349">
        <f t="shared" si="23"/>
        <v>7</v>
      </c>
    </row>
    <row r="350" spans="1:12" x14ac:dyDescent="0.35">
      <c r="A350" s="14">
        <v>120</v>
      </c>
      <c r="B350" s="15">
        <v>121</v>
      </c>
      <c r="C350" s="15">
        <v>0.16669999999999999</v>
      </c>
      <c r="D350" s="15">
        <v>0.63</v>
      </c>
      <c r="E350" s="15">
        <v>0.1045</v>
      </c>
      <c r="F350" s="15">
        <v>0</v>
      </c>
      <c r="G350" s="15">
        <v>36</v>
      </c>
      <c r="H350" s="16">
        <v>36</v>
      </c>
      <c r="I350" t="str">
        <f t="shared" si="20"/>
        <v>REC-120</v>
      </c>
      <c r="J350" t="str">
        <f t="shared" si="21"/>
        <v>REC</v>
      </c>
      <c r="K350" t="str">
        <f t="shared" si="22"/>
        <v>120</v>
      </c>
      <c r="L350">
        <f t="shared" si="23"/>
        <v>7</v>
      </c>
    </row>
    <row r="351" spans="1:12" x14ac:dyDescent="0.35">
      <c r="A351" s="14">
        <v>74</v>
      </c>
      <c r="B351" s="15">
        <v>75</v>
      </c>
      <c r="C351" s="15">
        <v>0.1515</v>
      </c>
      <c r="D351" s="15">
        <v>0.74</v>
      </c>
      <c r="E351" s="15">
        <v>0.1045</v>
      </c>
      <c r="F351" s="15">
        <v>0</v>
      </c>
      <c r="G351" s="15">
        <v>36</v>
      </c>
      <c r="H351" s="16">
        <v>36</v>
      </c>
      <c r="I351" t="str">
        <f t="shared" si="20"/>
        <v>REC-074</v>
      </c>
      <c r="J351" t="str">
        <f t="shared" si="21"/>
        <v>REC</v>
      </c>
      <c r="K351" t="str">
        <f t="shared" si="22"/>
        <v>074</v>
      </c>
      <c r="L351">
        <f t="shared" si="23"/>
        <v>7</v>
      </c>
    </row>
    <row r="352" spans="1:12" x14ac:dyDescent="0.35">
      <c r="A352" s="14">
        <v>585</v>
      </c>
      <c r="B352" s="15">
        <v>586</v>
      </c>
      <c r="C352" s="15">
        <v>0.19700000000000001</v>
      </c>
      <c r="D352" s="15">
        <v>0.93</v>
      </c>
      <c r="E352" s="15">
        <v>0.32840000000000003</v>
      </c>
      <c r="F352" s="15">
        <v>1</v>
      </c>
      <c r="G352" s="15">
        <v>35</v>
      </c>
      <c r="H352" s="16">
        <v>36</v>
      </c>
      <c r="I352" t="str">
        <f t="shared" si="20"/>
        <v>REC-585</v>
      </c>
      <c r="J352" t="str">
        <f t="shared" si="21"/>
        <v>REC</v>
      </c>
      <c r="K352" t="str">
        <f t="shared" si="22"/>
        <v>585</v>
      </c>
      <c r="L352">
        <f t="shared" si="23"/>
        <v>7</v>
      </c>
    </row>
    <row r="353" spans="1:12" x14ac:dyDescent="0.35">
      <c r="A353" s="14">
        <v>553</v>
      </c>
      <c r="B353" s="15">
        <v>554</v>
      </c>
      <c r="C353" s="15">
        <v>0.18179999999999999</v>
      </c>
      <c r="D353" s="15">
        <v>0.74</v>
      </c>
      <c r="E353" s="15">
        <v>0.1045</v>
      </c>
      <c r="F353" s="15">
        <v>1</v>
      </c>
      <c r="G353" s="15">
        <v>35</v>
      </c>
      <c r="H353" s="16">
        <v>36</v>
      </c>
      <c r="I353" t="str">
        <f t="shared" si="20"/>
        <v>REC-553</v>
      </c>
      <c r="J353" t="str">
        <f t="shared" si="21"/>
        <v>REC</v>
      </c>
      <c r="K353" t="str">
        <f t="shared" si="22"/>
        <v>553</v>
      </c>
      <c r="L353">
        <f t="shared" si="23"/>
        <v>7</v>
      </c>
    </row>
    <row r="354" spans="1:12" x14ac:dyDescent="0.35">
      <c r="A354" s="14">
        <v>322</v>
      </c>
      <c r="B354" s="15">
        <v>323</v>
      </c>
      <c r="C354" s="15">
        <v>0.2273</v>
      </c>
      <c r="D354" s="15">
        <v>0.69</v>
      </c>
      <c r="E354" s="15">
        <v>0</v>
      </c>
      <c r="F354" s="15">
        <v>2</v>
      </c>
      <c r="G354" s="15">
        <v>34</v>
      </c>
      <c r="H354" s="16">
        <v>36</v>
      </c>
      <c r="I354" t="str">
        <f t="shared" si="20"/>
        <v>REC-322</v>
      </c>
      <c r="J354" t="str">
        <f t="shared" si="21"/>
        <v>REC</v>
      </c>
      <c r="K354" t="str">
        <f t="shared" si="22"/>
        <v>322</v>
      </c>
      <c r="L354">
        <f t="shared" si="23"/>
        <v>7</v>
      </c>
    </row>
    <row r="355" spans="1:12" x14ac:dyDescent="0.35">
      <c r="A355" s="14">
        <v>159</v>
      </c>
      <c r="B355" s="15">
        <v>160</v>
      </c>
      <c r="C355" s="15">
        <v>0.19700000000000001</v>
      </c>
      <c r="D355" s="15">
        <v>0.43</v>
      </c>
      <c r="E355" s="15">
        <v>0.16420000000000001</v>
      </c>
      <c r="F355" s="15">
        <v>2</v>
      </c>
      <c r="G355" s="15">
        <v>34</v>
      </c>
      <c r="H355" s="16">
        <v>36</v>
      </c>
      <c r="I355" t="str">
        <f t="shared" si="20"/>
        <v>REC-159</v>
      </c>
      <c r="J355" t="str">
        <f t="shared" si="21"/>
        <v>REC</v>
      </c>
      <c r="K355" t="str">
        <f t="shared" si="22"/>
        <v>159</v>
      </c>
      <c r="L355">
        <f t="shared" si="23"/>
        <v>7</v>
      </c>
    </row>
    <row r="356" spans="1:12" x14ac:dyDescent="0.35">
      <c r="A356" s="14">
        <v>20</v>
      </c>
      <c r="B356" s="15">
        <v>21</v>
      </c>
      <c r="C356" s="15">
        <v>0.40910000000000002</v>
      </c>
      <c r="D356" s="15">
        <v>0.87</v>
      </c>
      <c r="E356" s="15">
        <v>0.25369999999999998</v>
      </c>
      <c r="F356" s="15">
        <v>11</v>
      </c>
      <c r="G356" s="15">
        <v>25</v>
      </c>
      <c r="H356" s="16">
        <v>36</v>
      </c>
      <c r="I356" t="str">
        <f t="shared" si="20"/>
        <v>REC-020</v>
      </c>
      <c r="J356" t="str">
        <f t="shared" si="21"/>
        <v>REC</v>
      </c>
      <c r="K356" t="str">
        <f t="shared" si="22"/>
        <v>020</v>
      </c>
      <c r="L356">
        <f t="shared" si="23"/>
        <v>7</v>
      </c>
    </row>
    <row r="357" spans="1:12" x14ac:dyDescent="0.35">
      <c r="A357" s="14">
        <v>10</v>
      </c>
      <c r="B357" s="15">
        <v>11</v>
      </c>
      <c r="C357" s="15">
        <v>0.39389999999999997</v>
      </c>
      <c r="D357" s="15">
        <v>0.76</v>
      </c>
      <c r="E357" s="15">
        <v>0.25369999999999998</v>
      </c>
      <c r="F357" s="15">
        <v>12</v>
      </c>
      <c r="G357" s="15">
        <v>24</v>
      </c>
      <c r="H357" s="16">
        <v>36</v>
      </c>
      <c r="I357" t="str">
        <f t="shared" si="20"/>
        <v>REC-010</v>
      </c>
      <c r="J357" t="str">
        <f t="shared" si="21"/>
        <v>REC</v>
      </c>
      <c r="K357" t="str">
        <f t="shared" si="22"/>
        <v>010</v>
      </c>
      <c r="L357">
        <f t="shared" si="23"/>
        <v>7</v>
      </c>
    </row>
    <row r="358" spans="1:12" x14ac:dyDescent="0.35">
      <c r="A358" s="14">
        <v>437</v>
      </c>
      <c r="B358" s="15">
        <v>438</v>
      </c>
      <c r="C358" s="15">
        <v>0.21210000000000001</v>
      </c>
      <c r="D358" s="15">
        <v>0.6</v>
      </c>
      <c r="E358" s="15">
        <v>0.22389999999999999</v>
      </c>
      <c r="F358" s="15">
        <v>0</v>
      </c>
      <c r="G358" s="15">
        <v>35</v>
      </c>
      <c r="H358" s="16">
        <v>35</v>
      </c>
      <c r="I358" t="str">
        <f t="shared" si="20"/>
        <v>REC-437</v>
      </c>
      <c r="J358" t="str">
        <f t="shared" si="21"/>
        <v>REC</v>
      </c>
      <c r="K358" t="str">
        <f t="shared" si="22"/>
        <v>437</v>
      </c>
      <c r="L358">
        <f t="shared" si="23"/>
        <v>7</v>
      </c>
    </row>
    <row r="359" spans="1:12" x14ac:dyDescent="0.35">
      <c r="A359" s="14">
        <v>90</v>
      </c>
      <c r="B359" s="15">
        <v>91</v>
      </c>
      <c r="C359" s="15">
        <v>0.2576</v>
      </c>
      <c r="D359" s="15">
        <v>0.64</v>
      </c>
      <c r="E359" s="15">
        <v>8.9599999999999999E-2</v>
      </c>
      <c r="F359" s="15">
        <v>1</v>
      </c>
      <c r="G359" s="15">
        <v>34</v>
      </c>
      <c r="H359" s="16">
        <v>35</v>
      </c>
      <c r="I359" t="str">
        <f t="shared" si="20"/>
        <v>REC-090</v>
      </c>
      <c r="J359" t="str">
        <f t="shared" si="21"/>
        <v>REC</v>
      </c>
      <c r="K359" t="str">
        <f t="shared" si="22"/>
        <v>090</v>
      </c>
      <c r="L359">
        <f t="shared" si="23"/>
        <v>7</v>
      </c>
    </row>
    <row r="360" spans="1:12" x14ac:dyDescent="0.35">
      <c r="A360" s="14">
        <v>546</v>
      </c>
      <c r="B360" s="15">
        <v>547</v>
      </c>
      <c r="C360" s="15">
        <v>0.13639999999999999</v>
      </c>
      <c r="D360" s="15">
        <v>0.63</v>
      </c>
      <c r="E360" s="15">
        <v>0.22389999999999999</v>
      </c>
      <c r="F360" s="15">
        <v>3</v>
      </c>
      <c r="G360" s="15">
        <v>32</v>
      </c>
      <c r="H360" s="16">
        <v>35</v>
      </c>
      <c r="I360" t="str">
        <f t="shared" si="20"/>
        <v>REC-546</v>
      </c>
      <c r="J360" t="str">
        <f t="shared" si="21"/>
        <v>REC</v>
      </c>
      <c r="K360" t="str">
        <f t="shared" si="22"/>
        <v>546</v>
      </c>
      <c r="L360">
        <f t="shared" si="23"/>
        <v>7</v>
      </c>
    </row>
    <row r="361" spans="1:12" x14ac:dyDescent="0.35">
      <c r="A361" s="14">
        <v>399</v>
      </c>
      <c r="B361" s="15">
        <v>400</v>
      </c>
      <c r="C361" s="15">
        <v>0.2273</v>
      </c>
      <c r="D361" s="15">
        <v>0.87</v>
      </c>
      <c r="E361" s="15">
        <v>0.16420000000000001</v>
      </c>
      <c r="F361" s="15">
        <v>3</v>
      </c>
      <c r="G361" s="15">
        <v>32</v>
      </c>
      <c r="H361" s="16">
        <v>35</v>
      </c>
      <c r="I361" t="str">
        <f t="shared" si="20"/>
        <v>REC-399</v>
      </c>
      <c r="J361" t="str">
        <f t="shared" si="21"/>
        <v>REC</v>
      </c>
      <c r="K361" t="str">
        <f t="shared" si="22"/>
        <v>399</v>
      </c>
      <c r="L361">
        <f t="shared" si="23"/>
        <v>7</v>
      </c>
    </row>
    <row r="362" spans="1:12" x14ac:dyDescent="0.35">
      <c r="A362" s="14">
        <v>264</v>
      </c>
      <c r="B362" s="15">
        <v>265</v>
      </c>
      <c r="C362" s="15">
        <v>0.18179999999999999</v>
      </c>
      <c r="D362" s="15">
        <v>0.51</v>
      </c>
      <c r="E362" s="15">
        <v>0.3881</v>
      </c>
      <c r="F362" s="15">
        <v>3</v>
      </c>
      <c r="G362" s="15">
        <v>32</v>
      </c>
      <c r="H362" s="16">
        <v>35</v>
      </c>
      <c r="I362" t="str">
        <f t="shared" si="20"/>
        <v>REC-264</v>
      </c>
      <c r="J362" t="str">
        <f t="shared" si="21"/>
        <v>REC</v>
      </c>
      <c r="K362" t="str">
        <f t="shared" si="22"/>
        <v>264</v>
      </c>
      <c r="L362">
        <f t="shared" si="23"/>
        <v>7</v>
      </c>
    </row>
    <row r="363" spans="1:12" x14ac:dyDescent="0.35">
      <c r="A363" s="14">
        <v>521</v>
      </c>
      <c r="B363" s="15">
        <v>522</v>
      </c>
      <c r="C363" s="15">
        <v>0.1061</v>
      </c>
      <c r="D363" s="15">
        <v>0.36</v>
      </c>
      <c r="E363" s="15">
        <v>0.25369999999999998</v>
      </c>
      <c r="F363" s="15">
        <v>4</v>
      </c>
      <c r="G363" s="15">
        <v>31</v>
      </c>
      <c r="H363" s="16">
        <v>35</v>
      </c>
      <c r="I363" t="str">
        <f t="shared" si="20"/>
        <v>REC-521</v>
      </c>
      <c r="J363" t="str">
        <f t="shared" si="21"/>
        <v>REC</v>
      </c>
      <c r="K363" t="str">
        <f t="shared" si="22"/>
        <v>521</v>
      </c>
      <c r="L363">
        <f t="shared" si="23"/>
        <v>7</v>
      </c>
    </row>
    <row r="364" spans="1:12" x14ac:dyDescent="0.35">
      <c r="A364" s="14">
        <v>242</v>
      </c>
      <c r="B364" s="15">
        <v>243</v>
      </c>
      <c r="C364" s="15">
        <v>0.21210000000000001</v>
      </c>
      <c r="D364" s="15">
        <v>0.47</v>
      </c>
      <c r="E364" s="15">
        <v>0.1343</v>
      </c>
      <c r="F364" s="15">
        <v>4</v>
      </c>
      <c r="G364" s="15">
        <v>31</v>
      </c>
      <c r="H364" s="16">
        <v>35</v>
      </c>
      <c r="I364" t="str">
        <f t="shared" si="20"/>
        <v>REC-242</v>
      </c>
      <c r="J364" t="str">
        <f t="shared" si="21"/>
        <v>REC</v>
      </c>
      <c r="K364" t="str">
        <f t="shared" si="22"/>
        <v>242</v>
      </c>
      <c r="L364">
        <f t="shared" si="23"/>
        <v>7</v>
      </c>
    </row>
    <row r="365" spans="1:12" x14ac:dyDescent="0.35">
      <c r="A365" s="14">
        <v>18</v>
      </c>
      <c r="B365" s="15">
        <v>19</v>
      </c>
      <c r="C365" s="15">
        <v>0.42420000000000002</v>
      </c>
      <c r="D365" s="15">
        <v>0.88</v>
      </c>
      <c r="E365" s="15">
        <v>0.25369999999999998</v>
      </c>
      <c r="F365" s="15">
        <v>9</v>
      </c>
      <c r="G365" s="15">
        <v>26</v>
      </c>
      <c r="H365" s="16">
        <v>35</v>
      </c>
      <c r="I365" t="str">
        <f t="shared" si="20"/>
        <v>REC-018</v>
      </c>
      <c r="J365" t="str">
        <f t="shared" si="21"/>
        <v>REC</v>
      </c>
      <c r="K365" t="str">
        <f t="shared" si="22"/>
        <v>018</v>
      </c>
      <c r="L365">
        <f t="shared" si="23"/>
        <v>7</v>
      </c>
    </row>
    <row r="366" spans="1:12" x14ac:dyDescent="0.35">
      <c r="A366" s="14">
        <v>477</v>
      </c>
      <c r="B366" s="15">
        <v>478</v>
      </c>
      <c r="C366" s="15">
        <v>3.0300000000000001E-2</v>
      </c>
      <c r="D366" s="15">
        <v>0.41</v>
      </c>
      <c r="E366" s="15">
        <v>0.3881</v>
      </c>
      <c r="F366" s="15">
        <v>1</v>
      </c>
      <c r="G366" s="15">
        <v>33</v>
      </c>
      <c r="H366" s="16">
        <v>34</v>
      </c>
      <c r="I366" t="str">
        <f t="shared" si="20"/>
        <v>REC-477</v>
      </c>
      <c r="J366" t="str">
        <f t="shared" si="21"/>
        <v>REC</v>
      </c>
      <c r="K366" t="str">
        <f t="shared" si="22"/>
        <v>477</v>
      </c>
      <c r="L366">
        <f t="shared" si="23"/>
        <v>7</v>
      </c>
    </row>
    <row r="367" spans="1:12" x14ac:dyDescent="0.35">
      <c r="A367" s="14">
        <v>183</v>
      </c>
      <c r="B367" s="15">
        <v>184</v>
      </c>
      <c r="C367" s="15">
        <v>0.1061</v>
      </c>
      <c r="D367" s="15">
        <v>0.36</v>
      </c>
      <c r="E367" s="15">
        <v>0.3881</v>
      </c>
      <c r="F367" s="15">
        <v>1</v>
      </c>
      <c r="G367" s="15">
        <v>33</v>
      </c>
      <c r="H367" s="16">
        <v>34</v>
      </c>
      <c r="I367" t="str">
        <f t="shared" si="20"/>
        <v>REC-183</v>
      </c>
      <c r="J367" t="str">
        <f t="shared" si="21"/>
        <v>REC</v>
      </c>
      <c r="K367" t="str">
        <f t="shared" si="22"/>
        <v>183</v>
      </c>
      <c r="L367">
        <f t="shared" si="23"/>
        <v>7</v>
      </c>
    </row>
    <row r="368" spans="1:12" x14ac:dyDescent="0.35">
      <c r="A368" s="14">
        <v>21</v>
      </c>
      <c r="B368" s="15">
        <v>22</v>
      </c>
      <c r="C368" s="15">
        <v>0.40910000000000002</v>
      </c>
      <c r="D368" s="15">
        <v>0.87</v>
      </c>
      <c r="E368" s="15">
        <v>0.19400000000000001</v>
      </c>
      <c r="F368" s="15">
        <v>3</v>
      </c>
      <c r="G368" s="15">
        <v>31</v>
      </c>
      <c r="H368" s="16">
        <v>34</v>
      </c>
      <c r="I368" t="str">
        <f t="shared" si="20"/>
        <v>REC-021</v>
      </c>
      <c r="J368" t="str">
        <f t="shared" si="21"/>
        <v>REC</v>
      </c>
      <c r="K368" t="str">
        <f t="shared" si="22"/>
        <v>021</v>
      </c>
      <c r="L368">
        <f t="shared" si="23"/>
        <v>7</v>
      </c>
    </row>
    <row r="369" spans="1:12" x14ac:dyDescent="0.35">
      <c r="A369" s="14">
        <v>143</v>
      </c>
      <c r="B369" s="15">
        <v>144</v>
      </c>
      <c r="C369" s="15">
        <v>0.2576</v>
      </c>
      <c r="D369" s="15">
        <v>0.69</v>
      </c>
      <c r="E369" s="15">
        <v>0</v>
      </c>
      <c r="F369" s="15">
        <v>8</v>
      </c>
      <c r="G369" s="15">
        <v>26</v>
      </c>
      <c r="H369" s="16">
        <v>34</v>
      </c>
      <c r="I369" t="str">
        <f t="shared" si="20"/>
        <v>REC-143</v>
      </c>
      <c r="J369" t="str">
        <f t="shared" si="21"/>
        <v>REC</v>
      </c>
      <c r="K369" t="str">
        <f t="shared" si="22"/>
        <v>143</v>
      </c>
      <c r="L369">
        <f t="shared" si="23"/>
        <v>7</v>
      </c>
    </row>
    <row r="370" spans="1:12" x14ac:dyDescent="0.35">
      <c r="A370" s="14">
        <v>406</v>
      </c>
      <c r="B370" s="15">
        <v>407</v>
      </c>
      <c r="C370" s="15">
        <v>0.2576</v>
      </c>
      <c r="D370" s="15">
        <v>0.93</v>
      </c>
      <c r="E370" s="15">
        <v>8.9599999999999999E-2</v>
      </c>
      <c r="F370" s="15">
        <v>0</v>
      </c>
      <c r="G370" s="15">
        <v>33</v>
      </c>
      <c r="H370" s="16">
        <v>33</v>
      </c>
      <c r="I370" t="str">
        <f t="shared" si="20"/>
        <v>REC-406</v>
      </c>
      <c r="J370" t="str">
        <f t="shared" si="21"/>
        <v>REC</v>
      </c>
      <c r="K370" t="str">
        <f t="shared" si="22"/>
        <v>406</v>
      </c>
      <c r="L370">
        <f t="shared" si="23"/>
        <v>7</v>
      </c>
    </row>
    <row r="371" spans="1:12" x14ac:dyDescent="0.35">
      <c r="A371" s="14">
        <v>97</v>
      </c>
      <c r="B371" s="15">
        <v>98</v>
      </c>
      <c r="C371" s="15">
        <v>0.19700000000000001</v>
      </c>
      <c r="D371" s="15">
        <v>0.47</v>
      </c>
      <c r="E371" s="15">
        <v>0.22389999999999999</v>
      </c>
      <c r="F371" s="15">
        <v>0</v>
      </c>
      <c r="G371" s="15">
        <v>33</v>
      </c>
      <c r="H371" s="16">
        <v>33</v>
      </c>
      <c r="I371" t="str">
        <f t="shared" si="20"/>
        <v>REC-097</v>
      </c>
      <c r="J371" t="str">
        <f t="shared" si="21"/>
        <v>REC</v>
      </c>
      <c r="K371" t="str">
        <f t="shared" si="22"/>
        <v>097</v>
      </c>
      <c r="L371">
        <f t="shared" si="23"/>
        <v>7</v>
      </c>
    </row>
    <row r="372" spans="1:12" x14ac:dyDescent="0.35">
      <c r="A372" s="14">
        <v>275</v>
      </c>
      <c r="B372" s="15">
        <v>276</v>
      </c>
      <c r="C372" s="15">
        <v>0.1212</v>
      </c>
      <c r="D372" s="15">
        <v>0.55000000000000004</v>
      </c>
      <c r="E372" s="15">
        <v>0.44779999999999998</v>
      </c>
      <c r="F372" s="15">
        <v>1</v>
      </c>
      <c r="G372" s="15">
        <v>32</v>
      </c>
      <c r="H372" s="16">
        <v>33</v>
      </c>
      <c r="I372" t="str">
        <f t="shared" si="20"/>
        <v>REC-275</v>
      </c>
      <c r="J372" t="str">
        <f t="shared" si="21"/>
        <v>REC</v>
      </c>
      <c r="K372" t="str">
        <f t="shared" si="22"/>
        <v>275</v>
      </c>
      <c r="L372">
        <f t="shared" si="23"/>
        <v>7</v>
      </c>
    </row>
    <row r="373" spans="1:12" x14ac:dyDescent="0.35">
      <c r="A373" s="14">
        <v>501</v>
      </c>
      <c r="B373" s="15">
        <v>502</v>
      </c>
      <c r="C373" s="15">
        <v>7.5800000000000006E-2</v>
      </c>
      <c r="D373" s="15">
        <v>0.56999999999999995</v>
      </c>
      <c r="E373" s="15">
        <v>0.1045</v>
      </c>
      <c r="F373" s="15">
        <v>2</v>
      </c>
      <c r="G373" s="15">
        <v>31</v>
      </c>
      <c r="H373" s="16">
        <v>33</v>
      </c>
      <c r="I373" t="str">
        <f t="shared" si="20"/>
        <v>REC-501</v>
      </c>
      <c r="J373" t="str">
        <f t="shared" si="21"/>
        <v>REC</v>
      </c>
      <c r="K373" t="str">
        <f t="shared" si="22"/>
        <v>501</v>
      </c>
      <c r="L373">
        <f t="shared" si="23"/>
        <v>7</v>
      </c>
    </row>
    <row r="374" spans="1:12" x14ac:dyDescent="0.35">
      <c r="A374" s="14">
        <v>333</v>
      </c>
      <c r="B374" s="15">
        <v>334</v>
      </c>
      <c r="C374" s="15">
        <v>0.18179999999999999</v>
      </c>
      <c r="D374" s="15">
        <v>0.64</v>
      </c>
      <c r="E374" s="15">
        <v>0.1343</v>
      </c>
      <c r="F374" s="15">
        <v>2</v>
      </c>
      <c r="G374" s="15">
        <v>31</v>
      </c>
      <c r="H374" s="16">
        <v>33</v>
      </c>
      <c r="I374" t="str">
        <f t="shared" si="20"/>
        <v>REC-333</v>
      </c>
      <c r="J374" t="str">
        <f t="shared" si="21"/>
        <v>REC</v>
      </c>
      <c r="K374" t="str">
        <f t="shared" si="22"/>
        <v>333</v>
      </c>
      <c r="L374">
        <f t="shared" si="23"/>
        <v>7</v>
      </c>
    </row>
    <row r="375" spans="1:12" x14ac:dyDescent="0.35">
      <c r="A375" s="14">
        <v>380</v>
      </c>
      <c r="B375" s="15">
        <v>381</v>
      </c>
      <c r="C375" s="15">
        <v>0.1515</v>
      </c>
      <c r="D375" s="15">
        <v>0.47</v>
      </c>
      <c r="E375" s="15">
        <v>0.22389999999999999</v>
      </c>
      <c r="F375" s="15">
        <v>3</v>
      </c>
      <c r="G375" s="15">
        <v>30</v>
      </c>
      <c r="H375" s="16">
        <v>33</v>
      </c>
      <c r="I375" t="str">
        <f t="shared" si="20"/>
        <v>REC-380</v>
      </c>
      <c r="J375" t="str">
        <f t="shared" si="21"/>
        <v>REC</v>
      </c>
      <c r="K375" t="str">
        <f t="shared" si="22"/>
        <v>380</v>
      </c>
      <c r="L375">
        <f t="shared" si="23"/>
        <v>7</v>
      </c>
    </row>
    <row r="376" spans="1:12" x14ac:dyDescent="0.35">
      <c r="A376" s="14">
        <v>392</v>
      </c>
      <c r="B376" s="15">
        <v>393</v>
      </c>
      <c r="C376" s="15">
        <v>0.1515</v>
      </c>
      <c r="D376" s="15">
        <v>0.8</v>
      </c>
      <c r="E376" s="15">
        <v>0.19400000000000001</v>
      </c>
      <c r="F376" s="15">
        <v>4</v>
      </c>
      <c r="G376" s="15">
        <v>29</v>
      </c>
      <c r="H376" s="16">
        <v>33</v>
      </c>
      <c r="I376" t="str">
        <f t="shared" si="20"/>
        <v>REC-392</v>
      </c>
      <c r="J376" t="str">
        <f t="shared" si="21"/>
        <v>REC</v>
      </c>
      <c r="K376" t="str">
        <f t="shared" si="22"/>
        <v>392</v>
      </c>
      <c r="L376">
        <f t="shared" si="23"/>
        <v>7</v>
      </c>
    </row>
    <row r="377" spans="1:12" x14ac:dyDescent="0.35">
      <c r="A377" s="14">
        <v>413</v>
      </c>
      <c r="B377" s="15">
        <v>414</v>
      </c>
      <c r="C377" s="15">
        <v>0.2576</v>
      </c>
      <c r="D377" s="15">
        <v>0.93</v>
      </c>
      <c r="E377" s="15">
        <v>8.9599999999999999E-2</v>
      </c>
      <c r="F377" s="15">
        <v>0</v>
      </c>
      <c r="G377" s="15">
        <v>32</v>
      </c>
      <c r="H377" s="16">
        <v>32</v>
      </c>
      <c r="I377" t="str">
        <f t="shared" si="20"/>
        <v>REC-413</v>
      </c>
      <c r="J377" t="str">
        <f t="shared" si="21"/>
        <v>REC</v>
      </c>
      <c r="K377" t="str">
        <f t="shared" si="22"/>
        <v>413</v>
      </c>
      <c r="L377">
        <f t="shared" si="23"/>
        <v>7</v>
      </c>
    </row>
    <row r="378" spans="1:12" x14ac:dyDescent="0.35">
      <c r="A378" s="14">
        <v>251</v>
      </c>
      <c r="B378" s="15">
        <v>252</v>
      </c>
      <c r="C378" s="15">
        <v>0.1515</v>
      </c>
      <c r="D378" s="15">
        <v>0.93</v>
      </c>
      <c r="E378" s="15">
        <v>0.19400000000000001</v>
      </c>
      <c r="F378" s="15">
        <v>0</v>
      </c>
      <c r="G378" s="15">
        <v>32</v>
      </c>
      <c r="H378" s="16">
        <v>32</v>
      </c>
      <c r="I378" t="str">
        <f t="shared" si="20"/>
        <v>REC-251</v>
      </c>
      <c r="J378" t="str">
        <f t="shared" si="21"/>
        <v>REC</v>
      </c>
      <c r="K378" t="str">
        <f t="shared" si="22"/>
        <v>251</v>
      </c>
      <c r="L378">
        <f t="shared" si="23"/>
        <v>7</v>
      </c>
    </row>
    <row r="379" spans="1:12" x14ac:dyDescent="0.35">
      <c r="A379" s="14">
        <v>357</v>
      </c>
      <c r="B379" s="15">
        <v>358</v>
      </c>
      <c r="C379" s="15">
        <v>0.21210000000000001</v>
      </c>
      <c r="D379" s="15">
        <v>0.51</v>
      </c>
      <c r="E379" s="15">
        <v>0.25369999999999998</v>
      </c>
      <c r="F379" s="15">
        <v>3</v>
      </c>
      <c r="G379" s="15">
        <v>29</v>
      </c>
      <c r="H379" s="16">
        <v>32</v>
      </c>
      <c r="I379" t="str">
        <f t="shared" si="20"/>
        <v>REC-357</v>
      </c>
      <c r="J379" t="str">
        <f t="shared" si="21"/>
        <v>REC</v>
      </c>
      <c r="K379" t="str">
        <f t="shared" si="22"/>
        <v>357</v>
      </c>
      <c r="L379">
        <f t="shared" si="23"/>
        <v>7</v>
      </c>
    </row>
    <row r="380" spans="1:12" x14ac:dyDescent="0.35">
      <c r="A380" s="14">
        <v>2</v>
      </c>
      <c r="B380" s="15">
        <v>3</v>
      </c>
      <c r="C380" s="15">
        <v>0.2727</v>
      </c>
      <c r="D380" s="15">
        <v>0.8</v>
      </c>
      <c r="E380" s="15">
        <v>0</v>
      </c>
      <c r="F380" s="15">
        <v>5</v>
      </c>
      <c r="G380" s="15">
        <v>27</v>
      </c>
      <c r="H380" s="16">
        <v>32</v>
      </c>
      <c r="I380" t="str">
        <f t="shared" si="20"/>
        <v>REC-002</v>
      </c>
      <c r="J380" t="str">
        <f t="shared" si="21"/>
        <v>REC</v>
      </c>
      <c r="K380" t="str">
        <f t="shared" si="22"/>
        <v>002</v>
      </c>
      <c r="L380">
        <f t="shared" si="23"/>
        <v>7</v>
      </c>
    </row>
    <row r="381" spans="1:12" x14ac:dyDescent="0.35">
      <c r="A381" s="14">
        <v>607</v>
      </c>
      <c r="B381" s="15">
        <v>608</v>
      </c>
      <c r="C381" s="15">
        <v>0.21210000000000001</v>
      </c>
      <c r="D381" s="15">
        <v>0.93</v>
      </c>
      <c r="E381" s="15">
        <v>0.1045</v>
      </c>
      <c r="F381" s="15">
        <v>0</v>
      </c>
      <c r="G381" s="15">
        <v>31</v>
      </c>
      <c r="H381" s="16">
        <v>31</v>
      </c>
      <c r="I381" t="str">
        <f t="shared" si="20"/>
        <v>REC-607</v>
      </c>
      <c r="J381" t="str">
        <f t="shared" si="21"/>
        <v>REC</v>
      </c>
      <c r="K381" t="str">
        <f t="shared" si="22"/>
        <v>607</v>
      </c>
      <c r="L381">
        <f t="shared" si="23"/>
        <v>7</v>
      </c>
    </row>
    <row r="382" spans="1:12" x14ac:dyDescent="0.35">
      <c r="A382" s="14">
        <v>219</v>
      </c>
      <c r="B382" s="15">
        <v>220</v>
      </c>
      <c r="C382" s="15">
        <v>0.1212</v>
      </c>
      <c r="D382" s="15">
        <v>0.5</v>
      </c>
      <c r="E382" s="15">
        <v>0.29849999999999999</v>
      </c>
      <c r="F382" s="15">
        <v>0</v>
      </c>
      <c r="G382" s="15">
        <v>31</v>
      </c>
      <c r="H382" s="16">
        <v>31</v>
      </c>
      <c r="I382" t="str">
        <f t="shared" si="20"/>
        <v>REC-219</v>
      </c>
      <c r="J382" t="str">
        <f t="shared" si="21"/>
        <v>REC</v>
      </c>
      <c r="K382" t="str">
        <f t="shared" si="22"/>
        <v>219</v>
      </c>
      <c r="L382">
        <f t="shared" si="23"/>
        <v>7</v>
      </c>
    </row>
    <row r="383" spans="1:12" x14ac:dyDescent="0.35">
      <c r="A383" s="14">
        <v>215</v>
      </c>
      <c r="B383" s="15">
        <v>216</v>
      </c>
      <c r="C383" s="15">
        <v>0.1212</v>
      </c>
      <c r="D383" s="15">
        <v>0.5</v>
      </c>
      <c r="E383" s="15">
        <v>0.28360000000000002</v>
      </c>
      <c r="F383" s="15">
        <v>0</v>
      </c>
      <c r="G383" s="15">
        <v>31</v>
      </c>
      <c r="H383" s="16">
        <v>31</v>
      </c>
      <c r="I383" t="str">
        <f t="shared" si="20"/>
        <v>REC-215</v>
      </c>
      <c r="J383" t="str">
        <f t="shared" si="21"/>
        <v>REC</v>
      </c>
      <c r="K383" t="str">
        <f t="shared" si="22"/>
        <v>215</v>
      </c>
      <c r="L383">
        <f t="shared" si="23"/>
        <v>7</v>
      </c>
    </row>
    <row r="384" spans="1:12" x14ac:dyDescent="0.35">
      <c r="A384" s="14">
        <v>454</v>
      </c>
      <c r="B384" s="15">
        <v>455</v>
      </c>
      <c r="C384" s="15">
        <v>0.21210000000000001</v>
      </c>
      <c r="D384" s="15">
        <v>0.65</v>
      </c>
      <c r="E384" s="15">
        <v>0.32840000000000003</v>
      </c>
      <c r="F384" s="15">
        <v>3</v>
      </c>
      <c r="G384" s="15">
        <v>28</v>
      </c>
      <c r="H384" s="16">
        <v>31</v>
      </c>
      <c r="I384" t="str">
        <f t="shared" si="20"/>
        <v>REC-454</v>
      </c>
      <c r="J384" t="str">
        <f t="shared" si="21"/>
        <v>REC</v>
      </c>
      <c r="K384" t="str">
        <f t="shared" si="22"/>
        <v>454</v>
      </c>
      <c r="L384">
        <f t="shared" si="23"/>
        <v>7</v>
      </c>
    </row>
    <row r="385" spans="1:12" x14ac:dyDescent="0.35">
      <c r="A385" s="14">
        <v>44</v>
      </c>
      <c r="B385" s="15">
        <v>45</v>
      </c>
      <c r="C385" s="15">
        <v>0.2273</v>
      </c>
      <c r="D385" s="15">
        <v>0.44</v>
      </c>
      <c r="E385" s="15">
        <v>0.32840000000000003</v>
      </c>
      <c r="F385" s="15">
        <v>11</v>
      </c>
      <c r="G385" s="15">
        <v>20</v>
      </c>
      <c r="H385" s="16">
        <v>31</v>
      </c>
      <c r="I385" t="str">
        <f t="shared" si="20"/>
        <v>REC-044</v>
      </c>
      <c r="J385" t="str">
        <f t="shared" si="21"/>
        <v>REC</v>
      </c>
      <c r="K385" t="str">
        <f t="shared" si="22"/>
        <v>044</v>
      </c>
      <c r="L385">
        <f t="shared" si="23"/>
        <v>7</v>
      </c>
    </row>
    <row r="386" spans="1:12" x14ac:dyDescent="0.35">
      <c r="A386" s="14">
        <v>605</v>
      </c>
      <c r="B386" s="15">
        <v>606</v>
      </c>
      <c r="C386" s="15">
        <v>0.21210000000000001</v>
      </c>
      <c r="D386" s="15">
        <v>0.93</v>
      </c>
      <c r="E386" s="15">
        <v>0.1045</v>
      </c>
      <c r="F386" s="15">
        <v>0</v>
      </c>
      <c r="G386" s="15">
        <v>30</v>
      </c>
      <c r="H386" s="16">
        <v>30</v>
      </c>
      <c r="I386" t="str">
        <f t="shared" si="20"/>
        <v>REC-605</v>
      </c>
      <c r="J386" t="str">
        <f t="shared" si="21"/>
        <v>REC</v>
      </c>
      <c r="K386" t="str">
        <f t="shared" si="22"/>
        <v>605</v>
      </c>
      <c r="L386">
        <f t="shared" si="23"/>
        <v>7</v>
      </c>
    </row>
    <row r="387" spans="1:12" x14ac:dyDescent="0.35">
      <c r="A387" s="14">
        <v>299</v>
      </c>
      <c r="B387" s="15">
        <v>300</v>
      </c>
      <c r="C387" s="15">
        <v>0.1212</v>
      </c>
      <c r="D387" s="15">
        <v>0.46</v>
      </c>
      <c r="E387" s="15">
        <v>0.32840000000000003</v>
      </c>
      <c r="F387" s="15">
        <v>0</v>
      </c>
      <c r="G387" s="15">
        <v>30</v>
      </c>
      <c r="H387" s="16">
        <v>30</v>
      </c>
      <c r="I387" t="str">
        <f t="shared" ref="I387:I450" si="24">"REC-"&amp;TEXT(A387,"000")</f>
        <v>REC-299</v>
      </c>
      <c r="J387" t="str">
        <f t="shared" ref="J387:J450" si="25">LEFT(I387,3)</f>
        <v>REC</v>
      </c>
      <c r="K387" t="str">
        <f t="shared" ref="K387:K450" si="26">RIGHT(I387,3)</f>
        <v>299</v>
      </c>
      <c r="L387">
        <f t="shared" ref="L387:L450" si="27">LEN(I387)</f>
        <v>7</v>
      </c>
    </row>
    <row r="388" spans="1:12" x14ac:dyDescent="0.35">
      <c r="A388" s="14">
        <v>51</v>
      </c>
      <c r="B388" s="15">
        <v>52</v>
      </c>
      <c r="C388" s="15">
        <v>0.1061</v>
      </c>
      <c r="D388" s="15">
        <v>0.5</v>
      </c>
      <c r="E388" s="15">
        <v>0.3881</v>
      </c>
      <c r="F388" s="15">
        <v>0</v>
      </c>
      <c r="G388" s="15">
        <v>30</v>
      </c>
      <c r="H388" s="16">
        <v>30</v>
      </c>
      <c r="I388" t="str">
        <f t="shared" si="24"/>
        <v>REC-051</v>
      </c>
      <c r="J388" t="str">
        <f t="shared" si="25"/>
        <v>REC</v>
      </c>
      <c r="K388" t="str">
        <f t="shared" si="26"/>
        <v>051</v>
      </c>
      <c r="L388">
        <f t="shared" si="27"/>
        <v>7</v>
      </c>
    </row>
    <row r="389" spans="1:12" x14ac:dyDescent="0.35">
      <c r="A389" s="14">
        <v>576</v>
      </c>
      <c r="B389" s="15">
        <v>577</v>
      </c>
      <c r="C389" s="15">
        <v>0.21210000000000001</v>
      </c>
      <c r="D389" s="15">
        <v>0.87</v>
      </c>
      <c r="E389" s="15">
        <v>0.29849999999999999</v>
      </c>
      <c r="F389" s="15">
        <v>1</v>
      </c>
      <c r="G389" s="15">
        <v>29</v>
      </c>
      <c r="H389" s="16">
        <v>30</v>
      </c>
      <c r="I389" t="str">
        <f t="shared" si="24"/>
        <v>REC-576</v>
      </c>
      <c r="J389" t="str">
        <f t="shared" si="25"/>
        <v>REC</v>
      </c>
      <c r="K389" t="str">
        <f t="shared" si="26"/>
        <v>576</v>
      </c>
      <c r="L389">
        <f t="shared" si="27"/>
        <v>7</v>
      </c>
    </row>
    <row r="390" spans="1:12" x14ac:dyDescent="0.35">
      <c r="A390" s="14">
        <v>42</v>
      </c>
      <c r="B390" s="15">
        <v>43</v>
      </c>
      <c r="C390" s="15">
        <v>0.28789999999999999</v>
      </c>
      <c r="D390" s="15">
        <v>0.42</v>
      </c>
      <c r="E390" s="15">
        <v>0.44779999999999998</v>
      </c>
      <c r="F390" s="15">
        <v>1</v>
      </c>
      <c r="G390" s="15">
        <v>29</v>
      </c>
      <c r="H390" s="16">
        <v>30</v>
      </c>
      <c r="I390" t="str">
        <f t="shared" si="24"/>
        <v>REC-042</v>
      </c>
      <c r="J390" t="str">
        <f t="shared" si="25"/>
        <v>REC</v>
      </c>
      <c r="K390" t="str">
        <f t="shared" si="26"/>
        <v>042</v>
      </c>
      <c r="L390">
        <f t="shared" si="27"/>
        <v>7</v>
      </c>
    </row>
    <row r="391" spans="1:12" x14ac:dyDescent="0.35">
      <c r="A391" s="14">
        <v>220</v>
      </c>
      <c r="B391" s="15">
        <v>221</v>
      </c>
      <c r="C391" s="15">
        <v>0.13639999999999999</v>
      </c>
      <c r="D391" s="15">
        <v>0.47</v>
      </c>
      <c r="E391" s="15">
        <v>0.28360000000000002</v>
      </c>
      <c r="F391" s="15">
        <v>2</v>
      </c>
      <c r="G391" s="15">
        <v>28</v>
      </c>
      <c r="H391" s="16">
        <v>30</v>
      </c>
      <c r="I391" t="str">
        <f t="shared" si="24"/>
        <v>REC-220</v>
      </c>
      <c r="J391" t="str">
        <f t="shared" si="25"/>
        <v>REC</v>
      </c>
      <c r="K391" t="str">
        <f t="shared" si="26"/>
        <v>220</v>
      </c>
      <c r="L391">
        <f t="shared" si="27"/>
        <v>7</v>
      </c>
    </row>
    <row r="392" spans="1:12" x14ac:dyDescent="0.35">
      <c r="A392" s="14">
        <v>180</v>
      </c>
      <c r="B392" s="15">
        <v>181</v>
      </c>
      <c r="C392" s="15">
        <v>0.1212</v>
      </c>
      <c r="D392" s="15">
        <v>0.36</v>
      </c>
      <c r="E392" s="15">
        <v>0.25369999999999998</v>
      </c>
      <c r="F392" s="15">
        <v>4</v>
      </c>
      <c r="G392" s="15">
        <v>26</v>
      </c>
      <c r="H392" s="16">
        <v>30</v>
      </c>
      <c r="I392" t="str">
        <f t="shared" si="24"/>
        <v>REC-180</v>
      </c>
      <c r="J392" t="str">
        <f t="shared" si="25"/>
        <v>REC</v>
      </c>
      <c r="K392" t="str">
        <f t="shared" si="26"/>
        <v>180</v>
      </c>
      <c r="L392">
        <f t="shared" si="27"/>
        <v>7</v>
      </c>
    </row>
    <row r="393" spans="1:12" x14ac:dyDescent="0.35">
      <c r="A393" s="14">
        <v>500</v>
      </c>
      <c r="B393" s="15">
        <v>501</v>
      </c>
      <c r="C393" s="15">
        <v>0.1515</v>
      </c>
      <c r="D393" s="15">
        <v>0.49</v>
      </c>
      <c r="E393" s="15">
        <v>0</v>
      </c>
      <c r="F393" s="15">
        <v>7</v>
      </c>
      <c r="G393" s="15">
        <v>23</v>
      </c>
      <c r="H393" s="16">
        <v>30</v>
      </c>
      <c r="I393" t="str">
        <f t="shared" si="24"/>
        <v>REC-500</v>
      </c>
      <c r="J393" t="str">
        <f t="shared" si="25"/>
        <v>REC</v>
      </c>
      <c r="K393" t="str">
        <f t="shared" si="26"/>
        <v>500</v>
      </c>
      <c r="L393">
        <f t="shared" si="27"/>
        <v>7</v>
      </c>
    </row>
    <row r="394" spans="1:12" x14ac:dyDescent="0.35">
      <c r="A394" s="14">
        <v>606</v>
      </c>
      <c r="B394" s="15">
        <v>607</v>
      </c>
      <c r="C394" s="15">
        <v>0.21210000000000001</v>
      </c>
      <c r="D394" s="15">
        <v>0.93</v>
      </c>
      <c r="E394" s="15">
        <v>0.1045</v>
      </c>
      <c r="F394" s="15">
        <v>1</v>
      </c>
      <c r="G394" s="15">
        <v>28</v>
      </c>
      <c r="H394" s="16">
        <v>29</v>
      </c>
      <c r="I394" t="str">
        <f t="shared" si="24"/>
        <v>REC-606</v>
      </c>
      <c r="J394" t="str">
        <f t="shared" si="25"/>
        <v>REC</v>
      </c>
      <c r="K394" t="str">
        <f t="shared" si="26"/>
        <v>606</v>
      </c>
      <c r="L394">
        <f t="shared" si="27"/>
        <v>7</v>
      </c>
    </row>
    <row r="395" spans="1:12" x14ac:dyDescent="0.35">
      <c r="A395" s="14">
        <v>253</v>
      </c>
      <c r="B395" s="15">
        <v>254</v>
      </c>
      <c r="C395" s="15">
        <v>0.18179999999999999</v>
      </c>
      <c r="D395" s="15">
        <v>0.93</v>
      </c>
      <c r="E395" s="15">
        <v>0.1045</v>
      </c>
      <c r="F395" s="15">
        <v>1</v>
      </c>
      <c r="G395" s="15">
        <v>28</v>
      </c>
      <c r="H395" s="16">
        <v>29</v>
      </c>
      <c r="I395" t="str">
        <f t="shared" si="24"/>
        <v>REC-253</v>
      </c>
      <c r="J395" t="str">
        <f t="shared" si="25"/>
        <v>REC</v>
      </c>
      <c r="K395" t="str">
        <f t="shared" si="26"/>
        <v>253</v>
      </c>
      <c r="L395">
        <f t="shared" si="27"/>
        <v>7</v>
      </c>
    </row>
    <row r="396" spans="1:12" x14ac:dyDescent="0.35">
      <c r="A396" s="14">
        <v>283</v>
      </c>
      <c r="B396" s="15">
        <v>284</v>
      </c>
      <c r="C396" s="15">
        <v>0.1515</v>
      </c>
      <c r="D396" s="15">
        <v>0.54</v>
      </c>
      <c r="E396" s="15">
        <v>0.1343</v>
      </c>
      <c r="F396" s="15">
        <v>0</v>
      </c>
      <c r="G396" s="15">
        <v>28</v>
      </c>
      <c r="H396" s="16">
        <v>28</v>
      </c>
      <c r="I396" t="str">
        <f t="shared" si="24"/>
        <v>REC-283</v>
      </c>
      <c r="J396" t="str">
        <f t="shared" si="25"/>
        <v>REC</v>
      </c>
      <c r="K396" t="str">
        <f t="shared" si="26"/>
        <v>283</v>
      </c>
      <c r="L396">
        <f t="shared" si="27"/>
        <v>7</v>
      </c>
    </row>
    <row r="397" spans="1:12" x14ac:dyDescent="0.35">
      <c r="A397" s="14">
        <v>181</v>
      </c>
      <c r="B397" s="15">
        <v>182</v>
      </c>
      <c r="C397" s="15">
        <v>0.1212</v>
      </c>
      <c r="D397" s="15">
        <v>0.36</v>
      </c>
      <c r="E397" s="15">
        <v>0.25369999999999998</v>
      </c>
      <c r="F397" s="15">
        <v>0</v>
      </c>
      <c r="G397" s="15">
        <v>28</v>
      </c>
      <c r="H397" s="16">
        <v>28</v>
      </c>
      <c r="I397" t="str">
        <f t="shared" si="24"/>
        <v>REC-181</v>
      </c>
      <c r="J397" t="str">
        <f t="shared" si="25"/>
        <v>REC</v>
      </c>
      <c r="K397" t="str">
        <f t="shared" si="26"/>
        <v>181</v>
      </c>
      <c r="L397">
        <f t="shared" si="27"/>
        <v>7</v>
      </c>
    </row>
    <row r="398" spans="1:12" x14ac:dyDescent="0.35">
      <c r="A398" s="14">
        <v>430</v>
      </c>
      <c r="B398" s="15">
        <v>431</v>
      </c>
      <c r="C398" s="15">
        <v>0.2727</v>
      </c>
      <c r="D398" s="15">
        <v>0.52</v>
      </c>
      <c r="E398" s="15">
        <v>0.4627</v>
      </c>
      <c r="F398" s="15">
        <v>1</v>
      </c>
      <c r="G398" s="15">
        <v>27</v>
      </c>
      <c r="H398" s="16">
        <v>28</v>
      </c>
      <c r="I398" t="str">
        <f t="shared" si="24"/>
        <v>REC-430</v>
      </c>
      <c r="J398" t="str">
        <f t="shared" si="25"/>
        <v>REC</v>
      </c>
      <c r="K398" t="str">
        <f t="shared" si="26"/>
        <v>430</v>
      </c>
      <c r="L398">
        <f t="shared" si="27"/>
        <v>7</v>
      </c>
    </row>
    <row r="399" spans="1:12" x14ac:dyDescent="0.35">
      <c r="A399" s="14">
        <v>579</v>
      </c>
      <c r="B399" s="15">
        <v>580</v>
      </c>
      <c r="C399" s="15">
        <v>0.21210000000000001</v>
      </c>
      <c r="D399" s="15">
        <v>0.93</v>
      </c>
      <c r="E399" s="15">
        <v>0.28360000000000002</v>
      </c>
      <c r="F399" s="15">
        <v>2</v>
      </c>
      <c r="G399" s="15">
        <v>26</v>
      </c>
      <c r="H399" s="16">
        <v>28</v>
      </c>
      <c r="I399" t="str">
        <f t="shared" si="24"/>
        <v>REC-579</v>
      </c>
      <c r="J399" t="str">
        <f t="shared" si="25"/>
        <v>REC</v>
      </c>
      <c r="K399" t="str">
        <f t="shared" si="26"/>
        <v>579</v>
      </c>
      <c r="L399">
        <f t="shared" si="27"/>
        <v>7</v>
      </c>
    </row>
    <row r="400" spans="1:12" x14ac:dyDescent="0.35">
      <c r="A400" s="14">
        <v>398</v>
      </c>
      <c r="B400" s="15">
        <v>399</v>
      </c>
      <c r="C400" s="15">
        <v>0.2273</v>
      </c>
      <c r="D400" s="15">
        <v>0.8</v>
      </c>
      <c r="E400" s="15">
        <v>0.16420000000000001</v>
      </c>
      <c r="F400" s="15">
        <v>2</v>
      </c>
      <c r="G400" s="15">
        <v>26</v>
      </c>
      <c r="H400" s="16">
        <v>28</v>
      </c>
      <c r="I400" t="str">
        <f t="shared" si="24"/>
        <v>REC-398</v>
      </c>
      <c r="J400" t="str">
        <f t="shared" si="25"/>
        <v>REC</v>
      </c>
      <c r="K400" t="str">
        <f t="shared" si="26"/>
        <v>398</v>
      </c>
      <c r="L400">
        <f t="shared" si="27"/>
        <v>7</v>
      </c>
    </row>
    <row r="401" spans="1:12" x14ac:dyDescent="0.35">
      <c r="A401" s="14">
        <v>510</v>
      </c>
      <c r="B401" s="15">
        <v>511</v>
      </c>
      <c r="C401" s="15">
        <v>7.5800000000000006E-2</v>
      </c>
      <c r="D401" s="15">
        <v>0.54</v>
      </c>
      <c r="E401" s="15">
        <v>0.35820000000000002</v>
      </c>
      <c r="F401" s="15">
        <v>3</v>
      </c>
      <c r="G401" s="15">
        <v>25</v>
      </c>
      <c r="H401" s="16">
        <v>28</v>
      </c>
      <c r="I401" t="str">
        <f t="shared" si="24"/>
        <v>REC-510</v>
      </c>
      <c r="J401" t="str">
        <f t="shared" si="25"/>
        <v>REC</v>
      </c>
      <c r="K401" t="str">
        <f t="shared" si="26"/>
        <v>510</v>
      </c>
      <c r="L401">
        <f t="shared" si="27"/>
        <v>7</v>
      </c>
    </row>
    <row r="402" spans="1:12" x14ac:dyDescent="0.35">
      <c r="A402" s="14">
        <v>324</v>
      </c>
      <c r="B402" s="15">
        <v>325</v>
      </c>
      <c r="C402" s="15">
        <v>0.2424</v>
      </c>
      <c r="D402" s="15">
        <v>0.55000000000000004</v>
      </c>
      <c r="E402" s="15">
        <v>0</v>
      </c>
      <c r="F402" s="15">
        <v>3</v>
      </c>
      <c r="G402" s="15">
        <v>25</v>
      </c>
      <c r="H402" s="16">
        <v>28</v>
      </c>
      <c r="I402" t="str">
        <f t="shared" si="24"/>
        <v>REC-324</v>
      </c>
      <c r="J402" t="str">
        <f t="shared" si="25"/>
        <v>REC</v>
      </c>
      <c r="K402" t="str">
        <f t="shared" si="26"/>
        <v>324</v>
      </c>
      <c r="L402">
        <f t="shared" si="27"/>
        <v>7</v>
      </c>
    </row>
    <row r="403" spans="1:12" x14ac:dyDescent="0.35">
      <c r="A403" s="14">
        <v>523</v>
      </c>
      <c r="B403" s="15">
        <v>524</v>
      </c>
      <c r="C403" s="15">
        <v>9.0899999999999995E-2</v>
      </c>
      <c r="D403" s="15">
        <v>0.38</v>
      </c>
      <c r="E403" s="15">
        <v>0.19400000000000001</v>
      </c>
      <c r="F403" s="15">
        <v>5</v>
      </c>
      <c r="G403" s="15">
        <v>23</v>
      </c>
      <c r="H403" s="16">
        <v>28</v>
      </c>
      <c r="I403" t="str">
        <f t="shared" si="24"/>
        <v>REC-523</v>
      </c>
      <c r="J403" t="str">
        <f t="shared" si="25"/>
        <v>REC</v>
      </c>
      <c r="K403" t="str">
        <f t="shared" si="26"/>
        <v>523</v>
      </c>
      <c r="L403">
        <f t="shared" si="27"/>
        <v>7</v>
      </c>
    </row>
    <row r="404" spans="1:12" x14ac:dyDescent="0.35">
      <c r="A404" s="14">
        <v>369</v>
      </c>
      <c r="B404" s="15">
        <v>370</v>
      </c>
      <c r="C404" s="15">
        <v>0.19700000000000001</v>
      </c>
      <c r="D404" s="15">
        <v>0.51</v>
      </c>
      <c r="E404" s="15">
        <v>0.16420000000000001</v>
      </c>
      <c r="F404" s="15">
        <v>6</v>
      </c>
      <c r="G404" s="15">
        <v>22</v>
      </c>
      <c r="H404" s="16">
        <v>28</v>
      </c>
      <c r="I404" t="str">
        <f t="shared" si="24"/>
        <v>REC-369</v>
      </c>
      <c r="J404" t="str">
        <f t="shared" si="25"/>
        <v>REC</v>
      </c>
      <c r="K404" t="str">
        <f t="shared" si="26"/>
        <v>369</v>
      </c>
      <c r="L404">
        <f t="shared" si="27"/>
        <v>7</v>
      </c>
    </row>
    <row r="405" spans="1:12" x14ac:dyDescent="0.35">
      <c r="A405" s="14">
        <v>22</v>
      </c>
      <c r="B405" s="15">
        <v>23</v>
      </c>
      <c r="C405" s="15">
        <v>0.40910000000000002</v>
      </c>
      <c r="D405" s="15">
        <v>0.94</v>
      </c>
      <c r="E405" s="15">
        <v>0.22389999999999999</v>
      </c>
      <c r="F405" s="15">
        <v>11</v>
      </c>
      <c r="G405" s="15">
        <v>17</v>
      </c>
      <c r="H405" s="16">
        <v>28</v>
      </c>
      <c r="I405" t="str">
        <f t="shared" si="24"/>
        <v>REC-022</v>
      </c>
      <c r="J405" t="str">
        <f t="shared" si="25"/>
        <v>REC</v>
      </c>
      <c r="K405" t="str">
        <f t="shared" si="26"/>
        <v>022</v>
      </c>
      <c r="L405">
        <f t="shared" si="27"/>
        <v>7</v>
      </c>
    </row>
    <row r="406" spans="1:12" x14ac:dyDescent="0.35">
      <c r="A406" s="14">
        <v>593</v>
      </c>
      <c r="B406" s="15">
        <v>594</v>
      </c>
      <c r="C406" s="15">
        <v>0.21210000000000001</v>
      </c>
      <c r="D406" s="15">
        <v>0.74</v>
      </c>
      <c r="E406" s="15">
        <v>8.9599999999999999E-2</v>
      </c>
      <c r="F406" s="15">
        <v>0</v>
      </c>
      <c r="G406" s="15">
        <v>27</v>
      </c>
      <c r="H406" s="16">
        <v>27</v>
      </c>
      <c r="I406" t="str">
        <f t="shared" si="24"/>
        <v>REC-593</v>
      </c>
      <c r="J406" t="str">
        <f t="shared" si="25"/>
        <v>REC</v>
      </c>
      <c r="K406" t="str">
        <f t="shared" si="26"/>
        <v>593</v>
      </c>
      <c r="L406">
        <f t="shared" si="27"/>
        <v>7</v>
      </c>
    </row>
    <row r="407" spans="1:12" x14ac:dyDescent="0.35">
      <c r="A407" s="14">
        <v>478</v>
      </c>
      <c r="B407" s="15">
        <v>479</v>
      </c>
      <c r="C407" s="15">
        <v>4.5499999999999999E-2</v>
      </c>
      <c r="D407" s="15">
        <v>0.38</v>
      </c>
      <c r="E407" s="15">
        <v>0.32840000000000003</v>
      </c>
      <c r="F407" s="15">
        <v>0</v>
      </c>
      <c r="G407" s="15">
        <v>27</v>
      </c>
      <c r="H407" s="16">
        <v>27</v>
      </c>
      <c r="I407" t="str">
        <f t="shared" si="24"/>
        <v>REC-478</v>
      </c>
      <c r="J407" t="str">
        <f t="shared" si="25"/>
        <v>REC</v>
      </c>
      <c r="K407" t="str">
        <f t="shared" si="26"/>
        <v>478</v>
      </c>
      <c r="L407">
        <f t="shared" si="27"/>
        <v>7</v>
      </c>
    </row>
    <row r="408" spans="1:12" x14ac:dyDescent="0.35">
      <c r="A408" s="14">
        <v>461</v>
      </c>
      <c r="B408" s="15">
        <v>462</v>
      </c>
      <c r="C408" s="15">
        <v>0.21210000000000001</v>
      </c>
      <c r="D408" s="15">
        <v>0.55000000000000004</v>
      </c>
      <c r="E408" s="15">
        <v>0.25369999999999998</v>
      </c>
      <c r="F408" s="15">
        <v>0</v>
      </c>
      <c r="G408" s="15">
        <v>27</v>
      </c>
      <c r="H408" s="16">
        <v>27</v>
      </c>
      <c r="I408" t="str">
        <f t="shared" si="24"/>
        <v>REC-461</v>
      </c>
      <c r="J408" t="str">
        <f t="shared" si="25"/>
        <v>REC</v>
      </c>
      <c r="K408" t="str">
        <f t="shared" si="26"/>
        <v>461</v>
      </c>
      <c r="L408">
        <f t="shared" si="27"/>
        <v>7</v>
      </c>
    </row>
    <row r="409" spans="1:12" x14ac:dyDescent="0.35">
      <c r="A409" s="14">
        <v>237</v>
      </c>
      <c r="B409" s="15">
        <v>238</v>
      </c>
      <c r="C409" s="15">
        <v>0.18179999999999999</v>
      </c>
      <c r="D409" s="15">
        <v>0.55000000000000004</v>
      </c>
      <c r="E409" s="15">
        <v>0.1343</v>
      </c>
      <c r="F409" s="15">
        <v>0</v>
      </c>
      <c r="G409" s="15">
        <v>27</v>
      </c>
      <c r="H409" s="16">
        <v>27</v>
      </c>
      <c r="I409" t="str">
        <f t="shared" si="24"/>
        <v>REC-237</v>
      </c>
      <c r="J409" t="str">
        <f t="shared" si="25"/>
        <v>REC</v>
      </c>
      <c r="K409" t="str">
        <f t="shared" si="26"/>
        <v>237</v>
      </c>
      <c r="L409">
        <f t="shared" si="27"/>
        <v>7</v>
      </c>
    </row>
    <row r="410" spans="1:12" x14ac:dyDescent="0.35">
      <c r="A410" s="14">
        <v>486</v>
      </c>
      <c r="B410" s="15">
        <v>487</v>
      </c>
      <c r="C410" s="15">
        <v>0</v>
      </c>
      <c r="D410" s="15">
        <v>0.44</v>
      </c>
      <c r="E410" s="15">
        <v>0.32840000000000003</v>
      </c>
      <c r="F410" s="15">
        <v>1</v>
      </c>
      <c r="G410" s="15">
        <v>26</v>
      </c>
      <c r="H410" s="16">
        <v>27</v>
      </c>
      <c r="I410" t="str">
        <f t="shared" si="24"/>
        <v>REC-486</v>
      </c>
      <c r="J410" t="str">
        <f t="shared" si="25"/>
        <v>REC</v>
      </c>
      <c r="K410" t="str">
        <f t="shared" si="26"/>
        <v>486</v>
      </c>
      <c r="L410">
        <f t="shared" si="27"/>
        <v>7</v>
      </c>
    </row>
    <row r="411" spans="1:12" x14ac:dyDescent="0.35">
      <c r="A411" s="14">
        <v>323</v>
      </c>
      <c r="B411" s="15">
        <v>324</v>
      </c>
      <c r="C411" s="15">
        <v>0.2424</v>
      </c>
      <c r="D411" s="15">
        <v>0.55000000000000004</v>
      </c>
      <c r="E411" s="15">
        <v>0</v>
      </c>
      <c r="F411" s="15">
        <v>1</v>
      </c>
      <c r="G411" s="15">
        <v>26</v>
      </c>
      <c r="H411" s="16">
        <v>27</v>
      </c>
      <c r="I411" t="str">
        <f t="shared" si="24"/>
        <v>REC-323</v>
      </c>
      <c r="J411" t="str">
        <f t="shared" si="25"/>
        <v>REC</v>
      </c>
      <c r="K411" t="str">
        <f t="shared" si="26"/>
        <v>323</v>
      </c>
      <c r="L411">
        <f t="shared" si="27"/>
        <v>7</v>
      </c>
    </row>
    <row r="412" spans="1:12" x14ac:dyDescent="0.35">
      <c r="A412" s="14">
        <v>393</v>
      </c>
      <c r="B412" s="15">
        <v>394</v>
      </c>
      <c r="C412" s="15">
        <v>0.1515</v>
      </c>
      <c r="D412" s="15">
        <v>0.8</v>
      </c>
      <c r="E412" s="15">
        <v>0.19400000000000001</v>
      </c>
      <c r="F412" s="15">
        <v>3</v>
      </c>
      <c r="G412" s="15">
        <v>24</v>
      </c>
      <c r="H412" s="16">
        <v>27</v>
      </c>
      <c r="I412" t="str">
        <f t="shared" si="24"/>
        <v>REC-393</v>
      </c>
      <c r="J412" t="str">
        <f t="shared" si="25"/>
        <v>REC</v>
      </c>
      <c r="K412" t="str">
        <f t="shared" si="26"/>
        <v>393</v>
      </c>
      <c r="L412">
        <f t="shared" si="27"/>
        <v>7</v>
      </c>
    </row>
    <row r="413" spans="1:12" x14ac:dyDescent="0.35">
      <c r="A413" s="14">
        <v>586</v>
      </c>
      <c r="B413" s="15">
        <v>587</v>
      </c>
      <c r="C413" s="15">
        <v>0.18179999999999999</v>
      </c>
      <c r="D413" s="15">
        <v>0.93</v>
      </c>
      <c r="E413" s="15">
        <v>0.35820000000000002</v>
      </c>
      <c r="F413" s="15">
        <v>0</v>
      </c>
      <c r="G413" s="15">
        <v>26</v>
      </c>
      <c r="H413" s="16">
        <v>26</v>
      </c>
      <c r="I413" t="str">
        <f t="shared" si="24"/>
        <v>REC-586</v>
      </c>
      <c r="J413" t="str">
        <f t="shared" si="25"/>
        <v>REC</v>
      </c>
      <c r="K413" t="str">
        <f t="shared" si="26"/>
        <v>586</v>
      </c>
      <c r="L413">
        <f t="shared" si="27"/>
        <v>7</v>
      </c>
    </row>
    <row r="414" spans="1:12" x14ac:dyDescent="0.35">
      <c r="A414" s="14">
        <v>346</v>
      </c>
      <c r="B414" s="15">
        <v>347</v>
      </c>
      <c r="C414" s="15">
        <v>0.31819999999999998</v>
      </c>
      <c r="D414" s="15">
        <v>0.42</v>
      </c>
      <c r="E414" s="15">
        <v>0.1045</v>
      </c>
      <c r="F414" s="15">
        <v>0</v>
      </c>
      <c r="G414" s="15">
        <v>26</v>
      </c>
      <c r="H414" s="16">
        <v>26</v>
      </c>
      <c r="I414" t="str">
        <f t="shared" si="24"/>
        <v>REC-346</v>
      </c>
      <c r="J414" t="str">
        <f t="shared" si="25"/>
        <v>REC</v>
      </c>
      <c r="K414" t="str">
        <f t="shared" si="26"/>
        <v>346</v>
      </c>
      <c r="L414">
        <f t="shared" si="27"/>
        <v>7</v>
      </c>
    </row>
    <row r="415" spans="1:12" x14ac:dyDescent="0.35">
      <c r="A415" s="14">
        <v>185</v>
      </c>
      <c r="B415" s="15">
        <v>186</v>
      </c>
      <c r="C415" s="15">
        <v>7.5800000000000006E-2</v>
      </c>
      <c r="D415" s="15">
        <v>0.42</v>
      </c>
      <c r="E415" s="15">
        <v>0.3881</v>
      </c>
      <c r="F415" s="15">
        <v>1</v>
      </c>
      <c r="G415" s="15">
        <v>24</v>
      </c>
      <c r="H415" s="16">
        <v>25</v>
      </c>
      <c r="I415" t="str">
        <f t="shared" si="24"/>
        <v>REC-185</v>
      </c>
      <c r="J415" t="str">
        <f t="shared" si="25"/>
        <v>REC</v>
      </c>
      <c r="K415" t="str">
        <f t="shared" si="26"/>
        <v>185</v>
      </c>
      <c r="L415">
        <f t="shared" si="27"/>
        <v>7</v>
      </c>
    </row>
    <row r="416" spans="1:12" x14ac:dyDescent="0.35">
      <c r="A416" s="14">
        <v>161</v>
      </c>
      <c r="B416" s="15">
        <v>162</v>
      </c>
      <c r="C416" s="15">
        <v>0.19700000000000001</v>
      </c>
      <c r="D416" s="15">
        <v>0.51</v>
      </c>
      <c r="E416" s="15">
        <v>0.16420000000000001</v>
      </c>
      <c r="F416" s="15">
        <v>1</v>
      </c>
      <c r="G416" s="15">
        <v>24</v>
      </c>
      <c r="H416" s="16">
        <v>25</v>
      </c>
      <c r="I416" t="str">
        <f t="shared" si="24"/>
        <v>REC-161</v>
      </c>
      <c r="J416" t="str">
        <f t="shared" si="25"/>
        <v>REC</v>
      </c>
      <c r="K416" t="str">
        <f t="shared" si="26"/>
        <v>161</v>
      </c>
      <c r="L416">
        <f t="shared" si="27"/>
        <v>7</v>
      </c>
    </row>
    <row r="417" spans="1:12" x14ac:dyDescent="0.35">
      <c r="A417" s="14">
        <v>522</v>
      </c>
      <c r="B417" s="15">
        <v>523</v>
      </c>
      <c r="C417" s="15">
        <v>0.1061</v>
      </c>
      <c r="D417" s="15">
        <v>0.36</v>
      </c>
      <c r="E417" s="15">
        <v>0.19400000000000001</v>
      </c>
      <c r="F417" s="15">
        <v>5</v>
      </c>
      <c r="G417" s="15">
        <v>20</v>
      </c>
      <c r="H417" s="16">
        <v>25</v>
      </c>
      <c r="I417" t="str">
        <f t="shared" si="24"/>
        <v>REC-522</v>
      </c>
      <c r="J417" t="str">
        <f t="shared" si="25"/>
        <v>REC</v>
      </c>
      <c r="K417" t="str">
        <f t="shared" si="26"/>
        <v>522</v>
      </c>
      <c r="L417">
        <f t="shared" si="27"/>
        <v>7</v>
      </c>
    </row>
    <row r="418" spans="1:12" x14ac:dyDescent="0.35">
      <c r="A418" s="14">
        <v>587</v>
      </c>
      <c r="B418" s="15">
        <v>588</v>
      </c>
      <c r="C418" s="15">
        <v>0.2273</v>
      </c>
      <c r="D418" s="15">
        <v>0.55000000000000004</v>
      </c>
      <c r="E418" s="15">
        <v>0.19400000000000001</v>
      </c>
      <c r="F418" s="15">
        <v>1</v>
      </c>
      <c r="G418" s="15">
        <v>23</v>
      </c>
      <c r="H418" s="16">
        <v>24</v>
      </c>
      <c r="I418" t="str">
        <f t="shared" si="24"/>
        <v>REC-587</v>
      </c>
      <c r="J418" t="str">
        <f t="shared" si="25"/>
        <v>REC</v>
      </c>
      <c r="K418" t="str">
        <f t="shared" si="26"/>
        <v>587</v>
      </c>
      <c r="L418">
        <f t="shared" si="27"/>
        <v>7</v>
      </c>
    </row>
    <row r="419" spans="1:12" x14ac:dyDescent="0.35">
      <c r="A419" s="14">
        <v>231</v>
      </c>
      <c r="B419" s="15">
        <v>232</v>
      </c>
      <c r="C419" s="15">
        <v>0.1515</v>
      </c>
      <c r="D419" s="15">
        <v>0.59</v>
      </c>
      <c r="E419" s="15">
        <v>0.16420000000000001</v>
      </c>
      <c r="F419" s="15">
        <v>2</v>
      </c>
      <c r="G419" s="15">
        <v>22</v>
      </c>
      <c r="H419" s="16">
        <v>24</v>
      </c>
      <c r="I419" t="str">
        <f t="shared" si="24"/>
        <v>REC-231</v>
      </c>
      <c r="J419" t="str">
        <f t="shared" si="25"/>
        <v>REC</v>
      </c>
      <c r="K419" t="str">
        <f t="shared" si="26"/>
        <v>231</v>
      </c>
      <c r="L419">
        <f t="shared" si="27"/>
        <v>7</v>
      </c>
    </row>
    <row r="420" spans="1:12" x14ac:dyDescent="0.35">
      <c r="A420" s="14">
        <v>547</v>
      </c>
      <c r="B420" s="15">
        <v>548</v>
      </c>
      <c r="C420" s="15">
        <v>0.1515</v>
      </c>
      <c r="D420" s="15">
        <v>0.64</v>
      </c>
      <c r="E420" s="15">
        <v>0.25369999999999998</v>
      </c>
      <c r="F420" s="15">
        <v>3</v>
      </c>
      <c r="G420" s="15">
        <v>21</v>
      </c>
      <c r="H420" s="16">
        <v>24</v>
      </c>
      <c r="I420" t="str">
        <f t="shared" si="24"/>
        <v>REC-547</v>
      </c>
      <c r="J420" t="str">
        <f t="shared" si="25"/>
        <v>REC</v>
      </c>
      <c r="K420" t="str">
        <f t="shared" si="26"/>
        <v>547</v>
      </c>
      <c r="L420">
        <f t="shared" si="27"/>
        <v>7</v>
      </c>
    </row>
    <row r="421" spans="1:12" x14ac:dyDescent="0.35">
      <c r="A421" s="14">
        <v>332</v>
      </c>
      <c r="B421" s="15">
        <v>333</v>
      </c>
      <c r="C421" s="15">
        <v>0.1515</v>
      </c>
      <c r="D421" s="15">
        <v>0.63</v>
      </c>
      <c r="E421" s="15">
        <v>0.1343</v>
      </c>
      <c r="F421" s="15">
        <v>1</v>
      </c>
      <c r="G421" s="15">
        <v>22</v>
      </c>
      <c r="H421" s="16">
        <v>23</v>
      </c>
      <c r="I421" t="str">
        <f t="shared" si="24"/>
        <v>REC-332</v>
      </c>
      <c r="J421" t="str">
        <f t="shared" si="25"/>
        <v>REC</v>
      </c>
      <c r="K421" t="str">
        <f t="shared" si="26"/>
        <v>332</v>
      </c>
      <c r="L421">
        <f t="shared" si="27"/>
        <v>7</v>
      </c>
    </row>
    <row r="422" spans="1:12" x14ac:dyDescent="0.35">
      <c r="A422" s="14">
        <v>349</v>
      </c>
      <c r="B422" s="15">
        <v>350</v>
      </c>
      <c r="C422" s="15">
        <v>0.2727</v>
      </c>
      <c r="D422" s="15">
        <v>0.56000000000000005</v>
      </c>
      <c r="E422" s="15">
        <v>0.1343</v>
      </c>
      <c r="F422" s="15">
        <v>4</v>
      </c>
      <c r="G422" s="15">
        <v>19</v>
      </c>
      <c r="H422" s="16">
        <v>23</v>
      </c>
      <c r="I422" t="str">
        <f t="shared" si="24"/>
        <v>REC-349</v>
      </c>
      <c r="J422" t="str">
        <f t="shared" si="25"/>
        <v>REC</v>
      </c>
      <c r="K422" t="str">
        <f t="shared" si="26"/>
        <v>349</v>
      </c>
      <c r="L422">
        <f t="shared" si="27"/>
        <v>7</v>
      </c>
    </row>
    <row r="423" spans="1:12" x14ac:dyDescent="0.35">
      <c r="A423" s="14">
        <v>137</v>
      </c>
      <c r="B423" s="15">
        <v>138</v>
      </c>
      <c r="C423" s="15">
        <v>0.19700000000000001</v>
      </c>
      <c r="D423" s="15">
        <v>0.59</v>
      </c>
      <c r="E423" s="15">
        <v>0.19400000000000001</v>
      </c>
      <c r="F423" s="15">
        <v>4</v>
      </c>
      <c r="G423" s="15">
        <v>19</v>
      </c>
      <c r="H423" s="16">
        <v>23</v>
      </c>
      <c r="I423" t="str">
        <f t="shared" si="24"/>
        <v>REC-137</v>
      </c>
      <c r="J423" t="str">
        <f t="shared" si="25"/>
        <v>REC</v>
      </c>
      <c r="K423" t="str">
        <f t="shared" si="26"/>
        <v>137</v>
      </c>
      <c r="L423">
        <f t="shared" si="27"/>
        <v>7</v>
      </c>
    </row>
    <row r="424" spans="1:12" x14ac:dyDescent="0.35">
      <c r="A424" s="14">
        <v>397</v>
      </c>
      <c r="B424" s="15">
        <v>398</v>
      </c>
      <c r="C424" s="15">
        <v>0.19700000000000001</v>
      </c>
      <c r="D424" s="15">
        <v>0.86</v>
      </c>
      <c r="E424" s="15">
        <v>0.22389999999999999</v>
      </c>
      <c r="F424" s="15">
        <v>0</v>
      </c>
      <c r="G424" s="15">
        <v>22</v>
      </c>
      <c r="H424" s="16">
        <v>22</v>
      </c>
      <c r="I424" t="str">
        <f t="shared" si="24"/>
        <v>REC-397</v>
      </c>
      <c r="J424" t="str">
        <f t="shared" si="25"/>
        <v>REC</v>
      </c>
      <c r="K424" t="str">
        <f t="shared" si="26"/>
        <v>397</v>
      </c>
      <c r="L424">
        <f t="shared" si="27"/>
        <v>7</v>
      </c>
    </row>
    <row r="425" spans="1:12" x14ac:dyDescent="0.35">
      <c r="A425" s="14">
        <v>184</v>
      </c>
      <c r="B425" s="15">
        <v>185</v>
      </c>
      <c r="C425" s="15">
        <v>6.0600000000000001E-2</v>
      </c>
      <c r="D425" s="15">
        <v>0.39</v>
      </c>
      <c r="E425" s="15">
        <v>0.44779999999999998</v>
      </c>
      <c r="F425" s="15">
        <v>0</v>
      </c>
      <c r="G425" s="15">
        <v>22</v>
      </c>
      <c r="H425" s="16">
        <v>22</v>
      </c>
      <c r="I425" t="str">
        <f t="shared" si="24"/>
        <v>REC-184</v>
      </c>
      <c r="J425" t="str">
        <f t="shared" si="25"/>
        <v>REC</v>
      </c>
      <c r="K425" t="str">
        <f t="shared" si="26"/>
        <v>184</v>
      </c>
      <c r="L425">
        <f t="shared" si="27"/>
        <v>7</v>
      </c>
    </row>
    <row r="426" spans="1:12" x14ac:dyDescent="0.35">
      <c r="A426" s="14">
        <v>502</v>
      </c>
      <c r="B426" s="15">
        <v>503</v>
      </c>
      <c r="C426" s="15">
        <v>7.5800000000000006E-2</v>
      </c>
      <c r="D426" s="15">
        <v>0.56999999999999995</v>
      </c>
      <c r="E426" s="15">
        <v>0.1045</v>
      </c>
      <c r="F426" s="15">
        <v>2</v>
      </c>
      <c r="G426" s="15">
        <v>20</v>
      </c>
      <c r="H426" s="16">
        <v>22</v>
      </c>
      <c r="I426" t="str">
        <f t="shared" si="24"/>
        <v>REC-502</v>
      </c>
      <c r="J426" t="str">
        <f t="shared" si="25"/>
        <v>REC</v>
      </c>
      <c r="K426" t="str">
        <f t="shared" si="26"/>
        <v>502</v>
      </c>
      <c r="L426">
        <f t="shared" si="27"/>
        <v>7</v>
      </c>
    </row>
    <row r="427" spans="1:12" x14ac:dyDescent="0.35">
      <c r="A427" s="14">
        <v>43</v>
      </c>
      <c r="B427" s="15">
        <v>44</v>
      </c>
      <c r="C427" s="17"/>
      <c r="D427" s="15">
        <v>0.39</v>
      </c>
      <c r="E427" s="15">
        <v>0.35820000000000002</v>
      </c>
      <c r="F427" s="15">
        <v>5</v>
      </c>
      <c r="G427" s="15">
        <v>17</v>
      </c>
      <c r="H427" s="16">
        <v>22</v>
      </c>
      <c r="I427" t="str">
        <f t="shared" si="24"/>
        <v>REC-043</v>
      </c>
      <c r="J427" t="str">
        <f t="shared" si="25"/>
        <v>REC</v>
      </c>
      <c r="K427" t="str">
        <f t="shared" si="26"/>
        <v>043</v>
      </c>
      <c r="L427">
        <f t="shared" si="27"/>
        <v>7</v>
      </c>
    </row>
    <row r="428" spans="1:12" x14ac:dyDescent="0.35">
      <c r="A428" s="14">
        <v>455</v>
      </c>
      <c r="B428" s="15">
        <v>456</v>
      </c>
      <c r="C428" s="15">
        <v>0.2273</v>
      </c>
      <c r="D428" s="15">
        <v>0.7</v>
      </c>
      <c r="E428" s="15">
        <v>0.25369999999999998</v>
      </c>
      <c r="F428" s="15">
        <v>1</v>
      </c>
      <c r="G428" s="15">
        <v>20</v>
      </c>
      <c r="H428" s="16">
        <v>21</v>
      </c>
      <c r="I428" t="str">
        <f t="shared" si="24"/>
        <v>REC-455</v>
      </c>
      <c r="J428" t="str">
        <f t="shared" si="25"/>
        <v>REC</v>
      </c>
      <c r="K428" t="str">
        <f t="shared" si="26"/>
        <v>455</v>
      </c>
      <c r="L428">
        <f t="shared" si="27"/>
        <v>7</v>
      </c>
    </row>
    <row r="429" spans="1:12" x14ac:dyDescent="0.35">
      <c r="A429" s="14">
        <v>370</v>
      </c>
      <c r="B429" s="15">
        <v>371</v>
      </c>
      <c r="C429" s="15">
        <v>0.21210000000000001</v>
      </c>
      <c r="D429" s="15">
        <v>0.49</v>
      </c>
      <c r="E429" s="15">
        <v>0.1343</v>
      </c>
      <c r="F429" s="15">
        <v>2</v>
      </c>
      <c r="G429" s="15">
        <v>19</v>
      </c>
      <c r="H429" s="16">
        <v>21</v>
      </c>
      <c r="I429" t="str">
        <f t="shared" si="24"/>
        <v>REC-370</v>
      </c>
      <c r="J429" t="str">
        <f t="shared" si="25"/>
        <v>REC</v>
      </c>
      <c r="K429" t="str">
        <f t="shared" si="26"/>
        <v>370</v>
      </c>
      <c r="L429">
        <f t="shared" si="27"/>
        <v>7</v>
      </c>
    </row>
    <row r="430" spans="1:12" x14ac:dyDescent="0.35">
      <c r="A430" s="14">
        <v>524</v>
      </c>
      <c r="B430" s="15">
        <v>525</v>
      </c>
      <c r="C430" s="15">
        <v>6.0600000000000001E-2</v>
      </c>
      <c r="D430" s="15">
        <v>0.41</v>
      </c>
      <c r="E430" s="15">
        <v>0.22389999999999999</v>
      </c>
      <c r="F430" s="15">
        <v>4</v>
      </c>
      <c r="G430" s="15">
        <v>17</v>
      </c>
      <c r="H430" s="16">
        <v>21</v>
      </c>
      <c r="I430" t="str">
        <f t="shared" si="24"/>
        <v>REC-524</v>
      </c>
      <c r="J430" t="str">
        <f t="shared" si="25"/>
        <v>REC</v>
      </c>
      <c r="K430" t="str">
        <f t="shared" si="26"/>
        <v>524</v>
      </c>
      <c r="L430">
        <f t="shared" si="27"/>
        <v>7</v>
      </c>
    </row>
    <row r="431" spans="1:12" x14ac:dyDescent="0.35">
      <c r="A431" s="14">
        <v>252</v>
      </c>
      <c r="B431" s="15">
        <v>253</v>
      </c>
      <c r="C431" s="15">
        <v>0.19700000000000001</v>
      </c>
      <c r="D431" s="15">
        <v>0.86</v>
      </c>
      <c r="E431" s="15">
        <v>8.9599999999999999E-2</v>
      </c>
      <c r="F431" s="15">
        <v>0</v>
      </c>
      <c r="G431" s="15">
        <v>20</v>
      </c>
      <c r="H431" s="16">
        <v>20</v>
      </c>
      <c r="I431" t="str">
        <f t="shared" si="24"/>
        <v>REC-252</v>
      </c>
      <c r="J431" t="str">
        <f t="shared" si="25"/>
        <v>REC</v>
      </c>
      <c r="K431" t="str">
        <f t="shared" si="26"/>
        <v>252</v>
      </c>
      <c r="L431">
        <f t="shared" si="27"/>
        <v>7</v>
      </c>
    </row>
    <row r="432" spans="1:12" x14ac:dyDescent="0.35">
      <c r="A432" s="14">
        <v>170</v>
      </c>
      <c r="B432" s="15">
        <v>171</v>
      </c>
      <c r="C432" s="15">
        <v>0.18179999999999999</v>
      </c>
      <c r="D432" s="15">
        <v>0.93</v>
      </c>
      <c r="E432" s="15">
        <v>0.1045</v>
      </c>
      <c r="F432" s="15">
        <v>0</v>
      </c>
      <c r="G432" s="15">
        <v>20</v>
      </c>
      <c r="H432" s="16">
        <v>20</v>
      </c>
      <c r="I432" t="str">
        <f t="shared" si="24"/>
        <v>REC-170</v>
      </c>
      <c r="J432" t="str">
        <f t="shared" si="25"/>
        <v>REC</v>
      </c>
      <c r="K432" t="str">
        <f t="shared" si="26"/>
        <v>170</v>
      </c>
      <c r="L432">
        <f t="shared" si="27"/>
        <v>7</v>
      </c>
    </row>
    <row r="433" spans="1:12" x14ac:dyDescent="0.35">
      <c r="A433" s="14">
        <v>67</v>
      </c>
      <c r="B433" s="15">
        <v>68</v>
      </c>
      <c r="C433" s="15">
        <v>0.1515</v>
      </c>
      <c r="D433" s="15">
        <v>0.69</v>
      </c>
      <c r="E433" s="15">
        <v>0.1343</v>
      </c>
      <c r="F433" s="15">
        <v>0</v>
      </c>
      <c r="G433" s="15">
        <v>20</v>
      </c>
      <c r="H433" s="16">
        <v>20</v>
      </c>
      <c r="I433" t="str">
        <f t="shared" si="24"/>
        <v>REC-067</v>
      </c>
      <c r="J433" t="str">
        <f t="shared" si="25"/>
        <v>REC</v>
      </c>
      <c r="K433" t="str">
        <f t="shared" si="26"/>
        <v>067</v>
      </c>
      <c r="L433">
        <f t="shared" si="27"/>
        <v>7</v>
      </c>
    </row>
    <row r="434" spans="1:12" x14ac:dyDescent="0.35">
      <c r="A434" s="14">
        <v>407</v>
      </c>
      <c r="B434" s="15">
        <v>408</v>
      </c>
      <c r="C434" s="15">
        <v>0.2727</v>
      </c>
      <c r="D434" s="15">
        <v>0.93</v>
      </c>
      <c r="E434" s="15">
        <v>0</v>
      </c>
      <c r="F434" s="15">
        <v>1</v>
      </c>
      <c r="G434" s="15">
        <v>19</v>
      </c>
      <c r="H434" s="16">
        <v>20</v>
      </c>
      <c r="I434" t="str">
        <f t="shared" si="24"/>
        <v>REC-407</v>
      </c>
      <c r="J434" t="str">
        <f t="shared" si="25"/>
        <v>REC</v>
      </c>
      <c r="K434" t="str">
        <f t="shared" si="26"/>
        <v>407</v>
      </c>
      <c r="L434">
        <f t="shared" si="27"/>
        <v>7</v>
      </c>
    </row>
    <row r="435" spans="1:12" x14ac:dyDescent="0.35">
      <c r="A435" s="14">
        <v>276</v>
      </c>
      <c r="B435" s="15">
        <v>277</v>
      </c>
      <c r="C435" s="15">
        <v>0.1061</v>
      </c>
      <c r="D435" s="15">
        <v>0.59</v>
      </c>
      <c r="E435" s="15">
        <v>0.41789999999999999</v>
      </c>
      <c r="F435" s="15">
        <v>1</v>
      </c>
      <c r="G435" s="15">
        <v>19</v>
      </c>
      <c r="H435" s="16">
        <v>20</v>
      </c>
      <c r="I435" t="str">
        <f t="shared" si="24"/>
        <v>REC-276</v>
      </c>
      <c r="J435" t="str">
        <f t="shared" si="25"/>
        <v>REC</v>
      </c>
      <c r="K435" t="str">
        <f t="shared" si="26"/>
        <v>276</v>
      </c>
      <c r="L435">
        <f t="shared" si="27"/>
        <v>7</v>
      </c>
    </row>
    <row r="436" spans="1:12" x14ac:dyDescent="0.35">
      <c r="A436" s="14">
        <v>206</v>
      </c>
      <c r="B436" s="15">
        <v>207</v>
      </c>
      <c r="C436" s="15">
        <v>0.1061</v>
      </c>
      <c r="D436" s="15">
        <v>0.46</v>
      </c>
      <c r="E436" s="15">
        <v>0.41789999999999999</v>
      </c>
      <c r="F436" s="15">
        <v>1</v>
      </c>
      <c r="G436" s="15">
        <v>19</v>
      </c>
      <c r="H436" s="16">
        <v>20</v>
      </c>
      <c r="I436" t="str">
        <f t="shared" si="24"/>
        <v>REC-206</v>
      </c>
      <c r="J436" t="str">
        <f t="shared" si="25"/>
        <v>REC</v>
      </c>
      <c r="K436" t="str">
        <f t="shared" si="26"/>
        <v>206</v>
      </c>
      <c r="L436">
        <f t="shared" si="27"/>
        <v>7</v>
      </c>
    </row>
    <row r="437" spans="1:12" x14ac:dyDescent="0.35">
      <c r="A437" s="14">
        <v>32</v>
      </c>
      <c r="B437" s="15">
        <v>33</v>
      </c>
      <c r="C437" s="17"/>
      <c r="D437" s="15">
        <v>0.76</v>
      </c>
      <c r="E437" s="15">
        <v>0.22389999999999999</v>
      </c>
      <c r="F437" s="15">
        <v>1</v>
      </c>
      <c r="G437" s="15">
        <v>19</v>
      </c>
      <c r="H437" s="16">
        <v>20</v>
      </c>
      <c r="I437" t="str">
        <f t="shared" si="24"/>
        <v>REC-032</v>
      </c>
      <c r="J437" t="str">
        <f t="shared" si="25"/>
        <v>REC</v>
      </c>
      <c r="K437" t="str">
        <f t="shared" si="26"/>
        <v>032</v>
      </c>
      <c r="L437">
        <f t="shared" si="27"/>
        <v>7</v>
      </c>
    </row>
    <row r="438" spans="1:12" x14ac:dyDescent="0.35">
      <c r="A438" s="14">
        <v>325</v>
      </c>
      <c r="B438" s="15">
        <v>326</v>
      </c>
      <c r="C438" s="15">
        <v>0.19700000000000001</v>
      </c>
      <c r="D438" s="15">
        <v>0.59</v>
      </c>
      <c r="E438" s="15">
        <v>8.9599999999999999E-2</v>
      </c>
      <c r="F438" s="15">
        <v>2</v>
      </c>
      <c r="G438" s="15">
        <v>18</v>
      </c>
      <c r="H438" s="16">
        <v>20</v>
      </c>
      <c r="I438" t="str">
        <f t="shared" si="24"/>
        <v>REC-325</v>
      </c>
      <c r="J438" t="str">
        <f t="shared" si="25"/>
        <v>REC</v>
      </c>
      <c r="K438" t="str">
        <f t="shared" si="26"/>
        <v>325</v>
      </c>
      <c r="L438">
        <f t="shared" si="27"/>
        <v>7</v>
      </c>
    </row>
    <row r="439" spans="1:12" x14ac:dyDescent="0.35">
      <c r="A439" s="14">
        <v>194</v>
      </c>
      <c r="B439" s="15">
        <v>195</v>
      </c>
      <c r="C439" s="15">
        <v>7.5800000000000006E-2</v>
      </c>
      <c r="D439" s="15">
        <v>0.46</v>
      </c>
      <c r="E439" s="15">
        <v>0.52239999999999998</v>
      </c>
      <c r="F439" s="15">
        <v>0</v>
      </c>
      <c r="G439" s="15">
        <v>19</v>
      </c>
      <c r="H439" s="16">
        <v>19</v>
      </c>
      <c r="I439" t="str">
        <f t="shared" si="24"/>
        <v>REC-194</v>
      </c>
      <c r="J439" t="str">
        <f t="shared" si="25"/>
        <v>REC</v>
      </c>
      <c r="K439" t="str">
        <f t="shared" si="26"/>
        <v>194</v>
      </c>
      <c r="L439">
        <f t="shared" si="27"/>
        <v>7</v>
      </c>
    </row>
    <row r="440" spans="1:12" x14ac:dyDescent="0.35">
      <c r="A440" s="14">
        <v>254</v>
      </c>
      <c r="B440" s="15">
        <v>255</v>
      </c>
      <c r="C440" s="15">
        <v>0.19700000000000001</v>
      </c>
      <c r="D440" s="15">
        <v>0.93</v>
      </c>
      <c r="E440" s="15">
        <v>8.9599999999999999E-2</v>
      </c>
      <c r="F440" s="15">
        <v>1</v>
      </c>
      <c r="G440" s="15">
        <v>18</v>
      </c>
      <c r="H440" s="16">
        <v>19</v>
      </c>
      <c r="I440" t="str">
        <f t="shared" si="24"/>
        <v>REC-254</v>
      </c>
      <c r="J440" t="str">
        <f t="shared" si="25"/>
        <v>REC</v>
      </c>
      <c r="K440" t="str">
        <f t="shared" si="26"/>
        <v>254</v>
      </c>
      <c r="L440">
        <f t="shared" si="27"/>
        <v>7</v>
      </c>
    </row>
    <row r="441" spans="1:12" x14ac:dyDescent="0.35">
      <c r="A441" s="14">
        <v>114</v>
      </c>
      <c r="B441" s="15">
        <v>115</v>
      </c>
      <c r="C441" s="15">
        <v>0.2576</v>
      </c>
      <c r="D441" s="15">
        <v>0.47</v>
      </c>
      <c r="E441" s="15">
        <v>0</v>
      </c>
      <c r="F441" s="15">
        <v>1</v>
      </c>
      <c r="G441" s="15">
        <v>18</v>
      </c>
      <c r="H441" s="16">
        <v>19</v>
      </c>
      <c r="I441" t="str">
        <f t="shared" si="24"/>
        <v>REC-114</v>
      </c>
      <c r="J441" t="str">
        <f t="shared" si="25"/>
        <v>REC</v>
      </c>
      <c r="K441" t="str">
        <f t="shared" si="26"/>
        <v>114</v>
      </c>
      <c r="L441">
        <f t="shared" si="27"/>
        <v>7</v>
      </c>
    </row>
    <row r="442" spans="1:12" x14ac:dyDescent="0.35">
      <c r="A442" s="14">
        <v>509</v>
      </c>
      <c r="B442" s="15">
        <v>510</v>
      </c>
      <c r="C442" s="15">
        <v>7.5800000000000006E-2</v>
      </c>
      <c r="D442" s="15">
        <v>0.62</v>
      </c>
      <c r="E442" s="15">
        <v>0.16420000000000001</v>
      </c>
      <c r="F442" s="15">
        <v>2</v>
      </c>
      <c r="G442" s="15">
        <v>17</v>
      </c>
      <c r="H442" s="16">
        <v>19</v>
      </c>
      <c r="I442" t="str">
        <f t="shared" si="24"/>
        <v>REC-509</v>
      </c>
      <c r="J442" t="str">
        <f t="shared" si="25"/>
        <v>REC</v>
      </c>
      <c r="K442" t="str">
        <f t="shared" si="26"/>
        <v>509</v>
      </c>
      <c r="L442">
        <f t="shared" si="27"/>
        <v>7</v>
      </c>
    </row>
    <row r="443" spans="1:12" x14ac:dyDescent="0.35">
      <c r="A443" s="14">
        <v>371</v>
      </c>
      <c r="B443" s="15">
        <v>372</v>
      </c>
      <c r="C443" s="15">
        <v>0.2273</v>
      </c>
      <c r="D443" s="15">
        <v>0.4</v>
      </c>
      <c r="E443" s="15">
        <v>0.1045</v>
      </c>
      <c r="F443" s="15">
        <v>0</v>
      </c>
      <c r="G443" s="15">
        <v>18</v>
      </c>
      <c r="H443" s="16">
        <v>18</v>
      </c>
      <c r="I443" t="str">
        <f t="shared" si="24"/>
        <v>REC-371</v>
      </c>
      <c r="J443" t="str">
        <f t="shared" si="25"/>
        <v>REC</v>
      </c>
      <c r="K443" t="str">
        <f t="shared" si="26"/>
        <v>371</v>
      </c>
      <c r="L443">
        <f t="shared" si="27"/>
        <v>7</v>
      </c>
    </row>
    <row r="444" spans="1:12" x14ac:dyDescent="0.35">
      <c r="A444" s="14">
        <v>356</v>
      </c>
      <c r="B444" s="15">
        <v>357</v>
      </c>
      <c r="C444" s="15">
        <v>0.21210000000000001</v>
      </c>
      <c r="D444" s="15">
        <v>0.55000000000000004</v>
      </c>
      <c r="E444" s="15">
        <v>0.28360000000000002</v>
      </c>
      <c r="F444" s="15">
        <v>0</v>
      </c>
      <c r="G444" s="15">
        <v>18</v>
      </c>
      <c r="H444" s="16">
        <v>18</v>
      </c>
      <c r="I444" t="str">
        <f t="shared" si="24"/>
        <v>REC-356</v>
      </c>
      <c r="J444" t="str">
        <f t="shared" si="25"/>
        <v>REC</v>
      </c>
      <c r="K444" t="str">
        <f t="shared" si="26"/>
        <v>356</v>
      </c>
      <c r="L444">
        <f t="shared" si="27"/>
        <v>7</v>
      </c>
    </row>
    <row r="445" spans="1:12" x14ac:dyDescent="0.35">
      <c r="A445" s="14">
        <v>232</v>
      </c>
      <c r="B445" s="15">
        <v>233</v>
      </c>
      <c r="C445" s="15">
        <v>0.1515</v>
      </c>
      <c r="D445" s="15">
        <v>0.59</v>
      </c>
      <c r="E445" s="15">
        <v>0.16420000000000001</v>
      </c>
      <c r="F445" s="15">
        <v>0</v>
      </c>
      <c r="G445" s="15">
        <v>18</v>
      </c>
      <c r="H445" s="16">
        <v>18</v>
      </c>
      <c r="I445" t="str">
        <f t="shared" si="24"/>
        <v>REC-232</v>
      </c>
      <c r="J445" t="str">
        <f t="shared" si="25"/>
        <v>REC</v>
      </c>
      <c r="K445" t="str">
        <f t="shared" si="26"/>
        <v>232</v>
      </c>
      <c r="L445">
        <f t="shared" si="27"/>
        <v>7</v>
      </c>
    </row>
    <row r="446" spans="1:12" x14ac:dyDescent="0.35">
      <c r="A446" s="14">
        <v>504</v>
      </c>
      <c r="B446" s="15">
        <v>505</v>
      </c>
      <c r="C446" s="15">
        <v>6.0600000000000001E-2</v>
      </c>
      <c r="D446" s="15">
        <v>0.62</v>
      </c>
      <c r="E446" s="15">
        <v>0.1343</v>
      </c>
      <c r="F446" s="15">
        <v>3</v>
      </c>
      <c r="G446" s="15">
        <v>15</v>
      </c>
      <c r="H446" s="16">
        <v>18</v>
      </c>
      <c r="I446" t="str">
        <f t="shared" si="24"/>
        <v>REC-504</v>
      </c>
      <c r="J446" t="str">
        <f t="shared" si="25"/>
        <v>REC</v>
      </c>
      <c r="K446" t="str">
        <f t="shared" si="26"/>
        <v>504</v>
      </c>
      <c r="L446">
        <f t="shared" si="27"/>
        <v>7</v>
      </c>
    </row>
    <row r="447" spans="1:12" x14ac:dyDescent="0.35">
      <c r="A447" s="14">
        <v>306</v>
      </c>
      <c r="B447" s="15">
        <v>307</v>
      </c>
      <c r="C447" s="15">
        <v>0.18179999999999999</v>
      </c>
      <c r="D447" s="15">
        <v>0.54</v>
      </c>
      <c r="E447" s="15">
        <v>0</v>
      </c>
      <c r="F447" s="15">
        <v>0</v>
      </c>
      <c r="G447" s="15">
        <v>17</v>
      </c>
      <c r="H447" s="16">
        <v>17</v>
      </c>
      <c r="I447" t="str">
        <f t="shared" si="24"/>
        <v>REC-306</v>
      </c>
      <c r="J447" t="str">
        <f t="shared" si="25"/>
        <v>REC</v>
      </c>
      <c r="K447" t="str">
        <f t="shared" si="26"/>
        <v>306</v>
      </c>
      <c r="L447">
        <f t="shared" si="27"/>
        <v>7</v>
      </c>
    </row>
    <row r="448" spans="1:12" x14ac:dyDescent="0.35">
      <c r="A448" s="14">
        <v>372</v>
      </c>
      <c r="B448" s="15">
        <v>373</v>
      </c>
      <c r="C448" s="15">
        <v>0.19700000000000001</v>
      </c>
      <c r="D448" s="15">
        <v>0.47</v>
      </c>
      <c r="E448" s="15">
        <v>0.22389999999999999</v>
      </c>
      <c r="F448" s="15">
        <v>1</v>
      </c>
      <c r="G448" s="15">
        <v>16</v>
      </c>
      <c r="H448" s="16">
        <v>17</v>
      </c>
      <c r="I448" t="str">
        <f t="shared" si="24"/>
        <v>REC-372</v>
      </c>
      <c r="J448" t="str">
        <f t="shared" si="25"/>
        <v>REC</v>
      </c>
      <c r="K448" t="str">
        <f t="shared" si="26"/>
        <v>372</v>
      </c>
      <c r="L448">
        <f t="shared" si="27"/>
        <v>7</v>
      </c>
    </row>
    <row r="449" spans="1:12" x14ac:dyDescent="0.35">
      <c r="A449" s="14">
        <v>25</v>
      </c>
      <c r="B449" s="15">
        <v>26</v>
      </c>
      <c r="C449" s="15">
        <v>0.43940000000000001</v>
      </c>
      <c r="D449" s="15">
        <v>0.94</v>
      </c>
      <c r="E449" s="15">
        <v>0.25369999999999998</v>
      </c>
      <c r="F449" s="15">
        <v>1</v>
      </c>
      <c r="G449" s="15">
        <v>16</v>
      </c>
      <c r="H449" s="16">
        <v>17</v>
      </c>
      <c r="I449" t="str">
        <f t="shared" si="24"/>
        <v>REC-025</v>
      </c>
      <c r="J449" t="str">
        <f t="shared" si="25"/>
        <v>REC</v>
      </c>
      <c r="K449" t="str">
        <f t="shared" si="26"/>
        <v>025</v>
      </c>
      <c r="L449">
        <f t="shared" si="27"/>
        <v>7</v>
      </c>
    </row>
    <row r="450" spans="1:12" x14ac:dyDescent="0.35">
      <c r="A450" s="14">
        <v>571</v>
      </c>
      <c r="B450" s="15">
        <v>572</v>
      </c>
      <c r="C450" s="15">
        <v>0.2273</v>
      </c>
      <c r="D450" s="15">
        <v>0.69</v>
      </c>
      <c r="E450" s="15">
        <v>0.1343</v>
      </c>
      <c r="F450" s="15">
        <v>3</v>
      </c>
      <c r="G450" s="15">
        <v>14</v>
      </c>
      <c r="H450" s="16">
        <v>17</v>
      </c>
      <c r="I450" t="str">
        <f t="shared" si="24"/>
        <v>REC-571</v>
      </c>
      <c r="J450" t="str">
        <f t="shared" si="25"/>
        <v>REC</v>
      </c>
      <c r="K450" t="str">
        <f t="shared" si="26"/>
        <v>571</v>
      </c>
      <c r="L450">
        <f t="shared" si="27"/>
        <v>7</v>
      </c>
    </row>
    <row r="451" spans="1:12" x14ac:dyDescent="0.35">
      <c r="A451" s="14">
        <v>138</v>
      </c>
      <c r="B451" s="15">
        <v>139</v>
      </c>
      <c r="C451" s="15">
        <v>0.19700000000000001</v>
      </c>
      <c r="D451" s="15">
        <v>0.64</v>
      </c>
      <c r="E451" s="15">
        <v>0.19400000000000001</v>
      </c>
      <c r="F451" s="15">
        <v>4</v>
      </c>
      <c r="G451" s="15">
        <v>13</v>
      </c>
      <c r="H451" s="16">
        <v>17</v>
      </c>
      <c r="I451" t="str">
        <f t="shared" ref="I451:I514" si="28">"REC-"&amp;TEXT(A451,"000")</f>
        <v>REC-138</v>
      </c>
      <c r="J451" t="str">
        <f t="shared" ref="J451:J514" si="29">LEFT(I451,3)</f>
        <v>REC</v>
      </c>
      <c r="K451" t="str">
        <f t="shared" ref="K451:K514" si="30">RIGHT(I451,3)</f>
        <v>138</v>
      </c>
      <c r="L451">
        <f t="shared" ref="L451:L514" si="31">LEN(I451)</f>
        <v>7</v>
      </c>
    </row>
    <row r="452" spans="1:12" x14ac:dyDescent="0.35">
      <c r="A452" s="14">
        <v>24</v>
      </c>
      <c r="B452" s="15">
        <v>25</v>
      </c>
      <c r="C452" s="15">
        <v>0.45450000000000002</v>
      </c>
      <c r="D452" s="15">
        <v>0.88</v>
      </c>
      <c r="E452" s="15">
        <v>0.29849999999999999</v>
      </c>
      <c r="F452" s="15">
        <v>4</v>
      </c>
      <c r="G452" s="15">
        <v>13</v>
      </c>
      <c r="H452" s="16">
        <v>17</v>
      </c>
      <c r="I452" t="str">
        <f t="shared" si="28"/>
        <v>REC-024</v>
      </c>
      <c r="J452" t="str">
        <f t="shared" si="29"/>
        <v>REC</v>
      </c>
      <c r="K452" t="str">
        <f t="shared" si="30"/>
        <v>024</v>
      </c>
      <c r="L452">
        <f t="shared" si="31"/>
        <v>7</v>
      </c>
    </row>
    <row r="453" spans="1:12" x14ac:dyDescent="0.35">
      <c r="A453" s="14">
        <v>600</v>
      </c>
      <c r="B453" s="15">
        <v>601</v>
      </c>
      <c r="C453" s="15">
        <v>0.19700000000000001</v>
      </c>
      <c r="D453" s="15">
        <v>0.8</v>
      </c>
      <c r="E453" s="15">
        <v>0.1343</v>
      </c>
      <c r="F453" s="15">
        <v>0</v>
      </c>
      <c r="G453" s="15">
        <v>16</v>
      </c>
      <c r="H453" s="16">
        <v>16</v>
      </c>
      <c r="I453" t="str">
        <f t="shared" si="28"/>
        <v>REC-600</v>
      </c>
      <c r="J453" t="str">
        <f t="shared" si="29"/>
        <v>REC</v>
      </c>
      <c r="K453" t="str">
        <f t="shared" si="30"/>
        <v>600</v>
      </c>
      <c r="L453">
        <f t="shared" si="31"/>
        <v>7</v>
      </c>
    </row>
    <row r="454" spans="1:12" x14ac:dyDescent="0.35">
      <c r="A454" s="14">
        <v>594</v>
      </c>
      <c r="B454" s="15">
        <v>595</v>
      </c>
      <c r="C454" s="15">
        <v>0.19700000000000001</v>
      </c>
      <c r="D454" s="15">
        <v>0.8</v>
      </c>
      <c r="E454" s="15">
        <v>0.16420000000000001</v>
      </c>
      <c r="F454" s="15">
        <v>0</v>
      </c>
      <c r="G454" s="15">
        <v>16</v>
      </c>
      <c r="H454" s="16">
        <v>16</v>
      </c>
      <c r="I454" t="str">
        <f t="shared" si="28"/>
        <v>REC-594</v>
      </c>
      <c r="J454" t="str">
        <f t="shared" si="29"/>
        <v>REC</v>
      </c>
      <c r="K454" t="str">
        <f t="shared" si="30"/>
        <v>594</v>
      </c>
      <c r="L454">
        <f t="shared" si="31"/>
        <v>7</v>
      </c>
    </row>
    <row r="455" spans="1:12" x14ac:dyDescent="0.35">
      <c r="A455" s="14">
        <v>259</v>
      </c>
      <c r="B455" s="15">
        <v>260</v>
      </c>
      <c r="C455" s="15">
        <v>0.1515</v>
      </c>
      <c r="D455" s="15">
        <v>0.93</v>
      </c>
      <c r="E455" s="15">
        <v>0.1343</v>
      </c>
      <c r="F455" s="15">
        <v>0</v>
      </c>
      <c r="G455" s="15">
        <v>16</v>
      </c>
      <c r="H455" s="16">
        <v>16</v>
      </c>
      <c r="I455" t="str">
        <f t="shared" si="28"/>
        <v>REC-259</v>
      </c>
      <c r="J455" t="str">
        <f t="shared" si="29"/>
        <v>REC</v>
      </c>
      <c r="K455" t="str">
        <f t="shared" si="30"/>
        <v>259</v>
      </c>
      <c r="L455">
        <f t="shared" si="31"/>
        <v>7</v>
      </c>
    </row>
    <row r="456" spans="1:12" x14ac:dyDescent="0.35">
      <c r="A456" s="14">
        <v>373</v>
      </c>
      <c r="B456" s="15">
        <v>374</v>
      </c>
      <c r="C456" s="15">
        <v>0.19700000000000001</v>
      </c>
      <c r="D456" s="15">
        <v>0.44</v>
      </c>
      <c r="E456" s="15">
        <v>0.19400000000000001</v>
      </c>
      <c r="F456" s="15">
        <v>1</v>
      </c>
      <c r="G456" s="15">
        <v>15</v>
      </c>
      <c r="H456" s="16">
        <v>16</v>
      </c>
      <c r="I456" t="str">
        <f t="shared" si="28"/>
        <v>REC-373</v>
      </c>
      <c r="J456" t="str">
        <f t="shared" si="29"/>
        <v>REC</v>
      </c>
      <c r="K456" t="str">
        <f t="shared" si="30"/>
        <v>373</v>
      </c>
      <c r="L456">
        <f t="shared" si="31"/>
        <v>7</v>
      </c>
    </row>
    <row r="457" spans="1:12" x14ac:dyDescent="0.35">
      <c r="A457" s="14">
        <v>162</v>
      </c>
      <c r="B457" s="15">
        <v>163</v>
      </c>
      <c r="C457" s="15">
        <v>0.21210000000000001</v>
      </c>
      <c r="D457" s="15">
        <v>0.55000000000000004</v>
      </c>
      <c r="E457" s="15">
        <v>8.9599999999999999E-2</v>
      </c>
      <c r="F457" s="15">
        <v>1</v>
      </c>
      <c r="G457" s="15">
        <v>15</v>
      </c>
      <c r="H457" s="16">
        <v>16</v>
      </c>
      <c r="I457" t="str">
        <f t="shared" si="28"/>
        <v>REC-162</v>
      </c>
      <c r="J457" t="str">
        <f t="shared" si="29"/>
        <v>REC</v>
      </c>
      <c r="K457" t="str">
        <f t="shared" si="30"/>
        <v>162</v>
      </c>
      <c r="L457">
        <f t="shared" si="31"/>
        <v>7</v>
      </c>
    </row>
    <row r="458" spans="1:12" x14ac:dyDescent="0.35">
      <c r="A458" s="14">
        <v>350</v>
      </c>
      <c r="B458" s="15">
        <v>351</v>
      </c>
      <c r="C458" s="15">
        <v>0.28789999999999999</v>
      </c>
      <c r="D458" s="15">
        <v>0.56000000000000005</v>
      </c>
      <c r="E458" s="15">
        <v>8.9599999999999999E-2</v>
      </c>
      <c r="F458" s="15">
        <v>3</v>
      </c>
      <c r="G458" s="15">
        <v>13</v>
      </c>
      <c r="H458" s="16">
        <v>16</v>
      </c>
      <c r="I458" t="str">
        <f t="shared" si="28"/>
        <v>REC-350</v>
      </c>
      <c r="J458" t="str">
        <f t="shared" si="29"/>
        <v>REC</v>
      </c>
      <c r="K458" t="str">
        <f t="shared" si="30"/>
        <v>350</v>
      </c>
      <c r="L458">
        <f t="shared" si="31"/>
        <v>7</v>
      </c>
    </row>
    <row r="459" spans="1:12" x14ac:dyDescent="0.35">
      <c r="A459" s="14">
        <v>163</v>
      </c>
      <c r="B459" s="15">
        <v>164</v>
      </c>
      <c r="C459" s="15">
        <v>0.2424</v>
      </c>
      <c r="D459" s="15">
        <v>0.55000000000000004</v>
      </c>
      <c r="E459" s="15">
        <v>0</v>
      </c>
      <c r="F459" s="15">
        <v>3</v>
      </c>
      <c r="G459" s="15">
        <v>13</v>
      </c>
      <c r="H459" s="16">
        <v>16</v>
      </c>
      <c r="I459" t="str">
        <f t="shared" si="28"/>
        <v>REC-163</v>
      </c>
      <c r="J459" t="str">
        <f t="shared" si="29"/>
        <v>REC</v>
      </c>
      <c r="K459" t="str">
        <f t="shared" si="30"/>
        <v>163</v>
      </c>
      <c r="L459">
        <f t="shared" si="31"/>
        <v>7</v>
      </c>
    </row>
    <row r="460" spans="1:12" x14ac:dyDescent="0.35">
      <c r="A460" s="14">
        <v>0</v>
      </c>
      <c r="B460" s="15">
        <v>1</v>
      </c>
      <c r="C460" s="15">
        <v>0.28789999999999999</v>
      </c>
      <c r="D460" s="15">
        <v>0.81</v>
      </c>
      <c r="E460" s="15">
        <v>0</v>
      </c>
      <c r="F460" s="15">
        <v>3</v>
      </c>
      <c r="G460" s="15">
        <v>13</v>
      </c>
      <c r="H460" s="16">
        <v>16</v>
      </c>
      <c r="I460" t="str">
        <f t="shared" si="28"/>
        <v>REC-000</v>
      </c>
      <c r="J460" t="str">
        <f t="shared" si="29"/>
        <v>REC</v>
      </c>
      <c r="K460" t="str">
        <f t="shared" si="30"/>
        <v>000</v>
      </c>
      <c r="L460">
        <f t="shared" si="31"/>
        <v>7</v>
      </c>
    </row>
    <row r="461" spans="1:12" x14ac:dyDescent="0.35">
      <c r="A461" s="14">
        <v>530</v>
      </c>
      <c r="B461" s="15">
        <v>531</v>
      </c>
      <c r="C461" s="15">
        <v>7.5800000000000006E-2</v>
      </c>
      <c r="D461" s="15">
        <v>0.48</v>
      </c>
      <c r="E461" s="15">
        <v>8.9599999999999999E-2</v>
      </c>
      <c r="F461" s="15">
        <v>0</v>
      </c>
      <c r="G461" s="15">
        <v>15</v>
      </c>
      <c r="H461" s="16">
        <v>15</v>
      </c>
      <c r="I461" t="str">
        <f t="shared" si="28"/>
        <v>REC-530</v>
      </c>
      <c r="J461" t="str">
        <f t="shared" si="29"/>
        <v>REC</v>
      </c>
      <c r="K461" t="str">
        <f t="shared" si="30"/>
        <v>530</v>
      </c>
      <c r="L461">
        <f t="shared" si="31"/>
        <v>7</v>
      </c>
    </row>
    <row r="462" spans="1:12" x14ac:dyDescent="0.35">
      <c r="A462" s="14">
        <v>169</v>
      </c>
      <c r="B462" s="15">
        <v>170</v>
      </c>
      <c r="C462" s="15">
        <v>0.18179999999999999</v>
      </c>
      <c r="D462" s="15">
        <v>0.93</v>
      </c>
      <c r="E462" s="15">
        <v>0.1045</v>
      </c>
      <c r="F462" s="15">
        <v>0</v>
      </c>
      <c r="G462" s="15">
        <v>15</v>
      </c>
      <c r="H462" s="16">
        <v>15</v>
      </c>
      <c r="I462" t="str">
        <f t="shared" si="28"/>
        <v>REC-169</v>
      </c>
      <c r="J462" t="str">
        <f t="shared" si="29"/>
        <v>REC</v>
      </c>
      <c r="K462" t="str">
        <f t="shared" si="30"/>
        <v>169</v>
      </c>
      <c r="L462">
        <f t="shared" si="31"/>
        <v>7</v>
      </c>
    </row>
    <row r="463" spans="1:12" x14ac:dyDescent="0.35">
      <c r="A463" s="14">
        <v>300</v>
      </c>
      <c r="B463" s="15">
        <v>301</v>
      </c>
      <c r="C463" s="15">
        <v>0.13639999999999999</v>
      </c>
      <c r="D463" s="15">
        <v>0.5</v>
      </c>
      <c r="E463" s="15">
        <v>0.19400000000000001</v>
      </c>
      <c r="F463" s="15">
        <v>1</v>
      </c>
      <c r="G463" s="15">
        <v>14</v>
      </c>
      <c r="H463" s="16">
        <v>15</v>
      </c>
      <c r="I463" t="str">
        <f t="shared" si="28"/>
        <v>REC-300</v>
      </c>
      <c r="J463" t="str">
        <f t="shared" si="29"/>
        <v>REC</v>
      </c>
      <c r="K463" t="str">
        <f t="shared" si="30"/>
        <v>300</v>
      </c>
      <c r="L463">
        <f t="shared" si="31"/>
        <v>7</v>
      </c>
    </row>
    <row r="464" spans="1:12" x14ac:dyDescent="0.35">
      <c r="A464" s="14">
        <v>160</v>
      </c>
      <c r="B464" s="15">
        <v>161</v>
      </c>
      <c r="C464" s="15">
        <v>0.19700000000000001</v>
      </c>
      <c r="D464" s="15">
        <v>0.51</v>
      </c>
      <c r="E464" s="15">
        <v>0.16420000000000001</v>
      </c>
      <c r="F464" s="15">
        <v>1</v>
      </c>
      <c r="G464" s="15">
        <v>14</v>
      </c>
      <c r="H464" s="16">
        <v>15</v>
      </c>
      <c r="I464" t="str">
        <f t="shared" si="28"/>
        <v>REC-160</v>
      </c>
      <c r="J464" t="str">
        <f t="shared" si="29"/>
        <v>REC</v>
      </c>
      <c r="K464" t="str">
        <f t="shared" si="30"/>
        <v>160</v>
      </c>
      <c r="L464">
        <f t="shared" si="31"/>
        <v>7</v>
      </c>
    </row>
    <row r="465" spans="1:12" x14ac:dyDescent="0.35">
      <c r="A465" s="14">
        <v>207</v>
      </c>
      <c r="B465" s="15">
        <v>208</v>
      </c>
      <c r="C465" s="15">
        <v>0.1212</v>
      </c>
      <c r="D465" s="15">
        <v>0.46</v>
      </c>
      <c r="E465" s="15">
        <v>0.29849999999999999</v>
      </c>
      <c r="F465" s="15">
        <v>5</v>
      </c>
      <c r="G465" s="15">
        <v>10</v>
      </c>
      <c r="H465" s="16">
        <v>15</v>
      </c>
      <c r="I465" t="str">
        <f t="shared" si="28"/>
        <v>REC-207</v>
      </c>
      <c r="J465" t="str">
        <f t="shared" si="29"/>
        <v>REC</v>
      </c>
      <c r="K465" t="str">
        <f t="shared" si="30"/>
        <v>207</v>
      </c>
      <c r="L465">
        <f t="shared" si="31"/>
        <v>7</v>
      </c>
    </row>
    <row r="466" spans="1:12" x14ac:dyDescent="0.35">
      <c r="A466" s="14">
        <v>351</v>
      </c>
      <c r="B466" s="15">
        <v>352</v>
      </c>
      <c r="C466" s="15">
        <v>0.2727</v>
      </c>
      <c r="D466" s="15">
        <v>0.69</v>
      </c>
      <c r="E466" s="15">
        <v>0</v>
      </c>
      <c r="F466" s="15">
        <v>9</v>
      </c>
      <c r="G466" s="15">
        <v>6</v>
      </c>
      <c r="H466" s="16">
        <v>15</v>
      </c>
      <c r="I466" t="str">
        <f t="shared" si="28"/>
        <v>REC-351</v>
      </c>
      <c r="J466" t="str">
        <f t="shared" si="29"/>
        <v>REC</v>
      </c>
      <c r="K466" t="str">
        <f t="shared" si="30"/>
        <v>351</v>
      </c>
      <c r="L466">
        <f t="shared" si="31"/>
        <v>7</v>
      </c>
    </row>
    <row r="467" spans="1:12" x14ac:dyDescent="0.35">
      <c r="A467" s="14">
        <v>301</v>
      </c>
      <c r="B467" s="15">
        <v>302</v>
      </c>
      <c r="C467" s="15">
        <v>0.13639999999999999</v>
      </c>
      <c r="D467" s="15">
        <v>0.5</v>
      </c>
      <c r="E467" s="15">
        <v>0.19400000000000001</v>
      </c>
      <c r="F467" s="15">
        <v>0</v>
      </c>
      <c r="G467" s="15">
        <v>14</v>
      </c>
      <c r="H467" s="16">
        <v>14</v>
      </c>
      <c r="I467" t="str">
        <f t="shared" si="28"/>
        <v>REC-301</v>
      </c>
      <c r="J467" t="str">
        <f t="shared" si="29"/>
        <v>REC</v>
      </c>
      <c r="K467" t="str">
        <f t="shared" si="30"/>
        <v>301</v>
      </c>
      <c r="L467">
        <f t="shared" si="31"/>
        <v>7</v>
      </c>
    </row>
    <row r="468" spans="1:12" x14ac:dyDescent="0.35">
      <c r="A468" s="14">
        <v>9</v>
      </c>
      <c r="B468" s="15">
        <v>10</v>
      </c>
      <c r="C468" s="15">
        <v>0.34849999999999998</v>
      </c>
      <c r="D468" s="15">
        <v>0.76</v>
      </c>
      <c r="E468" s="15">
        <v>0</v>
      </c>
      <c r="F468" s="15">
        <v>8</v>
      </c>
      <c r="G468" s="15">
        <v>6</v>
      </c>
      <c r="H468" s="16">
        <v>14</v>
      </c>
      <c r="I468" t="str">
        <f t="shared" si="28"/>
        <v>REC-009</v>
      </c>
      <c r="J468" t="str">
        <f t="shared" si="29"/>
        <v>REC</v>
      </c>
      <c r="K468" t="str">
        <f t="shared" si="30"/>
        <v>009</v>
      </c>
      <c r="L468">
        <f t="shared" si="31"/>
        <v>7</v>
      </c>
    </row>
    <row r="469" spans="1:12" x14ac:dyDescent="0.35">
      <c r="A469" s="14">
        <v>479</v>
      </c>
      <c r="B469" s="15">
        <v>480</v>
      </c>
      <c r="C469" s="15">
        <v>3.0300000000000001E-2</v>
      </c>
      <c r="D469" s="15">
        <v>0.45</v>
      </c>
      <c r="E469" s="15">
        <v>0.25369999999999998</v>
      </c>
      <c r="F469" s="15">
        <v>0</v>
      </c>
      <c r="G469" s="15">
        <v>13</v>
      </c>
      <c r="H469" s="16">
        <v>13</v>
      </c>
      <c r="I469" t="str">
        <f t="shared" si="28"/>
        <v>REC-479</v>
      </c>
      <c r="J469" t="str">
        <f t="shared" si="29"/>
        <v>REC</v>
      </c>
      <c r="K469" t="str">
        <f t="shared" si="30"/>
        <v>479</v>
      </c>
      <c r="L469">
        <f t="shared" si="31"/>
        <v>7</v>
      </c>
    </row>
    <row r="470" spans="1:12" x14ac:dyDescent="0.35">
      <c r="A470" s="14">
        <v>394</v>
      </c>
      <c r="B470" s="15">
        <v>395</v>
      </c>
      <c r="C470" s="15">
        <v>0.1212</v>
      </c>
      <c r="D470" s="15">
        <v>0.93</v>
      </c>
      <c r="E470" s="15">
        <v>0.25369999999999998</v>
      </c>
      <c r="F470" s="15">
        <v>0</v>
      </c>
      <c r="G470" s="15">
        <v>13</v>
      </c>
      <c r="H470" s="16">
        <v>13</v>
      </c>
      <c r="I470" t="str">
        <f t="shared" si="28"/>
        <v>REC-394</v>
      </c>
      <c r="J470" t="str">
        <f t="shared" si="29"/>
        <v>REC</v>
      </c>
      <c r="K470" t="str">
        <f t="shared" si="30"/>
        <v>394</v>
      </c>
      <c r="L470">
        <f t="shared" si="31"/>
        <v>7</v>
      </c>
    </row>
    <row r="471" spans="1:12" x14ac:dyDescent="0.35">
      <c r="A471" s="14">
        <v>503</v>
      </c>
      <c r="B471" s="15">
        <v>504</v>
      </c>
      <c r="C471" s="15">
        <v>7.5800000000000006E-2</v>
      </c>
      <c r="D471" s="15">
        <v>0.56999999999999995</v>
      </c>
      <c r="E471" s="15">
        <v>0.1045</v>
      </c>
      <c r="F471" s="15">
        <v>1</v>
      </c>
      <c r="G471" s="15">
        <v>12</v>
      </c>
      <c r="H471" s="16">
        <v>13</v>
      </c>
      <c r="I471" t="str">
        <f t="shared" si="28"/>
        <v>REC-503</v>
      </c>
      <c r="J471" t="str">
        <f t="shared" si="29"/>
        <v>REC</v>
      </c>
      <c r="K471" t="str">
        <f t="shared" si="30"/>
        <v>503</v>
      </c>
      <c r="L471">
        <f t="shared" si="31"/>
        <v>7</v>
      </c>
    </row>
    <row r="472" spans="1:12" x14ac:dyDescent="0.35">
      <c r="A472" s="14">
        <v>3</v>
      </c>
      <c r="B472" s="15">
        <v>4</v>
      </c>
      <c r="C472" s="15">
        <v>0.28789999999999999</v>
      </c>
      <c r="D472" s="15">
        <v>0.75</v>
      </c>
      <c r="E472" s="15">
        <v>0</v>
      </c>
      <c r="F472" s="15">
        <v>3</v>
      </c>
      <c r="G472" s="15">
        <v>10</v>
      </c>
      <c r="H472" s="16">
        <v>13</v>
      </c>
      <c r="I472" t="str">
        <f t="shared" si="28"/>
        <v>REC-003</v>
      </c>
      <c r="J472" t="str">
        <f t="shared" si="29"/>
        <v>REC</v>
      </c>
      <c r="K472" t="str">
        <f t="shared" si="30"/>
        <v>003</v>
      </c>
      <c r="L472">
        <f t="shared" si="31"/>
        <v>7</v>
      </c>
    </row>
    <row r="473" spans="1:12" x14ac:dyDescent="0.35">
      <c r="A473" s="14">
        <v>379</v>
      </c>
      <c r="B473" s="15">
        <v>380</v>
      </c>
      <c r="C473" s="15">
        <v>0.18179999999999999</v>
      </c>
      <c r="D473" s="15">
        <v>0.5</v>
      </c>
      <c r="E473" s="15">
        <v>0.1343</v>
      </c>
      <c r="F473" s="15">
        <v>4</v>
      </c>
      <c r="G473" s="15">
        <v>9</v>
      </c>
      <c r="H473" s="16">
        <v>13</v>
      </c>
      <c r="I473" t="str">
        <f t="shared" si="28"/>
        <v>REC-379</v>
      </c>
      <c r="J473" t="str">
        <f t="shared" si="29"/>
        <v>REC</v>
      </c>
      <c r="K473" t="str">
        <f t="shared" si="30"/>
        <v>379</v>
      </c>
      <c r="L473">
        <f t="shared" si="31"/>
        <v>7</v>
      </c>
    </row>
    <row r="474" spans="1:12" x14ac:dyDescent="0.35">
      <c r="A474" s="14">
        <v>431</v>
      </c>
      <c r="B474" s="15">
        <v>432</v>
      </c>
      <c r="C474" s="15">
        <v>0.2273</v>
      </c>
      <c r="D474" s="15">
        <v>0.56000000000000005</v>
      </c>
      <c r="E474" s="15">
        <v>0.3881</v>
      </c>
      <c r="F474" s="15">
        <v>5</v>
      </c>
      <c r="G474" s="15">
        <v>8</v>
      </c>
      <c r="H474" s="16">
        <v>13</v>
      </c>
      <c r="I474" t="str">
        <f t="shared" si="28"/>
        <v>REC-431</v>
      </c>
      <c r="J474" t="str">
        <f t="shared" si="29"/>
        <v>REC</v>
      </c>
      <c r="K474" t="str">
        <f t="shared" si="30"/>
        <v>431</v>
      </c>
      <c r="L474">
        <f t="shared" si="31"/>
        <v>7</v>
      </c>
    </row>
    <row r="475" spans="1:12" x14ac:dyDescent="0.35">
      <c r="A475" s="14">
        <v>326</v>
      </c>
      <c r="B475" s="15">
        <v>327</v>
      </c>
      <c r="C475" s="15">
        <v>0.19700000000000001</v>
      </c>
      <c r="D475" s="15">
        <v>0.59</v>
      </c>
      <c r="E475" s="15">
        <v>8.9599999999999999E-2</v>
      </c>
      <c r="F475" s="15">
        <v>0</v>
      </c>
      <c r="G475" s="15">
        <v>12</v>
      </c>
      <c r="H475" s="16">
        <v>12</v>
      </c>
      <c r="I475" t="str">
        <f t="shared" si="28"/>
        <v>REC-326</v>
      </c>
      <c r="J475" t="str">
        <f t="shared" si="29"/>
        <v>REC</v>
      </c>
      <c r="K475" t="str">
        <f t="shared" si="30"/>
        <v>326</v>
      </c>
      <c r="L475">
        <f t="shared" si="31"/>
        <v>7</v>
      </c>
    </row>
    <row r="476" spans="1:12" x14ac:dyDescent="0.35">
      <c r="A476" s="14">
        <v>186</v>
      </c>
      <c r="B476" s="15">
        <v>187</v>
      </c>
      <c r="C476" s="15">
        <v>6.0600000000000001E-2</v>
      </c>
      <c r="D476" s="15">
        <v>0.42</v>
      </c>
      <c r="E476" s="15">
        <v>0.4627</v>
      </c>
      <c r="F476" s="15">
        <v>0</v>
      </c>
      <c r="G476" s="15">
        <v>12</v>
      </c>
      <c r="H476" s="16">
        <v>12</v>
      </c>
      <c r="I476" t="str">
        <f t="shared" si="28"/>
        <v>REC-186</v>
      </c>
      <c r="J476" t="str">
        <f t="shared" si="29"/>
        <v>REC</v>
      </c>
      <c r="K476" t="str">
        <f t="shared" si="30"/>
        <v>186</v>
      </c>
      <c r="L476">
        <f t="shared" si="31"/>
        <v>7</v>
      </c>
    </row>
    <row r="477" spans="1:12" x14ac:dyDescent="0.35">
      <c r="A477" s="14">
        <v>68</v>
      </c>
      <c r="B477" s="15">
        <v>69</v>
      </c>
      <c r="C477" s="15">
        <v>0.21210000000000001</v>
      </c>
      <c r="D477" s="15">
        <v>0.55000000000000004</v>
      </c>
      <c r="E477" s="15">
        <v>0.1045</v>
      </c>
      <c r="F477" s="15">
        <v>1</v>
      </c>
      <c r="G477" s="15">
        <v>11</v>
      </c>
      <c r="H477" s="16">
        <v>12</v>
      </c>
      <c r="I477" t="str">
        <f t="shared" si="28"/>
        <v>REC-068</v>
      </c>
      <c r="J477" t="str">
        <f t="shared" si="29"/>
        <v>REC</v>
      </c>
      <c r="K477" t="str">
        <f t="shared" si="30"/>
        <v>068</v>
      </c>
      <c r="L477">
        <f t="shared" si="31"/>
        <v>7</v>
      </c>
    </row>
    <row r="478" spans="1:12" x14ac:dyDescent="0.35">
      <c r="A478" s="14">
        <v>233</v>
      </c>
      <c r="B478" s="15">
        <v>234</v>
      </c>
      <c r="C478" s="15">
        <v>0.16669999999999999</v>
      </c>
      <c r="D478" s="15">
        <v>0.59</v>
      </c>
      <c r="E478" s="15">
        <v>0.1045</v>
      </c>
      <c r="F478" s="15">
        <v>2</v>
      </c>
      <c r="G478" s="15">
        <v>10</v>
      </c>
      <c r="H478" s="16">
        <v>12</v>
      </c>
      <c r="I478" t="str">
        <f t="shared" si="28"/>
        <v>REC-233</v>
      </c>
      <c r="J478" t="str">
        <f t="shared" si="29"/>
        <v>REC</v>
      </c>
      <c r="K478" t="str">
        <f t="shared" si="30"/>
        <v>233</v>
      </c>
      <c r="L478">
        <f t="shared" si="31"/>
        <v>7</v>
      </c>
    </row>
    <row r="479" spans="1:12" x14ac:dyDescent="0.35">
      <c r="A479" s="14">
        <v>480</v>
      </c>
      <c r="B479" s="15">
        <v>481</v>
      </c>
      <c r="C479" s="15">
        <v>0</v>
      </c>
      <c r="D479" s="15">
        <v>0.41</v>
      </c>
      <c r="E479" s="15">
        <v>0.3881</v>
      </c>
      <c r="F479" s="15">
        <v>3</v>
      </c>
      <c r="G479" s="15">
        <v>9</v>
      </c>
      <c r="H479" s="16">
        <v>12</v>
      </c>
      <c r="I479" t="str">
        <f t="shared" si="28"/>
        <v>REC-480</v>
      </c>
      <c r="J479" t="str">
        <f t="shared" si="29"/>
        <v>REC</v>
      </c>
      <c r="K479" t="str">
        <f t="shared" si="30"/>
        <v>480</v>
      </c>
      <c r="L479">
        <f t="shared" si="31"/>
        <v>7</v>
      </c>
    </row>
    <row r="480" spans="1:12" x14ac:dyDescent="0.35">
      <c r="A480" s="14">
        <v>481</v>
      </c>
      <c r="B480" s="15">
        <v>482</v>
      </c>
      <c r="C480" s="15">
        <v>3.0300000000000001E-2</v>
      </c>
      <c r="D480" s="15">
        <v>0.41</v>
      </c>
      <c r="E480" s="15">
        <v>0.25369999999999998</v>
      </c>
      <c r="F480" s="15">
        <v>0</v>
      </c>
      <c r="G480" s="15">
        <v>11</v>
      </c>
      <c r="H480" s="16">
        <v>11</v>
      </c>
      <c r="I480" t="str">
        <f t="shared" si="28"/>
        <v>REC-481</v>
      </c>
      <c r="J480" t="str">
        <f t="shared" si="29"/>
        <v>REC</v>
      </c>
      <c r="K480" t="str">
        <f t="shared" si="30"/>
        <v>481</v>
      </c>
      <c r="L480">
        <f t="shared" si="31"/>
        <v>7</v>
      </c>
    </row>
    <row r="481" spans="1:12" x14ac:dyDescent="0.35">
      <c r="A481" s="14">
        <v>187</v>
      </c>
      <c r="B481" s="15">
        <v>188</v>
      </c>
      <c r="C481" s="15">
        <v>6.0600000000000001E-2</v>
      </c>
      <c r="D481" s="15">
        <v>0.46</v>
      </c>
      <c r="E481" s="15">
        <v>0.4627</v>
      </c>
      <c r="F481" s="15">
        <v>0</v>
      </c>
      <c r="G481" s="15">
        <v>11</v>
      </c>
      <c r="H481" s="16">
        <v>11</v>
      </c>
      <c r="I481" t="str">
        <f t="shared" si="28"/>
        <v>REC-187</v>
      </c>
      <c r="J481" t="str">
        <f t="shared" si="29"/>
        <v>REC</v>
      </c>
      <c r="K481" t="str">
        <f t="shared" si="30"/>
        <v>187</v>
      </c>
      <c r="L481">
        <f t="shared" si="31"/>
        <v>7</v>
      </c>
    </row>
    <row r="482" spans="1:12" x14ac:dyDescent="0.35">
      <c r="A482" s="14">
        <v>115</v>
      </c>
      <c r="B482" s="15">
        <v>116</v>
      </c>
      <c r="C482" s="15">
        <v>0.2424</v>
      </c>
      <c r="D482" s="15">
        <v>0.55000000000000004</v>
      </c>
      <c r="E482" s="15">
        <v>0</v>
      </c>
      <c r="F482" s="15">
        <v>0</v>
      </c>
      <c r="G482" s="15">
        <v>11</v>
      </c>
      <c r="H482" s="16">
        <v>11</v>
      </c>
      <c r="I482" t="str">
        <f t="shared" si="28"/>
        <v>REC-115</v>
      </c>
      <c r="J482" t="str">
        <f t="shared" si="29"/>
        <v>REC</v>
      </c>
      <c r="K482" t="str">
        <f t="shared" si="30"/>
        <v>115</v>
      </c>
      <c r="L482">
        <f t="shared" si="31"/>
        <v>7</v>
      </c>
    </row>
    <row r="483" spans="1:12" x14ac:dyDescent="0.35">
      <c r="A483" s="14">
        <v>91</v>
      </c>
      <c r="B483" s="15">
        <v>92</v>
      </c>
      <c r="C483" s="15">
        <v>0.2273</v>
      </c>
      <c r="D483" s="15">
        <v>0.69</v>
      </c>
      <c r="E483" s="15">
        <v>8.9599999999999999E-2</v>
      </c>
      <c r="F483" s="15">
        <v>2</v>
      </c>
      <c r="G483" s="15">
        <v>9</v>
      </c>
      <c r="H483" s="16">
        <v>11</v>
      </c>
      <c r="I483" t="str">
        <f t="shared" si="28"/>
        <v>REC-091</v>
      </c>
      <c r="J483" t="str">
        <f t="shared" si="29"/>
        <v>REC</v>
      </c>
      <c r="K483" t="str">
        <f t="shared" si="30"/>
        <v>091</v>
      </c>
      <c r="L483">
        <f t="shared" si="31"/>
        <v>7</v>
      </c>
    </row>
    <row r="484" spans="1:12" x14ac:dyDescent="0.35">
      <c r="A484" s="14">
        <v>193</v>
      </c>
      <c r="B484" s="15">
        <v>194</v>
      </c>
      <c r="C484" s="15">
        <v>9.0899999999999995E-2</v>
      </c>
      <c r="D484" s="15">
        <v>0.49</v>
      </c>
      <c r="E484" s="15">
        <v>0.28360000000000002</v>
      </c>
      <c r="F484" s="15">
        <v>0</v>
      </c>
      <c r="G484" s="15">
        <v>10</v>
      </c>
      <c r="H484" s="16">
        <v>10</v>
      </c>
      <c r="I484" t="str">
        <f t="shared" si="28"/>
        <v>REC-193</v>
      </c>
      <c r="J484" t="str">
        <f t="shared" si="29"/>
        <v>REC</v>
      </c>
      <c r="K484" t="str">
        <f t="shared" si="30"/>
        <v>193</v>
      </c>
      <c r="L484">
        <f t="shared" si="31"/>
        <v>7</v>
      </c>
    </row>
    <row r="485" spans="1:12" x14ac:dyDescent="0.35">
      <c r="A485" s="14">
        <v>331</v>
      </c>
      <c r="B485" s="15">
        <v>332</v>
      </c>
      <c r="C485" s="15">
        <v>0.21210000000000001</v>
      </c>
      <c r="D485" s="15">
        <v>0.63</v>
      </c>
      <c r="E485" s="15">
        <v>0</v>
      </c>
      <c r="F485" s="15">
        <v>1</v>
      </c>
      <c r="G485" s="15">
        <v>9</v>
      </c>
      <c r="H485" s="16">
        <v>10</v>
      </c>
      <c r="I485" t="str">
        <f t="shared" si="28"/>
        <v>REC-331</v>
      </c>
      <c r="J485" t="str">
        <f t="shared" si="29"/>
        <v>REC</v>
      </c>
      <c r="K485" t="str">
        <f t="shared" si="30"/>
        <v>331</v>
      </c>
      <c r="L485">
        <f t="shared" si="31"/>
        <v>7</v>
      </c>
    </row>
    <row r="486" spans="1:12" x14ac:dyDescent="0.35">
      <c r="A486" s="14">
        <v>573</v>
      </c>
      <c r="B486" s="15">
        <v>574</v>
      </c>
      <c r="C486" s="15">
        <v>0.2273</v>
      </c>
      <c r="D486" s="15">
        <v>0.69</v>
      </c>
      <c r="E486" s="15">
        <v>0.19400000000000001</v>
      </c>
      <c r="F486" s="15">
        <v>3</v>
      </c>
      <c r="G486" s="15">
        <v>7</v>
      </c>
      <c r="H486" s="16">
        <v>10</v>
      </c>
      <c r="I486" t="str">
        <f t="shared" si="28"/>
        <v>REC-573</v>
      </c>
      <c r="J486" t="str">
        <f t="shared" si="29"/>
        <v>REC</v>
      </c>
      <c r="K486" t="str">
        <f t="shared" si="30"/>
        <v>573</v>
      </c>
      <c r="L486">
        <f t="shared" si="31"/>
        <v>7</v>
      </c>
    </row>
    <row r="487" spans="1:12" x14ac:dyDescent="0.35">
      <c r="A487" s="14">
        <v>595</v>
      </c>
      <c r="B487" s="15">
        <v>596</v>
      </c>
      <c r="C487" s="15">
        <v>0.21210000000000001</v>
      </c>
      <c r="D487" s="15">
        <v>0.75</v>
      </c>
      <c r="E487" s="15">
        <v>0.1343</v>
      </c>
      <c r="F487" s="15">
        <v>0</v>
      </c>
      <c r="G487" s="15">
        <v>9</v>
      </c>
      <c r="H487" s="16">
        <v>9</v>
      </c>
      <c r="I487" t="str">
        <f t="shared" si="28"/>
        <v>REC-595</v>
      </c>
      <c r="J487" t="str">
        <f t="shared" si="29"/>
        <v>REC</v>
      </c>
      <c r="K487" t="str">
        <f t="shared" si="30"/>
        <v>595</v>
      </c>
      <c r="L487">
        <f t="shared" si="31"/>
        <v>7</v>
      </c>
    </row>
    <row r="488" spans="1:12" x14ac:dyDescent="0.35">
      <c r="A488" s="14">
        <v>552</v>
      </c>
      <c r="B488" s="15">
        <v>553</v>
      </c>
      <c r="C488" s="15">
        <v>0.13639999999999999</v>
      </c>
      <c r="D488" s="15">
        <v>0.74</v>
      </c>
      <c r="E488" s="15">
        <v>0.22389999999999999</v>
      </c>
      <c r="F488" s="15">
        <v>0</v>
      </c>
      <c r="G488" s="15">
        <v>9</v>
      </c>
      <c r="H488" s="16">
        <v>9</v>
      </c>
      <c r="I488" t="str">
        <f t="shared" si="28"/>
        <v>REC-552</v>
      </c>
      <c r="J488" t="str">
        <f t="shared" si="29"/>
        <v>REC</v>
      </c>
      <c r="K488" t="str">
        <f t="shared" si="30"/>
        <v>552</v>
      </c>
      <c r="L488">
        <f t="shared" si="31"/>
        <v>7</v>
      </c>
    </row>
    <row r="489" spans="1:12" x14ac:dyDescent="0.35">
      <c r="A489" s="14">
        <v>45</v>
      </c>
      <c r="B489" s="15">
        <v>46</v>
      </c>
      <c r="C489" s="15">
        <v>0.21210000000000001</v>
      </c>
      <c r="D489" s="15">
        <v>0.44</v>
      </c>
      <c r="E489" s="15">
        <v>0.29849999999999999</v>
      </c>
      <c r="F489" s="15">
        <v>0</v>
      </c>
      <c r="G489" s="15">
        <v>9</v>
      </c>
      <c r="H489" s="16">
        <v>9</v>
      </c>
      <c r="I489" t="str">
        <f t="shared" si="28"/>
        <v>REC-045</v>
      </c>
      <c r="J489" t="str">
        <f t="shared" si="29"/>
        <v>REC</v>
      </c>
      <c r="K489" t="str">
        <f t="shared" si="30"/>
        <v>045</v>
      </c>
      <c r="L489">
        <f t="shared" si="31"/>
        <v>7</v>
      </c>
    </row>
    <row r="490" spans="1:12" x14ac:dyDescent="0.35">
      <c r="A490" s="14">
        <v>168</v>
      </c>
      <c r="B490" s="15">
        <v>169</v>
      </c>
      <c r="C490" s="15">
        <v>0.18179999999999999</v>
      </c>
      <c r="D490" s="15">
        <v>0.74</v>
      </c>
      <c r="E490" s="15">
        <v>0.1045</v>
      </c>
      <c r="F490" s="15">
        <v>1</v>
      </c>
      <c r="G490" s="15">
        <v>8</v>
      </c>
      <c r="H490" s="16">
        <v>9</v>
      </c>
      <c r="I490" t="str">
        <f t="shared" si="28"/>
        <v>REC-168</v>
      </c>
      <c r="J490" t="str">
        <f t="shared" si="29"/>
        <v>REC</v>
      </c>
      <c r="K490" t="str">
        <f t="shared" si="30"/>
        <v>168</v>
      </c>
      <c r="L490">
        <f t="shared" si="31"/>
        <v>7</v>
      </c>
    </row>
    <row r="491" spans="1:12" x14ac:dyDescent="0.35">
      <c r="A491" s="14">
        <v>26</v>
      </c>
      <c r="B491" s="15">
        <v>27</v>
      </c>
      <c r="C491" s="15">
        <v>0.42420000000000002</v>
      </c>
      <c r="D491" s="15">
        <v>1</v>
      </c>
      <c r="E491" s="15">
        <v>0.28360000000000002</v>
      </c>
      <c r="F491" s="15">
        <v>1</v>
      </c>
      <c r="G491" s="15">
        <v>8</v>
      </c>
      <c r="H491" s="16">
        <v>9</v>
      </c>
      <c r="I491" t="str">
        <f t="shared" si="28"/>
        <v>REC-026</v>
      </c>
      <c r="J491" t="str">
        <f t="shared" si="29"/>
        <v>REC</v>
      </c>
      <c r="K491" t="str">
        <f t="shared" si="30"/>
        <v>026</v>
      </c>
      <c r="L491">
        <f t="shared" si="31"/>
        <v>7</v>
      </c>
    </row>
    <row r="492" spans="1:12" x14ac:dyDescent="0.35">
      <c r="A492" s="14">
        <v>548</v>
      </c>
      <c r="B492" s="15">
        <v>549</v>
      </c>
      <c r="C492" s="15">
        <v>0.13639999999999999</v>
      </c>
      <c r="D492" s="15">
        <v>0.69</v>
      </c>
      <c r="E492" s="15">
        <v>0.28360000000000002</v>
      </c>
      <c r="F492" s="15">
        <v>3</v>
      </c>
      <c r="G492" s="15">
        <v>6</v>
      </c>
      <c r="H492" s="16">
        <v>9</v>
      </c>
      <c r="I492" t="str">
        <f t="shared" si="28"/>
        <v>REC-548</v>
      </c>
      <c r="J492" t="str">
        <f t="shared" si="29"/>
        <v>REC</v>
      </c>
      <c r="K492" t="str">
        <f t="shared" si="30"/>
        <v>548</v>
      </c>
      <c r="L492">
        <f t="shared" si="31"/>
        <v>7</v>
      </c>
    </row>
    <row r="493" spans="1:12" x14ac:dyDescent="0.35">
      <c r="A493" s="14">
        <v>575</v>
      </c>
      <c r="B493" s="15">
        <v>576</v>
      </c>
      <c r="C493" s="15">
        <v>0.18179999999999999</v>
      </c>
      <c r="D493" s="15">
        <v>0.86</v>
      </c>
      <c r="E493" s="15">
        <v>0.28360000000000002</v>
      </c>
      <c r="F493" s="15">
        <v>0</v>
      </c>
      <c r="G493" s="15">
        <v>8</v>
      </c>
      <c r="H493" s="16">
        <v>8</v>
      </c>
      <c r="I493" t="str">
        <f t="shared" si="28"/>
        <v>REC-575</v>
      </c>
      <c r="J493" t="str">
        <f t="shared" si="29"/>
        <v>REC</v>
      </c>
      <c r="K493" t="str">
        <f t="shared" si="30"/>
        <v>575</v>
      </c>
      <c r="L493">
        <f t="shared" si="31"/>
        <v>7</v>
      </c>
    </row>
    <row r="494" spans="1:12" x14ac:dyDescent="0.35">
      <c r="A494" s="14">
        <v>485</v>
      </c>
      <c r="B494" s="15">
        <v>486</v>
      </c>
      <c r="C494" s="15">
        <v>1.52E-2</v>
      </c>
      <c r="D494" s="15">
        <v>0.44</v>
      </c>
      <c r="E494" s="15">
        <v>0.28360000000000002</v>
      </c>
      <c r="F494" s="15">
        <v>0</v>
      </c>
      <c r="G494" s="15">
        <v>8</v>
      </c>
      <c r="H494" s="16">
        <v>8</v>
      </c>
      <c r="I494" t="str">
        <f t="shared" si="28"/>
        <v>REC-485</v>
      </c>
      <c r="J494" t="str">
        <f t="shared" si="29"/>
        <v>REC</v>
      </c>
      <c r="K494" t="str">
        <f t="shared" si="30"/>
        <v>485</v>
      </c>
      <c r="L494">
        <f t="shared" si="31"/>
        <v>7</v>
      </c>
    </row>
    <row r="495" spans="1:12" x14ac:dyDescent="0.35">
      <c r="A495" s="14">
        <v>374</v>
      </c>
      <c r="B495" s="15">
        <v>375</v>
      </c>
      <c r="C495" s="15">
        <v>0.16669999999999999</v>
      </c>
      <c r="D495" s="15">
        <v>0.43</v>
      </c>
      <c r="E495" s="15">
        <v>0.25369999999999998</v>
      </c>
      <c r="F495" s="15">
        <v>0</v>
      </c>
      <c r="G495" s="15">
        <v>8</v>
      </c>
      <c r="H495" s="16">
        <v>8</v>
      </c>
      <c r="I495" t="str">
        <f t="shared" si="28"/>
        <v>REC-374</v>
      </c>
      <c r="J495" t="str">
        <f t="shared" si="29"/>
        <v>REC</v>
      </c>
      <c r="K495" t="str">
        <f t="shared" si="30"/>
        <v>374</v>
      </c>
      <c r="L495">
        <f t="shared" si="31"/>
        <v>7</v>
      </c>
    </row>
    <row r="496" spans="1:12" x14ac:dyDescent="0.35">
      <c r="A496" s="14">
        <v>305</v>
      </c>
      <c r="B496" s="15">
        <v>306</v>
      </c>
      <c r="C496" s="15">
        <v>0.13639999999999999</v>
      </c>
      <c r="D496" s="15">
        <v>0.54</v>
      </c>
      <c r="E496" s="15">
        <v>8.9599999999999999E-2</v>
      </c>
      <c r="F496" s="15">
        <v>0</v>
      </c>
      <c r="G496" s="15">
        <v>8</v>
      </c>
      <c r="H496" s="16">
        <v>8</v>
      </c>
      <c r="I496" t="str">
        <f t="shared" si="28"/>
        <v>REC-305</v>
      </c>
      <c r="J496" t="str">
        <f t="shared" si="29"/>
        <v>REC</v>
      </c>
      <c r="K496" t="str">
        <f t="shared" si="30"/>
        <v>305</v>
      </c>
      <c r="L496">
        <f t="shared" si="31"/>
        <v>7</v>
      </c>
    </row>
    <row r="497" spans="1:12" x14ac:dyDescent="0.35">
      <c r="A497" s="14">
        <v>46</v>
      </c>
      <c r="B497" s="15">
        <v>47</v>
      </c>
      <c r="C497" s="15">
        <v>0.2273</v>
      </c>
      <c r="D497" s="15">
        <v>0.47</v>
      </c>
      <c r="E497" s="15">
        <v>0.16420000000000001</v>
      </c>
      <c r="F497" s="15">
        <v>0</v>
      </c>
      <c r="G497" s="15">
        <v>8</v>
      </c>
      <c r="H497" s="16">
        <v>8</v>
      </c>
      <c r="I497" t="str">
        <f t="shared" si="28"/>
        <v>REC-046</v>
      </c>
      <c r="J497" t="str">
        <f t="shared" si="29"/>
        <v>REC</v>
      </c>
      <c r="K497" t="str">
        <f t="shared" si="30"/>
        <v>046</v>
      </c>
      <c r="L497">
        <f t="shared" si="31"/>
        <v>7</v>
      </c>
    </row>
    <row r="498" spans="1:12" x14ac:dyDescent="0.35">
      <c r="A498" s="14">
        <v>31</v>
      </c>
      <c r="B498" s="15">
        <v>32</v>
      </c>
      <c r="C498" s="15">
        <v>0.40910000000000002</v>
      </c>
      <c r="D498" s="15">
        <v>0.71</v>
      </c>
      <c r="E498" s="15">
        <v>0.22389999999999999</v>
      </c>
      <c r="F498" s="15">
        <v>0</v>
      </c>
      <c r="G498" s="15">
        <v>8</v>
      </c>
      <c r="H498" s="16">
        <v>8</v>
      </c>
      <c r="I498" t="str">
        <f t="shared" si="28"/>
        <v>REC-031</v>
      </c>
      <c r="J498" t="str">
        <f t="shared" si="29"/>
        <v>REC</v>
      </c>
      <c r="K498" t="str">
        <f t="shared" si="30"/>
        <v>031</v>
      </c>
      <c r="L498">
        <f t="shared" si="31"/>
        <v>7</v>
      </c>
    </row>
    <row r="499" spans="1:12" x14ac:dyDescent="0.35">
      <c r="A499" s="14">
        <v>327</v>
      </c>
      <c r="B499" s="15">
        <v>328</v>
      </c>
      <c r="C499" s="15">
        <v>0.2273</v>
      </c>
      <c r="D499" s="15">
        <v>0.59</v>
      </c>
      <c r="E499" s="15">
        <v>0</v>
      </c>
      <c r="F499" s="15">
        <v>1</v>
      </c>
      <c r="G499" s="15">
        <v>7</v>
      </c>
      <c r="H499" s="16">
        <v>8</v>
      </c>
      <c r="I499" t="str">
        <f t="shared" si="28"/>
        <v>REC-327</v>
      </c>
      <c r="J499" t="str">
        <f t="shared" si="29"/>
        <v>REC</v>
      </c>
      <c r="K499" t="str">
        <f t="shared" si="30"/>
        <v>327</v>
      </c>
      <c r="L499">
        <f t="shared" si="31"/>
        <v>7</v>
      </c>
    </row>
    <row r="500" spans="1:12" x14ac:dyDescent="0.35">
      <c r="A500" s="14">
        <v>8</v>
      </c>
      <c r="B500" s="15">
        <v>9</v>
      </c>
      <c r="C500" s="17"/>
      <c r="D500" s="15">
        <v>0.75</v>
      </c>
      <c r="E500" s="15">
        <v>0</v>
      </c>
      <c r="F500" s="15">
        <v>1</v>
      </c>
      <c r="G500" s="15">
        <v>7</v>
      </c>
      <c r="H500" s="16">
        <v>8</v>
      </c>
      <c r="I500" t="str">
        <f t="shared" si="28"/>
        <v>REC-008</v>
      </c>
      <c r="J500" t="str">
        <f t="shared" si="29"/>
        <v>REC</v>
      </c>
      <c r="K500" t="str">
        <f t="shared" si="30"/>
        <v>008</v>
      </c>
      <c r="L500">
        <f t="shared" si="31"/>
        <v>7</v>
      </c>
    </row>
    <row r="501" spans="1:12" x14ac:dyDescent="0.35">
      <c r="A501" s="14">
        <v>525</v>
      </c>
      <c r="B501" s="15">
        <v>526</v>
      </c>
      <c r="C501" s="15">
        <v>6.0600000000000001E-2</v>
      </c>
      <c r="D501" s="15">
        <v>0.41</v>
      </c>
      <c r="E501" s="15">
        <v>0.19400000000000001</v>
      </c>
      <c r="F501" s="15">
        <v>0</v>
      </c>
      <c r="G501" s="15">
        <v>7</v>
      </c>
      <c r="H501" s="16">
        <v>7</v>
      </c>
      <c r="I501" t="str">
        <f t="shared" si="28"/>
        <v>REC-525</v>
      </c>
      <c r="J501" t="str">
        <f t="shared" si="29"/>
        <v>REC</v>
      </c>
      <c r="K501" t="str">
        <f t="shared" si="30"/>
        <v>525</v>
      </c>
      <c r="L501">
        <f t="shared" si="31"/>
        <v>7</v>
      </c>
    </row>
    <row r="502" spans="1:12" x14ac:dyDescent="0.35">
      <c r="A502" s="14">
        <v>412</v>
      </c>
      <c r="B502" s="15">
        <v>413</v>
      </c>
      <c r="C502" s="15">
        <v>0.2576</v>
      </c>
      <c r="D502" s="15">
        <v>0.93</v>
      </c>
      <c r="E502" s="15">
        <v>8.9599999999999999E-2</v>
      </c>
      <c r="F502" s="15">
        <v>0</v>
      </c>
      <c r="G502" s="15">
        <v>7</v>
      </c>
      <c r="H502" s="16">
        <v>7</v>
      </c>
      <c r="I502" t="str">
        <f t="shared" si="28"/>
        <v>REC-412</v>
      </c>
      <c r="J502" t="str">
        <f t="shared" si="29"/>
        <v>REC</v>
      </c>
      <c r="K502" t="str">
        <f t="shared" si="30"/>
        <v>412</v>
      </c>
      <c r="L502">
        <f t="shared" si="31"/>
        <v>7</v>
      </c>
    </row>
    <row r="503" spans="1:12" x14ac:dyDescent="0.35">
      <c r="A503" s="14">
        <v>255</v>
      </c>
      <c r="B503" s="15">
        <v>256</v>
      </c>
      <c r="C503" s="15">
        <v>0.19700000000000001</v>
      </c>
      <c r="D503" s="15">
        <v>0.86</v>
      </c>
      <c r="E503" s="15">
        <v>8.9599999999999999E-2</v>
      </c>
      <c r="F503" s="15">
        <v>0</v>
      </c>
      <c r="G503" s="15">
        <v>7</v>
      </c>
      <c r="H503" s="16">
        <v>7</v>
      </c>
      <c r="I503" t="str">
        <f t="shared" si="28"/>
        <v>REC-255</v>
      </c>
      <c r="J503" t="str">
        <f t="shared" si="29"/>
        <v>REC</v>
      </c>
      <c r="K503" t="str">
        <f t="shared" si="30"/>
        <v>255</v>
      </c>
      <c r="L503">
        <f t="shared" si="31"/>
        <v>7</v>
      </c>
    </row>
    <row r="504" spans="1:12" x14ac:dyDescent="0.35">
      <c r="A504" s="14">
        <v>164</v>
      </c>
      <c r="B504" s="15">
        <v>165</v>
      </c>
      <c r="C504" s="15">
        <v>0.19700000000000001</v>
      </c>
      <c r="D504" s="15">
        <v>0.55000000000000004</v>
      </c>
      <c r="E504" s="15">
        <v>0.16420000000000001</v>
      </c>
      <c r="F504" s="15">
        <v>0</v>
      </c>
      <c r="G504" s="15">
        <v>7</v>
      </c>
      <c r="H504" s="16">
        <v>7</v>
      </c>
      <c r="I504" t="str">
        <f t="shared" si="28"/>
        <v>REC-164</v>
      </c>
      <c r="J504" t="str">
        <f t="shared" si="29"/>
        <v>REC</v>
      </c>
      <c r="K504" t="str">
        <f t="shared" si="30"/>
        <v>164</v>
      </c>
      <c r="L504">
        <f t="shared" si="31"/>
        <v>7</v>
      </c>
    </row>
    <row r="505" spans="1:12" x14ac:dyDescent="0.35">
      <c r="A505" s="14">
        <v>482</v>
      </c>
      <c r="B505" s="15">
        <v>483</v>
      </c>
      <c r="C505" s="15">
        <v>3.0300000000000001E-2</v>
      </c>
      <c r="D505" s="15">
        <v>0.41</v>
      </c>
      <c r="E505" s="15">
        <v>0.28360000000000002</v>
      </c>
      <c r="F505" s="15">
        <v>1</v>
      </c>
      <c r="G505" s="15">
        <v>6</v>
      </c>
      <c r="H505" s="16">
        <v>7</v>
      </c>
      <c r="I505" t="str">
        <f t="shared" si="28"/>
        <v>REC-482</v>
      </c>
      <c r="J505" t="str">
        <f t="shared" si="29"/>
        <v>REC</v>
      </c>
      <c r="K505" t="str">
        <f t="shared" si="30"/>
        <v>482</v>
      </c>
      <c r="L505">
        <f t="shared" si="31"/>
        <v>7</v>
      </c>
    </row>
    <row r="506" spans="1:12" x14ac:dyDescent="0.35">
      <c r="A506" s="14">
        <v>409</v>
      </c>
      <c r="B506" s="15">
        <v>410</v>
      </c>
      <c r="C506" s="15">
        <v>0.2273</v>
      </c>
      <c r="D506" s="15">
        <v>0.93</v>
      </c>
      <c r="E506" s="15">
        <v>0.1343</v>
      </c>
      <c r="F506" s="15">
        <v>1</v>
      </c>
      <c r="G506" s="15">
        <v>6</v>
      </c>
      <c r="H506" s="16">
        <v>7</v>
      </c>
      <c r="I506" t="str">
        <f t="shared" si="28"/>
        <v>REC-409</v>
      </c>
      <c r="J506" t="str">
        <f t="shared" si="29"/>
        <v>REC</v>
      </c>
      <c r="K506" t="str">
        <f t="shared" si="30"/>
        <v>409</v>
      </c>
      <c r="L506">
        <f t="shared" si="31"/>
        <v>7</v>
      </c>
    </row>
    <row r="507" spans="1:12" x14ac:dyDescent="0.35">
      <c r="A507" s="14">
        <v>277</v>
      </c>
      <c r="B507" s="15">
        <v>278</v>
      </c>
      <c r="C507" s="15">
        <v>0.1212</v>
      </c>
      <c r="D507" s="15">
        <v>0.59</v>
      </c>
      <c r="E507" s="15">
        <v>0.28360000000000002</v>
      </c>
      <c r="F507" s="15">
        <v>1</v>
      </c>
      <c r="G507" s="15">
        <v>6</v>
      </c>
      <c r="H507" s="16">
        <v>7</v>
      </c>
      <c r="I507" t="str">
        <f t="shared" si="28"/>
        <v>REC-277</v>
      </c>
      <c r="J507" t="str">
        <f t="shared" si="29"/>
        <v>REC</v>
      </c>
      <c r="K507" t="str">
        <f t="shared" si="30"/>
        <v>277</v>
      </c>
      <c r="L507">
        <f t="shared" si="31"/>
        <v>7</v>
      </c>
    </row>
    <row r="508" spans="1:12" x14ac:dyDescent="0.35">
      <c r="A508" s="14">
        <v>139</v>
      </c>
      <c r="B508" s="15">
        <v>140</v>
      </c>
      <c r="C508" s="15">
        <v>0.19700000000000001</v>
      </c>
      <c r="D508" s="15">
        <v>0.69</v>
      </c>
      <c r="E508" s="15">
        <v>0.22389999999999999</v>
      </c>
      <c r="F508" s="15">
        <v>2</v>
      </c>
      <c r="G508" s="15">
        <v>5</v>
      </c>
      <c r="H508" s="16">
        <v>7</v>
      </c>
      <c r="I508" t="str">
        <f t="shared" si="28"/>
        <v>REC-139</v>
      </c>
      <c r="J508" t="str">
        <f t="shared" si="29"/>
        <v>REC</v>
      </c>
      <c r="K508" t="str">
        <f t="shared" si="30"/>
        <v>139</v>
      </c>
      <c r="L508">
        <f t="shared" si="31"/>
        <v>7</v>
      </c>
    </row>
    <row r="509" spans="1:12" x14ac:dyDescent="0.35">
      <c r="A509" s="14">
        <v>456</v>
      </c>
      <c r="B509" s="15">
        <v>457</v>
      </c>
      <c r="C509" s="15">
        <v>0.2273</v>
      </c>
      <c r="D509" s="15">
        <v>0.7</v>
      </c>
      <c r="E509" s="15">
        <v>0.25369999999999998</v>
      </c>
      <c r="F509" s="15">
        <v>0</v>
      </c>
      <c r="G509" s="15">
        <v>6</v>
      </c>
      <c r="H509" s="16">
        <v>6</v>
      </c>
      <c r="I509" t="str">
        <f t="shared" si="28"/>
        <v>REC-456</v>
      </c>
      <c r="J509" t="str">
        <f t="shared" si="29"/>
        <v>REC</v>
      </c>
      <c r="K509" t="str">
        <f t="shared" si="30"/>
        <v>456</v>
      </c>
      <c r="L509">
        <f t="shared" si="31"/>
        <v>7</v>
      </c>
    </row>
    <row r="510" spans="1:12" x14ac:dyDescent="0.35">
      <c r="A510" s="14">
        <v>436</v>
      </c>
      <c r="B510" s="15">
        <v>437</v>
      </c>
      <c r="C510" s="15">
        <v>0.2273</v>
      </c>
      <c r="D510" s="15">
        <v>0.6</v>
      </c>
      <c r="E510" s="15">
        <v>0.22389999999999999</v>
      </c>
      <c r="F510" s="15">
        <v>0</v>
      </c>
      <c r="G510" s="15">
        <v>6</v>
      </c>
      <c r="H510" s="16">
        <v>6</v>
      </c>
      <c r="I510" t="str">
        <f t="shared" si="28"/>
        <v>REC-436</v>
      </c>
      <c r="J510" t="str">
        <f t="shared" si="29"/>
        <v>REC</v>
      </c>
      <c r="K510" t="str">
        <f t="shared" si="30"/>
        <v>436</v>
      </c>
      <c r="L510">
        <f t="shared" si="31"/>
        <v>7</v>
      </c>
    </row>
    <row r="511" spans="1:12" x14ac:dyDescent="0.35">
      <c r="A511" s="14">
        <v>256</v>
      </c>
      <c r="B511" s="15">
        <v>257</v>
      </c>
      <c r="C511" s="15">
        <v>0.18179999999999999</v>
      </c>
      <c r="D511" s="15">
        <v>0.86</v>
      </c>
      <c r="E511" s="15">
        <v>0.1045</v>
      </c>
      <c r="F511" s="15">
        <v>0</v>
      </c>
      <c r="G511" s="15">
        <v>6</v>
      </c>
      <c r="H511" s="16">
        <v>6</v>
      </c>
      <c r="I511" t="str">
        <f t="shared" si="28"/>
        <v>REC-256</v>
      </c>
      <c r="J511" t="str">
        <f t="shared" si="29"/>
        <v>REC</v>
      </c>
      <c r="K511" t="str">
        <f t="shared" si="30"/>
        <v>256</v>
      </c>
      <c r="L511">
        <f t="shared" si="31"/>
        <v>7</v>
      </c>
    </row>
    <row r="512" spans="1:12" x14ac:dyDescent="0.35">
      <c r="A512" s="14">
        <v>236</v>
      </c>
      <c r="B512" s="15">
        <v>237</v>
      </c>
      <c r="C512" s="15">
        <v>0.18179999999999999</v>
      </c>
      <c r="D512" s="15">
        <v>0.55000000000000004</v>
      </c>
      <c r="E512" s="15">
        <v>0.1343</v>
      </c>
      <c r="F512" s="15">
        <v>0</v>
      </c>
      <c r="G512" s="15">
        <v>6</v>
      </c>
      <c r="H512" s="16">
        <v>6</v>
      </c>
      <c r="I512" t="str">
        <f t="shared" si="28"/>
        <v>REC-236</v>
      </c>
      <c r="J512" t="str">
        <f t="shared" si="29"/>
        <v>REC</v>
      </c>
      <c r="K512" t="str">
        <f t="shared" si="30"/>
        <v>236</v>
      </c>
      <c r="L512">
        <f t="shared" si="31"/>
        <v>7</v>
      </c>
    </row>
    <row r="513" spans="1:12" x14ac:dyDescent="0.35">
      <c r="A513" s="14">
        <v>208</v>
      </c>
      <c r="B513" s="15">
        <v>209</v>
      </c>
      <c r="C513" s="15">
        <v>0.13639999999999999</v>
      </c>
      <c r="D513" s="15">
        <v>0.5</v>
      </c>
      <c r="E513" s="15">
        <v>0.19400000000000001</v>
      </c>
      <c r="F513" s="15">
        <v>0</v>
      </c>
      <c r="G513" s="15">
        <v>6</v>
      </c>
      <c r="H513" s="16">
        <v>6</v>
      </c>
      <c r="I513" t="str">
        <f t="shared" si="28"/>
        <v>REC-208</v>
      </c>
      <c r="J513" t="str">
        <f t="shared" si="29"/>
        <v>REC</v>
      </c>
      <c r="K513" t="str">
        <f t="shared" si="30"/>
        <v>208</v>
      </c>
      <c r="L513">
        <f t="shared" si="31"/>
        <v>7</v>
      </c>
    </row>
    <row r="514" spans="1:12" x14ac:dyDescent="0.35">
      <c r="A514" s="14">
        <v>93</v>
      </c>
      <c r="B514" s="15">
        <v>94</v>
      </c>
      <c r="C514" s="15">
        <v>0.19700000000000001</v>
      </c>
      <c r="D514" s="15">
        <v>0.74</v>
      </c>
      <c r="E514" s="15">
        <v>8.9599999999999999E-2</v>
      </c>
      <c r="F514" s="15">
        <v>0</v>
      </c>
      <c r="G514" s="15">
        <v>6</v>
      </c>
      <c r="H514" s="16">
        <v>6</v>
      </c>
      <c r="I514" t="str">
        <f t="shared" si="28"/>
        <v>REC-093</v>
      </c>
      <c r="J514" t="str">
        <f t="shared" si="29"/>
        <v>REC</v>
      </c>
      <c r="K514" t="str">
        <f t="shared" si="30"/>
        <v>093</v>
      </c>
      <c r="L514">
        <f t="shared" si="31"/>
        <v>7</v>
      </c>
    </row>
    <row r="515" spans="1:12" x14ac:dyDescent="0.35">
      <c r="A515" s="14">
        <v>92</v>
      </c>
      <c r="B515" s="15">
        <v>93</v>
      </c>
      <c r="C515" s="15">
        <v>0.2576</v>
      </c>
      <c r="D515" s="15">
        <v>0.64</v>
      </c>
      <c r="E515" s="15">
        <v>0</v>
      </c>
      <c r="F515" s="15">
        <v>0</v>
      </c>
      <c r="G515" s="15">
        <v>6</v>
      </c>
      <c r="H515" s="16">
        <v>6</v>
      </c>
      <c r="I515" t="str">
        <f t="shared" ref="I515:I578" si="32">"REC-"&amp;TEXT(A515,"000")</f>
        <v>REC-092</v>
      </c>
      <c r="J515" t="str">
        <f t="shared" ref="J515:J578" si="33">LEFT(I515,3)</f>
        <v>REC</v>
      </c>
      <c r="K515" t="str">
        <f t="shared" ref="K515:K578" si="34">RIGHT(I515,3)</f>
        <v>092</v>
      </c>
      <c r="L515">
        <f t="shared" ref="L515:L578" si="35">LEN(I515)</f>
        <v>7</v>
      </c>
    </row>
    <row r="516" spans="1:12" x14ac:dyDescent="0.35">
      <c r="A516" s="14">
        <v>192</v>
      </c>
      <c r="B516" s="15">
        <v>193</v>
      </c>
      <c r="C516" s="15">
        <v>9.0899999999999995E-2</v>
      </c>
      <c r="D516" s="15">
        <v>0.53</v>
      </c>
      <c r="E516" s="15">
        <v>0.19400000000000001</v>
      </c>
      <c r="F516" s="15">
        <v>1</v>
      </c>
      <c r="G516" s="15">
        <v>5</v>
      </c>
      <c r="H516" s="16">
        <v>6</v>
      </c>
      <c r="I516" t="str">
        <f t="shared" si="32"/>
        <v>REC-192</v>
      </c>
      <c r="J516" t="str">
        <f t="shared" si="33"/>
        <v>REC</v>
      </c>
      <c r="K516" t="str">
        <f t="shared" si="34"/>
        <v>192</v>
      </c>
      <c r="L516">
        <f t="shared" si="35"/>
        <v>7</v>
      </c>
    </row>
    <row r="517" spans="1:12" x14ac:dyDescent="0.35">
      <c r="A517" s="14">
        <v>27</v>
      </c>
      <c r="B517" s="15">
        <v>28</v>
      </c>
      <c r="C517" s="15">
        <v>0.45450000000000002</v>
      </c>
      <c r="D517" s="15">
        <v>0.94</v>
      </c>
      <c r="E517" s="15">
        <v>0.19400000000000001</v>
      </c>
      <c r="F517" s="15">
        <v>2</v>
      </c>
      <c r="G517" s="15">
        <v>4</v>
      </c>
      <c r="H517" s="16">
        <v>6</v>
      </c>
      <c r="I517" t="str">
        <f t="shared" si="32"/>
        <v>REC-027</v>
      </c>
      <c r="J517" t="str">
        <f t="shared" si="33"/>
        <v>REC</v>
      </c>
      <c r="K517" t="str">
        <f t="shared" si="34"/>
        <v>027</v>
      </c>
      <c r="L517">
        <f t="shared" si="35"/>
        <v>7</v>
      </c>
    </row>
    <row r="518" spans="1:12" x14ac:dyDescent="0.35">
      <c r="A518" s="14">
        <v>572</v>
      </c>
      <c r="B518" s="15">
        <v>573</v>
      </c>
      <c r="C518" s="15">
        <v>0.2424</v>
      </c>
      <c r="D518" s="15">
        <v>0.65</v>
      </c>
      <c r="E518" s="15">
        <v>0.1343</v>
      </c>
      <c r="F518" s="15">
        <v>0</v>
      </c>
      <c r="G518" s="15">
        <v>5</v>
      </c>
      <c r="H518" s="16">
        <v>5</v>
      </c>
      <c r="I518" t="str">
        <f t="shared" si="32"/>
        <v>REC-572</v>
      </c>
      <c r="J518" t="str">
        <f t="shared" si="33"/>
        <v>REC</v>
      </c>
      <c r="K518" t="str">
        <f t="shared" si="34"/>
        <v>572</v>
      </c>
      <c r="L518">
        <f t="shared" si="35"/>
        <v>7</v>
      </c>
    </row>
    <row r="519" spans="1:12" x14ac:dyDescent="0.35">
      <c r="A519" s="14">
        <v>549</v>
      </c>
      <c r="B519" s="15">
        <v>550</v>
      </c>
      <c r="C519" s="15">
        <v>0.16669999999999999</v>
      </c>
      <c r="D519" s="15">
        <v>0.69</v>
      </c>
      <c r="E519" s="15">
        <v>0.16420000000000001</v>
      </c>
      <c r="F519" s="15">
        <v>0</v>
      </c>
      <c r="G519" s="15">
        <v>5</v>
      </c>
      <c r="H519" s="16">
        <v>5</v>
      </c>
      <c r="I519" t="str">
        <f t="shared" si="32"/>
        <v>REC-549</v>
      </c>
      <c r="J519" t="str">
        <f t="shared" si="33"/>
        <v>REC</v>
      </c>
      <c r="K519" t="str">
        <f t="shared" si="34"/>
        <v>549</v>
      </c>
      <c r="L519">
        <f t="shared" si="35"/>
        <v>7</v>
      </c>
    </row>
    <row r="520" spans="1:12" x14ac:dyDescent="0.35">
      <c r="A520" s="14">
        <v>529</v>
      </c>
      <c r="B520" s="15">
        <v>530</v>
      </c>
      <c r="C520" s="15">
        <v>6.0600000000000001E-2</v>
      </c>
      <c r="D520" s="15">
        <v>0.48</v>
      </c>
      <c r="E520" s="15">
        <v>0.1343</v>
      </c>
      <c r="F520" s="15">
        <v>0</v>
      </c>
      <c r="G520" s="15">
        <v>5</v>
      </c>
      <c r="H520" s="16">
        <v>5</v>
      </c>
      <c r="I520" t="str">
        <f t="shared" si="32"/>
        <v>REC-529</v>
      </c>
      <c r="J520" t="str">
        <f t="shared" si="33"/>
        <v>REC</v>
      </c>
      <c r="K520" t="str">
        <f t="shared" si="34"/>
        <v>529</v>
      </c>
      <c r="L520">
        <f t="shared" si="35"/>
        <v>7</v>
      </c>
    </row>
    <row r="521" spans="1:12" x14ac:dyDescent="0.35">
      <c r="A521" s="14">
        <v>378</v>
      </c>
      <c r="B521" s="15">
        <v>379</v>
      </c>
      <c r="C521" s="15">
        <v>0.18179999999999999</v>
      </c>
      <c r="D521" s="15">
        <v>0.43</v>
      </c>
      <c r="E521" s="15">
        <v>0.19400000000000001</v>
      </c>
      <c r="F521" s="15">
        <v>0</v>
      </c>
      <c r="G521" s="15">
        <v>5</v>
      </c>
      <c r="H521" s="16">
        <v>5</v>
      </c>
      <c r="I521" t="str">
        <f t="shared" si="32"/>
        <v>REC-378</v>
      </c>
      <c r="J521" t="str">
        <f t="shared" si="33"/>
        <v>REC</v>
      </c>
      <c r="K521" t="str">
        <f t="shared" si="34"/>
        <v>378</v>
      </c>
      <c r="L521">
        <f t="shared" si="35"/>
        <v>7</v>
      </c>
    </row>
    <row r="522" spans="1:12" x14ac:dyDescent="0.35">
      <c r="A522" s="14">
        <v>328</v>
      </c>
      <c r="B522" s="15">
        <v>329</v>
      </c>
      <c r="C522" s="15">
        <v>0.2273</v>
      </c>
      <c r="D522" s="15">
        <v>0.59</v>
      </c>
      <c r="E522" s="15">
        <v>0</v>
      </c>
      <c r="F522" s="15">
        <v>0</v>
      </c>
      <c r="G522" s="15">
        <v>5</v>
      </c>
      <c r="H522" s="16">
        <v>5</v>
      </c>
      <c r="I522" t="str">
        <f t="shared" si="32"/>
        <v>REC-328</v>
      </c>
      <c r="J522" t="str">
        <f t="shared" si="33"/>
        <v>REC</v>
      </c>
      <c r="K522" t="str">
        <f t="shared" si="34"/>
        <v>328</v>
      </c>
      <c r="L522">
        <f t="shared" si="35"/>
        <v>7</v>
      </c>
    </row>
    <row r="523" spans="1:12" x14ac:dyDescent="0.35">
      <c r="A523" s="14">
        <v>302</v>
      </c>
      <c r="B523" s="15">
        <v>303</v>
      </c>
      <c r="C523" s="15">
        <v>0.1212</v>
      </c>
      <c r="D523" s="15">
        <v>0.54</v>
      </c>
      <c r="E523" s="15">
        <v>0.16420000000000001</v>
      </c>
      <c r="F523" s="15">
        <v>0</v>
      </c>
      <c r="G523" s="15">
        <v>5</v>
      </c>
      <c r="H523" s="16">
        <v>5</v>
      </c>
      <c r="I523" t="str">
        <f t="shared" si="32"/>
        <v>REC-302</v>
      </c>
      <c r="J523" t="str">
        <f t="shared" si="33"/>
        <v>REC</v>
      </c>
      <c r="K523" t="str">
        <f t="shared" si="34"/>
        <v>302</v>
      </c>
      <c r="L523">
        <f t="shared" si="35"/>
        <v>7</v>
      </c>
    </row>
    <row r="524" spans="1:12" x14ac:dyDescent="0.35">
      <c r="A524" s="14">
        <v>258</v>
      </c>
      <c r="B524" s="15">
        <v>259</v>
      </c>
      <c r="C524" s="15">
        <v>0.1515</v>
      </c>
      <c r="D524" s="15">
        <v>0.86</v>
      </c>
      <c r="E524" s="15">
        <v>0.16420000000000001</v>
      </c>
      <c r="F524" s="15">
        <v>0</v>
      </c>
      <c r="G524" s="15">
        <v>5</v>
      </c>
      <c r="H524" s="16">
        <v>5</v>
      </c>
      <c r="I524" t="str">
        <f t="shared" si="32"/>
        <v>REC-258</v>
      </c>
      <c r="J524" t="str">
        <f t="shared" si="33"/>
        <v>REC</v>
      </c>
      <c r="K524" t="str">
        <f t="shared" si="34"/>
        <v>258</v>
      </c>
      <c r="L524">
        <f t="shared" si="35"/>
        <v>7</v>
      </c>
    </row>
    <row r="525" spans="1:12" x14ac:dyDescent="0.35">
      <c r="A525" s="14">
        <v>166</v>
      </c>
      <c r="B525" s="15">
        <v>167</v>
      </c>
      <c r="C525" s="15">
        <v>0.16669999999999999</v>
      </c>
      <c r="D525" s="15">
        <v>0.74</v>
      </c>
      <c r="E525" s="15">
        <v>0.16420000000000001</v>
      </c>
      <c r="F525" s="15">
        <v>0</v>
      </c>
      <c r="G525" s="15">
        <v>5</v>
      </c>
      <c r="H525" s="16">
        <v>5</v>
      </c>
      <c r="I525" t="str">
        <f t="shared" si="32"/>
        <v>REC-166</v>
      </c>
      <c r="J525" t="str">
        <f t="shared" si="33"/>
        <v>REC</v>
      </c>
      <c r="K525" t="str">
        <f t="shared" si="34"/>
        <v>166</v>
      </c>
      <c r="L525">
        <f t="shared" si="35"/>
        <v>7</v>
      </c>
    </row>
    <row r="526" spans="1:12" x14ac:dyDescent="0.35">
      <c r="A526" s="14">
        <v>142</v>
      </c>
      <c r="B526" s="15">
        <v>143</v>
      </c>
      <c r="C526" s="15">
        <v>0.2727</v>
      </c>
      <c r="D526" s="15">
        <v>0.55000000000000004</v>
      </c>
      <c r="E526" s="15">
        <v>0</v>
      </c>
      <c r="F526" s="15">
        <v>0</v>
      </c>
      <c r="G526" s="15">
        <v>5</v>
      </c>
      <c r="H526" s="16">
        <v>5</v>
      </c>
      <c r="I526" t="str">
        <f t="shared" si="32"/>
        <v>REC-142</v>
      </c>
      <c r="J526" t="str">
        <f t="shared" si="33"/>
        <v>REC</v>
      </c>
      <c r="K526" t="str">
        <f t="shared" si="34"/>
        <v>142</v>
      </c>
      <c r="L526">
        <f t="shared" si="35"/>
        <v>7</v>
      </c>
    </row>
    <row r="527" spans="1:12" x14ac:dyDescent="0.35">
      <c r="A527" s="14">
        <v>69</v>
      </c>
      <c r="B527" s="15">
        <v>70</v>
      </c>
      <c r="C527" s="17"/>
      <c r="D527" s="15">
        <v>0.55000000000000004</v>
      </c>
      <c r="E527" s="15">
        <v>0.1045</v>
      </c>
      <c r="F527" s="15">
        <v>0</v>
      </c>
      <c r="G527" s="15">
        <v>5</v>
      </c>
      <c r="H527" s="16">
        <v>5</v>
      </c>
      <c r="I527" t="str">
        <f t="shared" si="32"/>
        <v>REC-069</v>
      </c>
      <c r="J527" t="str">
        <f t="shared" si="33"/>
        <v>REC</v>
      </c>
      <c r="K527" t="str">
        <f t="shared" si="34"/>
        <v>069</v>
      </c>
      <c r="L527">
        <f t="shared" si="35"/>
        <v>7</v>
      </c>
    </row>
    <row r="528" spans="1:12" x14ac:dyDescent="0.35">
      <c r="A528" s="14">
        <v>47</v>
      </c>
      <c r="B528" s="15">
        <v>48</v>
      </c>
      <c r="C528" s="15">
        <v>0.19700000000000001</v>
      </c>
      <c r="D528" s="15">
        <v>0.44</v>
      </c>
      <c r="E528" s="15">
        <v>0.35820000000000002</v>
      </c>
      <c r="F528" s="15">
        <v>0</v>
      </c>
      <c r="G528" s="15">
        <v>5</v>
      </c>
      <c r="H528" s="16">
        <v>5</v>
      </c>
      <c r="I528" t="str">
        <f t="shared" si="32"/>
        <v>REC-047</v>
      </c>
      <c r="J528" t="str">
        <f t="shared" si="33"/>
        <v>REC</v>
      </c>
      <c r="K528" t="str">
        <f t="shared" si="34"/>
        <v>047</v>
      </c>
      <c r="L528">
        <f t="shared" si="35"/>
        <v>7</v>
      </c>
    </row>
    <row r="529" spans="1:12" x14ac:dyDescent="0.35">
      <c r="A529" s="14">
        <v>505</v>
      </c>
      <c r="B529" s="15">
        <v>506</v>
      </c>
      <c r="C529" s="15">
        <v>6.0600000000000001E-2</v>
      </c>
      <c r="D529" s="15">
        <v>0.62</v>
      </c>
      <c r="E529" s="15">
        <v>0.1343</v>
      </c>
      <c r="F529" s="15">
        <v>1</v>
      </c>
      <c r="G529" s="15">
        <v>4</v>
      </c>
      <c r="H529" s="16">
        <v>5</v>
      </c>
      <c r="I529" t="str">
        <f t="shared" si="32"/>
        <v>REC-505</v>
      </c>
      <c r="J529" t="str">
        <f t="shared" si="33"/>
        <v>REC</v>
      </c>
      <c r="K529" t="str">
        <f t="shared" si="34"/>
        <v>505</v>
      </c>
      <c r="L529">
        <f t="shared" si="35"/>
        <v>7</v>
      </c>
    </row>
    <row r="530" spans="1:12" x14ac:dyDescent="0.35">
      <c r="A530" s="14">
        <v>460</v>
      </c>
      <c r="B530" s="15">
        <v>461</v>
      </c>
      <c r="C530" s="15">
        <v>0.19700000000000001</v>
      </c>
      <c r="D530" s="15">
        <v>0.6</v>
      </c>
      <c r="E530" s="15">
        <v>0.41789999999999999</v>
      </c>
      <c r="F530" s="15">
        <v>1</v>
      </c>
      <c r="G530" s="15">
        <v>4</v>
      </c>
      <c r="H530" s="16">
        <v>5</v>
      </c>
      <c r="I530" t="str">
        <f t="shared" si="32"/>
        <v>REC-460</v>
      </c>
      <c r="J530" t="str">
        <f t="shared" si="33"/>
        <v>REC</v>
      </c>
      <c r="K530" t="str">
        <f t="shared" si="34"/>
        <v>460</v>
      </c>
      <c r="L530">
        <f t="shared" si="35"/>
        <v>7</v>
      </c>
    </row>
    <row r="531" spans="1:12" x14ac:dyDescent="0.35">
      <c r="A531" s="14">
        <v>432</v>
      </c>
      <c r="B531" s="15">
        <v>433</v>
      </c>
      <c r="C531" s="15">
        <v>0.2727</v>
      </c>
      <c r="D531" s="15">
        <v>0.56000000000000005</v>
      </c>
      <c r="E531" s="15">
        <v>0</v>
      </c>
      <c r="F531" s="15">
        <v>2</v>
      </c>
      <c r="G531" s="15">
        <v>3</v>
      </c>
      <c r="H531" s="16">
        <v>5</v>
      </c>
      <c r="I531" t="str">
        <f t="shared" si="32"/>
        <v>REC-432</v>
      </c>
      <c r="J531" t="str">
        <f t="shared" si="33"/>
        <v>REC</v>
      </c>
      <c r="K531" t="str">
        <f t="shared" si="34"/>
        <v>432</v>
      </c>
      <c r="L531">
        <f t="shared" si="35"/>
        <v>7</v>
      </c>
    </row>
    <row r="532" spans="1:12" x14ac:dyDescent="0.35">
      <c r="A532" s="14">
        <v>209</v>
      </c>
      <c r="B532" s="15">
        <v>210</v>
      </c>
      <c r="C532" s="15">
        <v>0.1212</v>
      </c>
      <c r="D532" s="15">
        <v>0.5</v>
      </c>
      <c r="E532" s="15">
        <v>0.28360000000000002</v>
      </c>
      <c r="F532" s="15">
        <v>2</v>
      </c>
      <c r="G532" s="15">
        <v>3</v>
      </c>
      <c r="H532" s="16">
        <v>5</v>
      </c>
      <c r="I532" t="str">
        <f t="shared" si="32"/>
        <v>REC-209</v>
      </c>
      <c r="J532" t="str">
        <f t="shared" si="33"/>
        <v>REC</v>
      </c>
      <c r="K532" t="str">
        <f t="shared" si="34"/>
        <v>209</v>
      </c>
      <c r="L532">
        <f t="shared" si="35"/>
        <v>7</v>
      </c>
    </row>
    <row r="533" spans="1:12" x14ac:dyDescent="0.35">
      <c r="A533" s="14">
        <v>599</v>
      </c>
      <c r="B533" s="15">
        <v>600</v>
      </c>
      <c r="C533" s="15">
        <v>0.21210000000000001</v>
      </c>
      <c r="D533" s="15">
        <v>0.8</v>
      </c>
      <c r="E533" s="15">
        <v>0.1045</v>
      </c>
      <c r="F533" s="15">
        <v>0</v>
      </c>
      <c r="G533" s="15">
        <v>4</v>
      </c>
      <c r="H533" s="16">
        <v>4</v>
      </c>
      <c r="I533" t="str">
        <f t="shared" si="32"/>
        <v>REC-599</v>
      </c>
      <c r="J533" t="str">
        <f t="shared" si="33"/>
        <v>REC</v>
      </c>
      <c r="K533" t="str">
        <f t="shared" si="34"/>
        <v>599</v>
      </c>
      <c r="L533">
        <f t="shared" si="35"/>
        <v>7</v>
      </c>
    </row>
    <row r="534" spans="1:12" x14ac:dyDescent="0.35">
      <c r="A534" s="14">
        <v>281</v>
      </c>
      <c r="B534" s="15">
        <v>282</v>
      </c>
      <c r="C534" s="15">
        <v>0.1212</v>
      </c>
      <c r="D534" s="15">
        <v>0.5</v>
      </c>
      <c r="E534" s="15">
        <v>0.25369999999999998</v>
      </c>
      <c r="F534" s="15">
        <v>0</v>
      </c>
      <c r="G534" s="15">
        <v>4</v>
      </c>
      <c r="H534" s="16">
        <v>4</v>
      </c>
      <c r="I534" t="str">
        <f t="shared" si="32"/>
        <v>REC-281</v>
      </c>
      <c r="J534" t="str">
        <f t="shared" si="33"/>
        <v>REC</v>
      </c>
      <c r="K534" t="str">
        <f t="shared" si="34"/>
        <v>281</v>
      </c>
      <c r="L534">
        <f t="shared" si="35"/>
        <v>7</v>
      </c>
    </row>
    <row r="535" spans="1:12" x14ac:dyDescent="0.35">
      <c r="A535" s="14">
        <v>188</v>
      </c>
      <c r="B535" s="15">
        <v>189</v>
      </c>
      <c r="C535" s="15">
        <v>7.5800000000000006E-2</v>
      </c>
      <c r="D535" s="15">
        <v>0.46</v>
      </c>
      <c r="E535" s="15">
        <v>0.41789999999999999</v>
      </c>
      <c r="F535" s="15">
        <v>0</v>
      </c>
      <c r="G535" s="15">
        <v>4</v>
      </c>
      <c r="H535" s="16">
        <v>4</v>
      </c>
      <c r="I535" t="str">
        <f t="shared" si="32"/>
        <v>REC-188</v>
      </c>
      <c r="J535" t="str">
        <f t="shared" si="33"/>
        <v>REC</v>
      </c>
      <c r="K535" t="str">
        <f t="shared" si="34"/>
        <v>188</v>
      </c>
      <c r="L535">
        <f t="shared" si="35"/>
        <v>7</v>
      </c>
    </row>
    <row r="536" spans="1:12" x14ac:dyDescent="0.35">
      <c r="A536" s="14">
        <v>119</v>
      </c>
      <c r="B536" s="15">
        <v>120</v>
      </c>
      <c r="C536" s="15">
        <v>0.18179999999999999</v>
      </c>
      <c r="D536" s="15">
        <v>0.69</v>
      </c>
      <c r="E536" s="15">
        <v>8.9599999999999999E-2</v>
      </c>
      <c r="F536" s="15">
        <v>0</v>
      </c>
      <c r="G536" s="15">
        <v>4</v>
      </c>
      <c r="H536" s="16">
        <v>4</v>
      </c>
      <c r="I536" t="str">
        <f t="shared" si="32"/>
        <v>REC-119</v>
      </c>
      <c r="J536" t="str">
        <f t="shared" si="33"/>
        <v>REC</v>
      </c>
      <c r="K536" t="str">
        <f t="shared" si="34"/>
        <v>119</v>
      </c>
      <c r="L536">
        <f t="shared" si="35"/>
        <v>7</v>
      </c>
    </row>
    <row r="537" spans="1:12" x14ac:dyDescent="0.35">
      <c r="A537" s="14">
        <v>116</v>
      </c>
      <c r="B537" s="15">
        <v>117</v>
      </c>
      <c r="C537" s="15">
        <v>0.2273</v>
      </c>
      <c r="D537" s="15">
        <v>0.64</v>
      </c>
      <c r="E537" s="15">
        <v>0</v>
      </c>
      <c r="F537" s="15">
        <v>0</v>
      </c>
      <c r="G537" s="15">
        <v>4</v>
      </c>
      <c r="H537" s="16">
        <v>4</v>
      </c>
      <c r="I537" t="str">
        <f t="shared" si="32"/>
        <v>REC-116</v>
      </c>
      <c r="J537" t="str">
        <f t="shared" si="33"/>
        <v>REC</v>
      </c>
      <c r="K537" t="str">
        <f t="shared" si="34"/>
        <v>116</v>
      </c>
      <c r="L537">
        <f t="shared" si="35"/>
        <v>7</v>
      </c>
    </row>
    <row r="538" spans="1:12" x14ac:dyDescent="0.35">
      <c r="A538" s="14">
        <v>73</v>
      </c>
      <c r="B538" s="15">
        <v>74</v>
      </c>
      <c r="C538" s="15">
        <v>0.1515</v>
      </c>
      <c r="D538" s="15">
        <v>0.68</v>
      </c>
      <c r="E538" s="15">
        <v>0.1045</v>
      </c>
      <c r="F538" s="15">
        <v>0</v>
      </c>
      <c r="G538" s="15">
        <v>4</v>
      </c>
      <c r="H538" s="16">
        <v>4</v>
      </c>
      <c r="I538" t="str">
        <f t="shared" si="32"/>
        <v>REC-073</v>
      </c>
      <c r="J538" t="str">
        <f t="shared" si="33"/>
        <v>REC</v>
      </c>
      <c r="K538" t="str">
        <f t="shared" si="34"/>
        <v>073</v>
      </c>
      <c r="L538">
        <f t="shared" si="35"/>
        <v>7</v>
      </c>
    </row>
    <row r="539" spans="1:12" x14ac:dyDescent="0.35">
      <c r="A539" s="14">
        <v>395</v>
      </c>
      <c r="B539" s="15">
        <v>396</v>
      </c>
      <c r="C539" s="15">
        <v>0.13639999999999999</v>
      </c>
      <c r="D539" s="15">
        <v>0.86</v>
      </c>
      <c r="E539" s="15">
        <v>0.28360000000000002</v>
      </c>
      <c r="F539" s="15">
        <v>1</v>
      </c>
      <c r="G539" s="15">
        <v>3</v>
      </c>
      <c r="H539" s="16">
        <v>4</v>
      </c>
      <c r="I539" t="str">
        <f t="shared" si="32"/>
        <v>REC-395</v>
      </c>
      <c r="J539" t="str">
        <f t="shared" si="33"/>
        <v>REC</v>
      </c>
      <c r="K539" t="str">
        <f t="shared" si="34"/>
        <v>395</v>
      </c>
      <c r="L539">
        <f t="shared" si="35"/>
        <v>7</v>
      </c>
    </row>
    <row r="540" spans="1:12" x14ac:dyDescent="0.35">
      <c r="A540" s="14">
        <v>506</v>
      </c>
      <c r="B540" s="15">
        <v>507</v>
      </c>
      <c r="C540" s="15">
        <v>7.5800000000000006E-2</v>
      </c>
      <c r="D540" s="15">
        <v>0.56999999999999995</v>
      </c>
      <c r="E540" s="15">
        <v>0.1045</v>
      </c>
      <c r="F540" s="15">
        <v>0</v>
      </c>
      <c r="G540" s="15">
        <v>3</v>
      </c>
      <c r="H540" s="16">
        <v>3</v>
      </c>
      <c r="I540" t="str">
        <f t="shared" si="32"/>
        <v>REC-506</v>
      </c>
      <c r="J540" t="str">
        <f t="shared" si="33"/>
        <v>REC</v>
      </c>
      <c r="K540" t="str">
        <f t="shared" si="34"/>
        <v>506</v>
      </c>
      <c r="L540">
        <f t="shared" si="35"/>
        <v>7</v>
      </c>
    </row>
    <row r="541" spans="1:12" x14ac:dyDescent="0.35">
      <c r="A541" s="14">
        <v>483</v>
      </c>
      <c r="B541" s="15">
        <v>484</v>
      </c>
      <c r="C541" s="15">
        <v>1.52E-2</v>
      </c>
      <c r="D541" s="15">
        <v>0.48</v>
      </c>
      <c r="E541" s="15">
        <v>0.29849999999999999</v>
      </c>
      <c r="F541" s="15">
        <v>0</v>
      </c>
      <c r="G541" s="15">
        <v>3</v>
      </c>
      <c r="H541" s="16">
        <v>3</v>
      </c>
      <c r="I541" t="str">
        <f t="shared" si="32"/>
        <v>REC-483</v>
      </c>
      <c r="J541" t="str">
        <f t="shared" si="33"/>
        <v>REC</v>
      </c>
      <c r="K541" t="str">
        <f t="shared" si="34"/>
        <v>483</v>
      </c>
      <c r="L541">
        <f t="shared" si="35"/>
        <v>7</v>
      </c>
    </row>
    <row r="542" spans="1:12" x14ac:dyDescent="0.35">
      <c r="A542" s="14">
        <v>410</v>
      </c>
      <c r="B542" s="15">
        <v>411</v>
      </c>
      <c r="C542" s="15">
        <v>0.2273</v>
      </c>
      <c r="D542" s="15">
        <v>0.93</v>
      </c>
      <c r="E542" s="15">
        <v>0.1343</v>
      </c>
      <c r="F542" s="15">
        <v>0</v>
      </c>
      <c r="G542" s="15">
        <v>3</v>
      </c>
      <c r="H542" s="16">
        <v>3</v>
      </c>
      <c r="I542" t="str">
        <f t="shared" si="32"/>
        <v>REC-410</v>
      </c>
      <c r="J542" t="str">
        <f t="shared" si="33"/>
        <v>REC</v>
      </c>
      <c r="K542" t="str">
        <f t="shared" si="34"/>
        <v>410</v>
      </c>
      <c r="L542">
        <f t="shared" si="35"/>
        <v>7</v>
      </c>
    </row>
    <row r="543" spans="1:12" x14ac:dyDescent="0.35">
      <c r="A543" s="14">
        <v>408</v>
      </c>
      <c r="B543" s="15">
        <v>409</v>
      </c>
      <c r="C543" s="15">
        <v>0.2727</v>
      </c>
      <c r="D543" s="15">
        <v>0.93</v>
      </c>
      <c r="E543" s="15">
        <v>0</v>
      </c>
      <c r="F543" s="15">
        <v>0</v>
      </c>
      <c r="G543" s="15">
        <v>3</v>
      </c>
      <c r="H543" s="16">
        <v>3</v>
      </c>
      <c r="I543" t="str">
        <f t="shared" si="32"/>
        <v>REC-408</v>
      </c>
      <c r="J543" t="str">
        <f t="shared" si="33"/>
        <v>REC</v>
      </c>
      <c r="K543" t="str">
        <f t="shared" si="34"/>
        <v>408</v>
      </c>
      <c r="L543">
        <f t="shared" si="35"/>
        <v>7</v>
      </c>
    </row>
    <row r="544" spans="1:12" x14ac:dyDescent="0.35">
      <c r="A544" s="14">
        <v>396</v>
      </c>
      <c r="B544" s="15">
        <v>397</v>
      </c>
      <c r="C544" s="15">
        <v>0.18179999999999999</v>
      </c>
      <c r="D544" s="15">
        <v>0.86</v>
      </c>
      <c r="E544" s="15">
        <v>0.32840000000000003</v>
      </c>
      <c r="F544" s="15">
        <v>0</v>
      </c>
      <c r="G544" s="15">
        <v>3</v>
      </c>
      <c r="H544" s="16">
        <v>3</v>
      </c>
      <c r="I544" t="str">
        <f t="shared" si="32"/>
        <v>REC-396</v>
      </c>
      <c r="J544" t="str">
        <f t="shared" si="33"/>
        <v>REC</v>
      </c>
      <c r="K544" t="str">
        <f t="shared" si="34"/>
        <v>396</v>
      </c>
      <c r="L544">
        <f t="shared" si="35"/>
        <v>7</v>
      </c>
    </row>
    <row r="545" spans="1:12" x14ac:dyDescent="0.35">
      <c r="A545" s="14">
        <v>355</v>
      </c>
      <c r="B545" s="15">
        <v>356</v>
      </c>
      <c r="C545" s="15">
        <v>0.21210000000000001</v>
      </c>
      <c r="D545" s="15">
        <v>0.56000000000000005</v>
      </c>
      <c r="E545" s="15">
        <v>0.29849999999999999</v>
      </c>
      <c r="F545" s="15">
        <v>0</v>
      </c>
      <c r="G545" s="15">
        <v>3</v>
      </c>
      <c r="H545" s="16">
        <v>3</v>
      </c>
      <c r="I545" t="str">
        <f t="shared" si="32"/>
        <v>REC-355</v>
      </c>
      <c r="J545" t="str">
        <f t="shared" si="33"/>
        <v>REC</v>
      </c>
      <c r="K545" t="str">
        <f t="shared" si="34"/>
        <v>355</v>
      </c>
      <c r="L545">
        <f t="shared" si="35"/>
        <v>7</v>
      </c>
    </row>
    <row r="546" spans="1:12" x14ac:dyDescent="0.35">
      <c r="A546" s="14">
        <v>282</v>
      </c>
      <c r="B546" s="15">
        <v>283</v>
      </c>
      <c r="C546" s="15">
        <v>0.1212</v>
      </c>
      <c r="D546" s="15">
        <v>0.5</v>
      </c>
      <c r="E546" s="15">
        <v>0.29849999999999999</v>
      </c>
      <c r="F546" s="15">
        <v>0</v>
      </c>
      <c r="G546" s="15">
        <v>3</v>
      </c>
      <c r="H546" s="16">
        <v>3</v>
      </c>
      <c r="I546" t="str">
        <f t="shared" si="32"/>
        <v>REC-282</v>
      </c>
      <c r="J546" t="str">
        <f t="shared" si="33"/>
        <v>REC</v>
      </c>
      <c r="K546" t="str">
        <f t="shared" si="34"/>
        <v>282</v>
      </c>
      <c r="L546">
        <f t="shared" si="35"/>
        <v>7</v>
      </c>
    </row>
    <row r="547" spans="1:12" x14ac:dyDescent="0.35">
      <c r="A547" s="14">
        <v>280</v>
      </c>
      <c r="B547" s="15">
        <v>281</v>
      </c>
      <c r="C547" s="15">
        <v>0.1212</v>
      </c>
      <c r="D547" s="15">
        <v>0.5</v>
      </c>
      <c r="E547" s="15">
        <v>0.32840000000000003</v>
      </c>
      <c r="F547" s="15">
        <v>0</v>
      </c>
      <c r="G547" s="15">
        <v>3</v>
      </c>
      <c r="H547" s="16">
        <v>3</v>
      </c>
      <c r="I547" t="str">
        <f t="shared" si="32"/>
        <v>REC-280</v>
      </c>
      <c r="J547" t="str">
        <f t="shared" si="33"/>
        <v>REC</v>
      </c>
      <c r="K547" t="str">
        <f t="shared" si="34"/>
        <v>280</v>
      </c>
      <c r="L547">
        <f t="shared" si="35"/>
        <v>7</v>
      </c>
    </row>
    <row r="548" spans="1:12" x14ac:dyDescent="0.35">
      <c r="A548" s="14">
        <v>235</v>
      </c>
      <c r="B548" s="15">
        <v>236</v>
      </c>
      <c r="C548" s="15">
        <v>0.1515</v>
      </c>
      <c r="D548" s="15">
        <v>0.55000000000000004</v>
      </c>
      <c r="E548" s="15">
        <v>0.19400000000000001</v>
      </c>
      <c r="F548" s="15">
        <v>0</v>
      </c>
      <c r="G548" s="15">
        <v>3</v>
      </c>
      <c r="H548" s="16">
        <v>3</v>
      </c>
      <c r="I548" t="str">
        <f t="shared" si="32"/>
        <v>REC-235</v>
      </c>
      <c r="J548" t="str">
        <f t="shared" si="33"/>
        <v>REC</v>
      </c>
      <c r="K548" t="str">
        <f t="shared" si="34"/>
        <v>235</v>
      </c>
      <c r="L548">
        <f t="shared" si="35"/>
        <v>7</v>
      </c>
    </row>
    <row r="549" spans="1:12" x14ac:dyDescent="0.35">
      <c r="A549" s="14">
        <v>234</v>
      </c>
      <c r="B549" s="15">
        <v>235</v>
      </c>
      <c r="C549" s="15">
        <v>0.1515</v>
      </c>
      <c r="D549" s="15">
        <v>0.59</v>
      </c>
      <c r="E549" s="15">
        <v>0.16420000000000001</v>
      </c>
      <c r="F549" s="15">
        <v>0</v>
      </c>
      <c r="G549" s="15">
        <v>3</v>
      </c>
      <c r="H549" s="16">
        <v>3</v>
      </c>
      <c r="I549" t="str">
        <f t="shared" si="32"/>
        <v>REC-234</v>
      </c>
      <c r="J549" t="str">
        <f t="shared" si="33"/>
        <v>REC</v>
      </c>
      <c r="K549" t="str">
        <f t="shared" si="34"/>
        <v>234</v>
      </c>
      <c r="L549">
        <f t="shared" si="35"/>
        <v>7</v>
      </c>
    </row>
    <row r="550" spans="1:12" x14ac:dyDescent="0.35">
      <c r="A550" s="14">
        <v>214</v>
      </c>
      <c r="B550" s="15">
        <v>215</v>
      </c>
      <c r="C550" s="15">
        <v>0.1061</v>
      </c>
      <c r="D550" s="15">
        <v>0.54</v>
      </c>
      <c r="E550" s="15">
        <v>0.25369999999999998</v>
      </c>
      <c r="F550" s="15">
        <v>0</v>
      </c>
      <c r="G550" s="15">
        <v>3</v>
      </c>
      <c r="H550" s="16">
        <v>3</v>
      </c>
      <c r="I550" t="str">
        <f t="shared" si="32"/>
        <v>REC-214</v>
      </c>
      <c r="J550" t="str">
        <f t="shared" si="33"/>
        <v>REC</v>
      </c>
      <c r="K550" t="str">
        <f t="shared" si="34"/>
        <v>214</v>
      </c>
      <c r="L550">
        <f t="shared" si="35"/>
        <v>7</v>
      </c>
    </row>
    <row r="551" spans="1:12" x14ac:dyDescent="0.35">
      <c r="A551" s="14">
        <v>211</v>
      </c>
      <c r="B551" s="15">
        <v>212</v>
      </c>
      <c r="C551" s="15">
        <v>0.1212</v>
      </c>
      <c r="D551" s="15">
        <v>0.5</v>
      </c>
      <c r="E551" s="15">
        <v>0.22389999999999999</v>
      </c>
      <c r="F551" s="15">
        <v>0</v>
      </c>
      <c r="G551" s="15">
        <v>3</v>
      </c>
      <c r="H551" s="16">
        <v>3</v>
      </c>
      <c r="I551" t="str">
        <f t="shared" si="32"/>
        <v>REC-211</v>
      </c>
      <c r="J551" t="str">
        <f t="shared" si="33"/>
        <v>REC</v>
      </c>
      <c r="K551" t="str">
        <f t="shared" si="34"/>
        <v>211</v>
      </c>
      <c r="L551">
        <f t="shared" si="35"/>
        <v>7</v>
      </c>
    </row>
    <row r="552" spans="1:12" x14ac:dyDescent="0.35">
      <c r="A552" s="14">
        <v>96</v>
      </c>
      <c r="B552" s="15">
        <v>97</v>
      </c>
      <c r="C552" s="15">
        <v>0.2273</v>
      </c>
      <c r="D552" s="15">
        <v>0.47</v>
      </c>
      <c r="E552" s="15">
        <v>0.16420000000000001</v>
      </c>
      <c r="F552" s="15">
        <v>0</v>
      </c>
      <c r="G552" s="15">
        <v>3</v>
      </c>
      <c r="H552" s="16">
        <v>3</v>
      </c>
      <c r="I552" t="str">
        <f t="shared" si="32"/>
        <v>REC-096</v>
      </c>
      <c r="J552" t="str">
        <f t="shared" si="33"/>
        <v>REC</v>
      </c>
      <c r="K552" t="str">
        <f t="shared" si="34"/>
        <v>096</v>
      </c>
      <c r="L552">
        <f t="shared" si="35"/>
        <v>7</v>
      </c>
    </row>
    <row r="553" spans="1:12" x14ac:dyDescent="0.35">
      <c r="A553" s="14">
        <v>50</v>
      </c>
      <c r="B553" s="15">
        <v>51</v>
      </c>
      <c r="C553" s="15">
        <v>0.13639999999999999</v>
      </c>
      <c r="D553" s="15">
        <v>0.47</v>
      </c>
      <c r="E553" s="15">
        <v>0.28360000000000002</v>
      </c>
      <c r="F553" s="15">
        <v>0</v>
      </c>
      <c r="G553" s="15">
        <v>3</v>
      </c>
      <c r="H553" s="16">
        <v>3</v>
      </c>
      <c r="I553" t="str">
        <f t="shared" si="32"/>
        <v>REC-050</v>
      </c>
      <c r="J553" t="str">
        <f t="shared" si="33"/>
        <v>REC</v>
      </c>
      <c r="K553" t="str">
        <f t="shared" si="34"/>
        <v>050</v>
      </c>
      <c r="L553">
        <f t="shared" si="35"/>
        <v>7</v>
      </c>
    </row>
    <row r="554" spans="1:12" x14ac:dyDescent="0.35">
      <c r="A554" s="14">
        <v>596</v>
      </c>
      <c r="B554" s="15">
        <v>597</v>
      </c>
      <c r="C554" s="15">
        <v>0.21210000000000001</v>
      </c>
      <c r="D554" s="15">
        <v>0.75</v>
      </c>
      <c r="E554" s="15">
        <v>0.1343</v>
      </c>
      <c r="F554" s="15">
        <v>1</v>
      </c>
      <c r="G554" s="15">
        <v>2</v>
      </c>
      <c r="H554" s="16">
        <v>3</v>
      </c>
      <c r="I554" t="str">
        <f t="shared" si="32"/>
        <v>REC-596</v>
      </c>
      <c r="J554" t="str">
        <f t="shared" si="33"/>
        <v>REC</v>
      </c>
      <c r="K554" t="str">
        <f t="shared" si="34"/>
        <v>596</v>
      </c>
      <c r="L554">
        <f t="shared" si="35"/>
        <v>7</v>
      </c>
    </row>
    <row r="555" spans="1:12" x14ac:dyDescent="0.35">
      <c r="A555" s="14">
        <v>376</v>
      </c>
      <c r="B555" s="15">
        <v>377</v>
      </c>
      <c r="C555" s="15">
        <v>0.19700000000000001</v>
      </c>
      <c r="D555" s="15">
        <v>0.43</v>
      </c>
      <c r="E555" s="15">
        <v>0.1343</v>
      </c>
      <c r="F555" s="15">
        <v>1</v>
      </c>
      <c r="G555" s="15">
        <v>2</v>
      </c>
      <c r="H555" s="16">
        <v>3</v>
      </c>
      <c r="I555" t="str">
        <f t="shared" si="32"/>
        <v>REC-376</v>
      </c>
      <c r="J555" t="str">
        <f t="shared" si="33"/>
        <v>REC</v>
      </c>
      <c r="K555" t="str">
        <f t="shared" si="34"/>
        <v>376</v>
      </c>
      <c r="L555">
        <f t="shared" si="35"/>
        <v>7</v>
      </c>
    </row>
    <row r="556" spans="1:12" x14ac:dyDescent="0.35">
      <c r="A556" s="14">
        <v>330</v>
      </c>
      <c r="B556" s="15">
        <v>331</v>
      </c>
      <c r="C556" s="15">
        <v>0.16669999999999999</v>
      </c>
      <c r="D556" s="15">
        <v>0.63</v>
      </c>
      <c r="E556" s="15">
        <v>0.1045</v>
      </c>
      <c r="F556" s="15">
        <v>1</v>
      </c>
      <c r="G556" s="15">
        <v>2</v>
      </c>
      <c r="H556" s="16">
        <v>3</v>
      </c>
      <c r="I556" t="str">
        <f t="shared" si="32"/>
        <v>REC-330</v>
      </c>
      <c r="J556" t="str">
        <f t="shared" si="33"/>
        <v>REC</v>
      </c>
      <c r="K556" t="str">
        <f t="shared" si="34"/>
        <v>330</v>
      </c>
      <c r="L556">
        <f t="shared" si="35"/>
        <v>7</v>
      </c>
    </row>
    <row r="557" spans="1:12" x14ac:dyDescent="0.35">
      <c r="A557" s="14">
        <v>213</v>
      </c>
      <c r="B557" s="15">
        <v>214</v>
      </c>
      <c r="C557" s="15">
        <v>0.1212</v>
      </c>
      <c r="D557" s="15">
        <v>0.54</v>
      </c>
      <c r="E557" s="15">
        <v>0.1343</v>
      </c>
      <c r="F557" s="15">
        <v>1</v>
      </c>
      <c r="G557" s="15">
        <v>2</v>
      </c>
      <c r="H557" s="16">
        <v>3</v>
      </c>
      <c r="I557" t="str">
        <f t="shared" si="32"/>
        <v>REC-213</v>
      </c>
      <c r="J557" t="str">
        <f t="shared" si="33"/>
        <v>REC</v>
      </c>
      <c r="K557" t="str">
        <f t="shared" si="34"/>
        <v>213</v>
      </c>
      <c r="L557">
        <f t="shared" si="35"/>
        <v>7</v>
      </c>
    </row>
    <row r="558" spans="1:12" x14ac:dyDescent="0.35">
      <c r="A558" s="14">
        <v>7</v>
      </c>
      <c r="B558" s="15">
        <v>8</v>
      </c>
      <c r="C558" s="15">
        <v>0.2576</v>
      </c>
      <c r="D558" s="15">
        <v>0.86</v>
      </c>
      <c r="E558" s="15">
        <v>0</v>
      </c>
      <c r="F558" s="15">
        <v>1</v>
      </c>
      <c r="G558" s="15">
        <v>2</v>
      </c>
      <c r="H558" s="16">
        <v>3</v>
      </c>
      <c r="I558" t="str">
        <f t="shared" si="32"/>
        <v>REC-007</v>
      </c>
      <c r="J558" t="str">
        <f t="shared" si="33"/>
        <v>REC</v>
      </c>
      <c r="K558" t="str">
        <f t="shared" si="34"/>
        <v>007</v>
      </c>
      <c r="L558">
        <f t="shared" si="35"/>
        <v>7</v>
      </c>
    </row>
    <row r="559" spans="1:12" x14ac:dyDescent="0.35">
      <c r="A559" s="14">
        <v>28</v>
      </c>
      <c r="B559" s="15">
        <v>29</v>
      </c>
      <c r="C559" s="17"/>
      <c r="D559" s="15">
        <v>0.94</v>
      </c>
      <c r="E559" s="15">
        <v>0.19400000000000001</v>
      </c>
      <c r="F559" s="15">
        <v>2</v>
      </c>
      <c r="G559" s="15">
        <v>1</v>
      </c>
      <c r="H559" s="16">
        <v>3</v>
      </c>
      <c r="I559" t="str">
        <f t="shared" si="32"/>
        <v>REC-028</v>
      </c>
      <c r="J559" t="str">
        <f t="shared" si="33"/>
        <v>REC</v>
      </c>
      <c r="K559" t="str">
        <f t="shared" si="34"/>
        <v>028</v>
      </c>
      <c r="L559">
        <f t="shared" si="35"/>
        <v>7</v>
      </c>
    </row>
    <row r="560" spans="1:12" x14ac:dyDescent="0.35">
      <c r="A560" s="14">
        <v>597</v>
      </c>
      <c r="B560" s="15">
        <v>598</v>
      </c>
      <c r="C560" s="15">
        <v>0.21210000000000001</v>
      </c>
      <c r="D560" s="15">
        <v>0.75</v>
      </c>
      <c r="E560" s="15">
        <v>0.16420000000000001</v>
      </c>
      <c r="F560" s="15">
        <v>0</v>
      </c>
      <c r="G560" s="15">
        <v>2</v>
      </c>
      <c r="H560" s="16">
        <v>2</v>
      </c>
      <c r="I560" t="str">
        <f t="shared" si="32"/>
        <v>REC-597</v>
      </c>
      <c r="J560" t="str">
        <f t="shared" si="33"/>
        <v>REC</v>
      </c>
      <c r="K560" t="str">
        <f t="shared" si="34"/>
        <v>597</v>
      </c>
      <c r="L560">
        <f t="shared" si="35"/>
        <v>7</v>
      </c>
    </row>
    <row r="561" spans="1:12" x14ac:dyDescent="0.35">
      <c r="A561" s="14">
        <v>550</v>
      </c>
      <c r="B561" s="15">
        <v>551</v>
      </c>
      <c r="C561" s="15">
        <v>0.1515</v>
      </c>
      <c r="D561" s="15">
        <v>0.69</v>
      </c>
      <c r="E561" s="15">
        <v>0.22389999999999999</v>
      </c>
      <c r="F561" s="15">
        <v>0</v>
      </c>
      <c r="G561" s="15">
        <v>2</v>
      </c>
      <c r="H561" s="16">
        <v>2</v>
      </c>
      <c r="I561" t="str">
        <f t="shared" si="32"/>
        <v>REC-550</v>
      </c>
      <c r="J561" t="str">
        <f t="shared" si="33"/>
        <v>REC</v>
      </c>
      <c r="K561" t="str">
        <f t="shared" si="34"/>
        <v>550</v>
      </c>
      <c r="L561">
        <f t="shared" si="35"/>
        <v>7</v>
      </c>
    </row>
    <row r="562" spans="1:12" x14ac:dyDescent="0.35">
      <c r="A562" s="14">
        <v>484</v>
      </c>
      <c r="B562" s="15">
        <v>485</v>
      </c>
      <c r="C562" s="15">
        <v>3.0300000000000001E-2</v>
      </c>
      <c r="D562" s="15">
        <v>0.44</v>
      </c>
      <c r="E562" s="15">
        <v>0.22389999999999999</v>
      </c>
      <c r="F562" s="15">
        <v>0</v>
      </c>
      <c r="G562" s="15">
        <v>2</v>
      </c>
      <c r="H562" s="16">
        <v>2</v>
      </c>
      <c r="I562" t="str">
        <f t="shared" si="32"/>
        <v>REC-484</v>
      </c>
      <c r="J562" t="str">
        <f t="shared" si="33"/>
        <v>REC</v>
      </c>
      <c r="K562" t="str">
        <f t="shared" si="34"/>
        <v>484</v>
      </c>
      <c r="L562">
        <f t="shared" si="35"/>
        <v>7</v>
      </c>
    </row>
    <row r="563" spans="1:12" x14ac:dyDescent="0.35">
      <c r="A563" s="14">
        <v>457</v>
      </c>
      <c r="B563" s="15">
        <v>458</v>
      </c>
      <c r="C563" s="15">
        <v>0.2424</v>
      </c>
      <c r="D563" s="15">
        <v>0.75</v>
      </c>
      <c r="E563" s="15">
        <v>0.16420000000000001</v>
      </c>
      <c r="F563" s="15">
        <v>0</v>
      </c>
      <c r="G563" s="15">
        <v>2</v>
      </c>
      <c r="H563" s="16">
        <v>2</v>
      </c>
      <c r="I563" t="str">
        <f t="shared" si="32"/>
        <v>REC-457</v>
      </c>
      <c r="J563" t="str">
        <f t="shared" si="33"/>
        <v>REC</v>
      </c>
      <c r="K563" t="str">
        <f t="shared" si="34"/>
        <v>457</v>
      </c>
      <c r="L563">
        <f t="shared" si="35"/>
        <v>7</v>
      </c>
    </row>
    <row r="564" spans="1:12" x14ac:dyDescent="0.35">
      <c r="A564" s="14">
        <v>433</v>
      </c>
      <c r="B564" s="15">
        <v>434</v>
      </c>
      <c r="C564" s="15">
        <v>0.2727</v>
      </c>
      <c r="D564" s="15">
        <v>0.56000000000000005</v>
      </c>
      <c r="E564" s="15">
        <v>0</v>
      </c>
      <c r="F564" s="15">
        <v>0</v>
      </c>
      <c r="G564" s="15">
        <v>2</v>
      </c>
      <c r="H564" s="16">
        <v>2</v>
      </c>
      <c r="I564" t="str">
        <f t="shared" si="32"/>
        <v>REC-433</v>
      </c>
      <c r="J564" t="str">
        <f t="shared" si="33"/>
        <v>REC</v>
      </c>
      <c r="K564" t="str">
        <f t="shared" si="34"/>
        <v>433</v>
      </c>
      <c r="L564">
        <f t="shared" si="35"/>
        <v>7</v>
      </c>
    </row>
    <row r="565" spans="1:12" x14ac:dyDescent="0.35">
      <c r="A565" s="14">
        <v>375</v>
      </c>
      <c r="B565" s="15">
        <v>376</v>
      </c>
      <c r="C565" s="15">
        <v>0.18179999999999999</v>
      </c>
      <c r="D565" s="15">
        <v>0.43</v>
      </c>
      <c r="E565" s="15">
        <v>0.19400000000000001</v>
      </c>
      <c r="F565" s="15">
        <v>0</v>
      </c>
      <c r="G565" s="15">
        <v>2</v>
      </c>
      <c r="H565" s="16">
        <v>2</v>
      </c>
      <c r="I565" t="str">
        <f t="shared" si="32"/>
        <v>REC-375</v>
      </c>
      <c r="J565" t="str">
        <f t="shared" si="33"/>
        <v>REC</v>
      </c>
      <c r="K565" t="str">
        <f t="shared" si="34"/>
        <v>375</v>
      </c>
      <c r="L565">
        <f t="shared" si="35"/>
        <v>7</v>
      </c>
    </row>
    <row r="566" spans="1:12" x14ac:dyDescent="0.35">
      <c r="A566" s="14">
        <v>279</v>
      </c>
      <c r="B566" s="15">
        <v>280</v>
      </c>
      <c r="C566" s="15">
        <v>0.1212</v>
      </c>
      <c r="D566" s="15">
        <v>0.5</v>
      </c>
      <c r="E566" s="15">
        <v>0.35820000000000002</v>
      </c>
      <c r="F566" s="15">
        <v>0</v>
      </c>
      <c r="G566" s="15">
        <v>2</v>
      </c>
      <c r="H566" s="16">
        <v>2</v>
      </c>
      <c r="I566" t="str">
        <f t="shared" si="32"/>
        <v>REC-279</v>
      </c>
      <c r="J566" t="str">
        <f t="shared" si="33"/>
        <v>REC</v>
      </c>
      <c r="K566" t="str">
        <f t="shared" si="34"/>
        <v>279</v>
      </c>
      <c r="L566">
        <f t="shared" si="35"/>
        <v>7</v>
      </c>
    </row>
    <row r="567" spans="1:12" x14ac:dyDescent="0.35">
      <c r="A567" s="14">
        <v>278</v>
      </c>
      <c r="B567" s="15">
        <v>279</v>
      </c>
      <c r="C567" s="15">
        <v>0.1212</v>
      </c>
      <c r="D567" s="15">
        <v>0.5</v>
      </c>
      <c r="E567" s="15">
        <v>0.28360000000000002</v>
      </c>
      <c r="F567" s="15">
        <v>0</v>
      </c>
      <c r="G567" s="15">
        <v>2</v>
      </c>
      <c r="H567" s="16">
        <v>2</v>
      </c>
      <c r="I567" t="str">
        <f t="shared" si="32"/>
        <v>REC-278</v>
      </c>
      <c r="J567" t="str">
        <f t="shared" si="33"/>
        <v>REC</v>
      </c>
      <c r="K567" t="str">
        <f t="shared" si="34"/>
        <v>278</v>
      </c>
      <c r="L567">
        <f t="shared" si="35"/>
        <v>7</v>
      </c>
    </row>
    <row r="568" spans="1:12" x14ac:dyDescent="0.35">
      <c r="A568" s="14">
        <v>167</v>
      </c>
      <c r="B568" s="15">
        <v>168</v>
      </c>
      <c r="C568" s="15">
        <v>0.16669999999999999</v>
      </c>
      <c r="D568" s="15">
        <v>0.74</v>
      </c>
      <c r="E568" s="15">
        <v>0.16420000000000001</v>
      </c>
      <c r="F568" s="15">
        <v>0</v>
      </c>
      <c r="G568" s="15">
        <v>2</v>
      </c>
      <c r="H568" s="16">
        <v>2</v>
      </c>
      <c r="I568" t="str">
        <f t="shared" si="32"/>
        <v>REC-167</v>
      </c>
      <c r="J568" t="str">
        <f t="shared" si="33"/>
        <v>REC</v>
      </c>
      <c r="K568" t="str">
        <f t="shared" si="34"/>
        <v>167</v>
      </c>
      <c r="L568">
        <f t="shared" si="35"/>
        <v>7</v>
      </c>
    </row>
    <row r="569" spans="1:12" x14ac:dyDescent="0.35">
      <c r="A569" s="14">
        <v>117</v>
      </c>
      <c r="B569" s="15">
        <v>118</v>
      </c>
      <c r="C569" s="15">
        <v>0.2273</v>
      </c>
      <c r="D569" s="15">
        <v>0.64</v>
      </c>
      <c r="E569" s="15">
        <v>0</v>
      </c>
      <c r="F569" s="15">
        <v>0</v>
      </c>
      <c r="G569" s="15">
        <v>2</v>
      </c>
      <c r="H569" s="16">
        <v>2</v>
      </c>
      <c r="I569" t="str">
        <f t="shared" si="32"/>
        <v>REC-117</v>
      </c>
      <c r="J569" t="str">
        <f t="shared" si="33"/>
        <v>REC</v>
      </c>
      <c r="K569" t="str">
        <f t="shared" si="34"/>
        <v>117</v>
      </c>
      <c r="L569">
        <f t="shared" si="35"/>
        <v>7</v>
      </c>
    </row>
    <row r="570" spans="1:12" x14ac:dyDescent="0.35">
      <c r="A570" s="14">
        <v>95</v>
      </c>
      <c r="B570" s="15">
        <v>96</v>
      </c>
      <c r="C570" s="15">
        <v>0.2273</v>
      </c>
      <c r="D570" s="15">
        <v>0.48</v>
      </c>
      <c r="E570" s="15">
        <v>0.22389999999999999</v>
      </c>
      <c r="F570" s="15">
        <v>0</v>
      </c>
      <c r="G570" s="15">
        <v>2</v>
      </c>
      <c r="H570" s="16">
        <v>2</v>
      </c>
      <c r="I570" t="str">
        <f t="shared" si="32"/>
        <v>REC-095</v>
      </c>
      <c r="J570" t="str">
        <f t="shared" si="33"/>
        <v>REC</v>
      </c>
      <c r="K570" t="str">
        <f t="shared" si="34"/>
        <v>095</v>
      </c>
      <c r="L570">
        <f t="shared" si="35"/>
        <v>7</v>
      </c>
    </row>
    <row r="571" spans="1:12" x14ac:dyDescent="0.35">
      <c r="A571" s="14">
        <v>94</v>
      </c>
      <c r="B571" s="15">
        <v>95</v>
      </c>
      <c r="C571" s="15">
        <v>0.19700000000000001</v>
      </c>
      <c r="D571" s="15">
        <v>0.74</v>
      </c>
      <c r="E571" s="15">
        <v>8.9599999999999999E-2</v>
      </c>
      <c r="F571" s="15">
        <v>0</v>
      </c>
      <c r="G571" s="15">
        <v>2</v>
      </c>
      <c r="H571" s="16">
        <v>2</v>
      </c>
      <c r="I571" t="str">
        <f t="shared" si="32"/>
        <v>REC-094</v>
      </c>
      <c r="J571" t="str">
        <f t="shared" si="33"/>
        <v>REC</v>
      </c>
      <c r="K571" t="str">
        <f t="shared" si="34"/>
        <v>094</v>
      </c>
      <c r="L571">
        <f t="shared" si="35"/>
        <v>7</v>
      </c>
    </row>
    <row r="572" spans="1:12" x14ac:dyDescent="0.35">
      <c r="A572" s="14">
        <v>72</v>
      </c>
      <c r="B572" s="15">
        <v>73</v>
      </c>
      <c r="C572" s="15">
        <v>0.18179999999999999</v>
      </c>
      <c r="D572" s="15">
        <v>0.63</v>
      </c>
      <c r="E572" s="15">
        <v>8.9599999999999999E-2</v>
      </c>
      <c r="F572" s="15">
        <v>0</v>
      </c>
      <c r="G572" s="15">
        <v>2</v>
      </c>
      <c r="H572" s="16">
        <v>2</v>
      </c>
      <c r="I572" t="str">
        <f t="shared" si="32"/>
        <v>REC-072</v>
      </c>
      <c r="J572" t="str">
        <f t="shared" si="33"/>
        <v>REC</v>
      </c>
      <c r="K572" t="str">
        <f t="shared" si="34"/>
        <v>072</v>
      </c>
      <c r="L572">
        <f t="shared" si="35"/>
        <v>7</v>
      </c>
    </row>
    <row r="573" spans="1:12" x14ac:dyDescent="0.35">
      <c r="A573" s="14">
        <v>70</v>
      </c>
      <c r="B573" s="15">
        <v>71</v>
      </c>
      <c r="C573" s="15">
        <v>0.18179999999999999</v>
      </c>
      <c r="D573" s="15">
        <v>0.59</v>
      </c>
      <c r="E573" s="15">
        <v>0.1045</v>
      </c>
      <c r="F573" s="15">
        <v>0</v>
      </c>
      <c r="G573" s="15">
        <v>2</v>
      </c>
      <c r="H573" s="16">
        <v>2</v>
      </c>
      <c r="I573" t="str">
        <f t="shared" si="32"/>
        <v>REC-070</v>
      </c>
      <c r="J573" t="str">
        <f t="shared" si="33"/>
        <v>REC</v>
      </c>
      <c r="K573" t="str">
        <f t="shared" si="34"/>
        <v>070</v>
      </c>
      <c r="L573">
        <f t="shared" si="35"/>
        <v>7</v>
      </c>
    </row>
    <row r="574" spans="1:12" x14ac:dyDescent="0.35">
      <c r="A574" s="14">
        <v>48</v>
      </c>
      <c r="B574" s="15">
        <v>49</v>
      </c>
      <c r="C574" s="17"/>
      <c r="D574" s="15">
        <v>0.44</v>
      </c>
      <c r="E574" s="15">
        <v>0.41789999999999999</v>
      </c>
      <c r="F574" s="15">
        <v>0</v>
      </c>
      <c r="G574" s="15">
        <v>2</v>
      </c>
      <c r="H574" s="16">
        <v>2</v>
      </c>
      <c r="I574" t="str">
        <f t="shared" si="32"/>
        <v>REC-048</v>
      </c>
      <c r="J574" t="str">
        <f t="shared" si="33"/>
        <v>REC</v>
      </c>
      <c r="K574" t="str">
        <f t="shared" si="34"/>
        <v>048</v>
      </c>
      <c r="L574">
        <f t="shared" si="35"/>
        <v>7</v>
      </c>
    </row>
    <row r="575" spans="1:12" x14ac:dyDescent="0.35">
      <c r="A575" s="14">
        <v>29</v>
      </c>
      <c r="B575" s="15">
        <v>30</v>
      </c>
      <c r="C575" s="15">
        <v>0.42420000000000002</v>
      </c>
      <c r="D575" s="15">
        <v>0.77</v>
      </c>
      <c r="E575" s="15">
        <v>0.29849999999999999</v>
      </c>
      <c r="F575" s="15">
        <v>0</v>
      </c>
      <c r="G575" s="15">
        <v>2</v>
      </c>
      <c r="H575" s="16">
        <v>2</v>
      </c>
      <c r="I575" t="str">
        <f t="shared" si="32"/>
        <v>REC-029</v>
      </c>
      <c r="J575" t="str">
        <f t="shared" si="33"/>
        <v>REC</v>
      </c>
      <c r="K575" t="str">
        <f t="shared" si="34"/>
        <v>029</v>
      </c>
      <c r="L575">
        <f t="shared" si="35"/>
        <v>7</v>
      </c>
    </row>
    <row r="576" spans="1:12" x14ac:dyDescent="0.35">
      <c r="A576" s="14">
        <v>508</v>
      </c>
      <c r="B576" s="15">
        <v>509</v>
      </c>
      <c r="C576" s="15">
        <v>0.1061</v>
      </c>
      <c r="D576" s="15">
        <v>0.57999999999999996</v>
      </c>
      <c r="E576" s="15">
        <v>0.16420000000000001</v>
      </c>
      <c r="F576" s="15">
        <v>1</v>
      </c>
      <c r="G576" s="15">
        <v>1</v>
      </c>
      <c r="H576" s="16">
        <v>2</v>
      </c>
      <c r="I576" t="str">
        <f t="shared" si="32"/>
        <v>REC-508</v>
      </c>
      <c r="J576" t="str">
        <f t="shared" si="33"/>
        <v>REC</v>
      </c>
      <c r="K576" t="str">
        <f t="shared" si="34"/>
        <v>508</v>
      </c>
      <c r="L576">
        <f t="shared" si="35"/>
        <v>7</v>
      </c>
    </row>
    <row r="577" spans="1:12" x14ac:dyDescent="0.35">
      <c r="A577" s="14">
        <v>411</v>
      </c>
      <c r="B577" s="15">
        <v>412</v>
      </c>
      <c r="C577" s="15">
        <v>0.2273</v>
      </c>
      <c r="D577" s="15">
        <v>0.93</v>
      </c>
      <c r="E577" s="15">
        <v>0.1343</v>
      </c>
      <c r="F577" s="15">
        <v>1</v>
      </c>
      <c r="G577" s="15">
        <v>1</v>
      </c>
      <c r="H577" s="16">
        <v>2</v>
      </c>
      <c r="I577" t="str">
        <f t="shared" si="32"/>
        <v>REC-411</v>
      </c>
      <c r="J577" t="str">
        <f t="shared" si="33"/>
        <v>REC</v>
      </c>
      <c r="K577" t="str">
        <f t="shared" si="34"/>
        <v>411</v>
      </c>
      <c r="L577">
        <f t="shared" si="35"/>
        <v>7</v>
      </c>
    </row>
    <row r="578" spans="1:12" x14ac:dyDescent="0.35">
      <c r="A578" s="14">
        <v>353</v>
      </c>
      <c r="B578" s="15">
        <v>354</v>
      </c>
      <c r="C578" s="15">
        <v>0.2576</v>
      </c>
      <c r="D578" s="15">
        <v>0.56000000000000005</v>
      </c>
      <c r="E578" s="15">
        <v>0.16420000000000001</v>
      </c>
      <c r="F578" s="15">
        <v>1</v>
      </c>
      <c r="G578" s="15">
        <v>1</v>
      </c>
      <c r="H578" s="16">
        <v>2</v>
      </c>
      <c r="I578" t="str">
        <f t="shared" si="32"/>
        <v>REC-353</v>
      </c>
      <c r="J578" t="str">
        <f t="shared" si="33"/>
        <v>REC</v>
      </c>
      <c r="K578" t="str">
        <f t="shared" si="34"/>
        <v>353</v>
      </c>
      <c r="L578">
        <f t="shared" si="35"/>
        <v>7</v>
      </c>
    </row>
    <row r="579" spans="1:12" x14ac:dyDescent="0.35">
      <c r="A579" s="14">
        <v>6</v>
      </c>
      <c r="B579" s="15">
        <v>7</v>
      </c>
      <c r="C579" s="15">
        <v>0.2727</v>
      </c>
      <c r="D579" s="15">
        <v>0.8</v>
      </c>
      <c r="E579" s="15">
        <v>0</v>
      </c>
      <c r="F579" s="15">
        <v>2</v>
      </c>
      <c r="G579" s="15">
        <v>0</v>
      </c>
      <c r="H579" s="16">
        <v>2</v>
      </c>
      <c r="I579" t="str">
        <f t="shared" ref="I579:I611" si="36">"REC-"&amp;TEXT(A579,"000")</f>
        <v>REC-006</v>
      </c>
      <c r="J579" t="str">
        <f t="shared" ref="J579:J611" si="37">LEFT(I579,3)</f>
        <v>REC</v>
      </c>
      <c r="K579" t="str">
        <f t="shared" ref="K579:K611" si="38">RIGHT(I579,3)</f>
        <v>006</v>
      </c>
      <c r="L579">
        <f t="shared" ref="L579:L611" si="39">LEN(I579)</f>
        <v>7</v>
      </c>
    </row>
    <row r="580" spans="1:12" x14ac:dyDescent="0.35">
      <c r="A580" s="14">
        <v>574</v>
      </c>
      <c r="B580" s="15">
        <v>575</v>
      </c>
      <c r="C580" s="15">
        <v>0.18179999999999999</v>
      </c>
      <c r="D580" s="15">
        <v>0.86</v>
      </c>
      <c r="E580" s="15">
        <v>0.28360000000000002</v>
      </c>
      <c r="F580" s="15">
        <v>0</v>
      </c>
      <c r="G580" s="15">
        <v>1</v>
      </c>
      <c r="H580" s="16">
        <v>1</v>
      </c>
      <c r="I580" t="str">
        <f t="shared" si="36"/>
        <v>REC-574</v>
      </c>
      <c r="J580" t="str">
        <f t="shared" si="37"/>
        <v>REC</v>
      </c>
      <c r="K580" t="str">
        <f t="shared" si="38"/>
        <v>574</v>
      </c>
      <c r="L580">
        <f t="shared" si="39"/>
        <v>7</v>
      </c>
    </row>
    <row r="581" spans="1:12" x14ac:dyDescent="0.35">
      <c r="A581" s="14">
        <v>551</v>
      </c>
      <c r="B581" s="15">
        <v>552</v>
      </c>
      <c r="C581" s="15">
        <v>0.16669999999999999</v>
      </c>
      <c r="D581" s="15">
        <v>0.74</v>
      </c>
      <c r="E581" s="15">
        <v>0.1045</v>
      </c>
      <c r="F581" s="15">
        <v>0</v>
      </c>
      <c r="G581" s="15">
        <v>1</v>
      </c>
      <c r="H581" s="16">
        <v>1</v>
      </c>
      <c r="I581" t="str">
        <f t="shared" si="36"/>
        <v>REC-551</v>
      </c>
      <c r="J581" t="str">
        <f t="shared" si="37"/>
        <v>REC</v>
      </c>
      <c r="K581" t="str">
        <f t="shared" si="38"/>
        <v>551</v>
      </c>
      <c r="L581">
        <f t="shared" si="39"/>
        <v>7</v>
      </c>
    </row>
    <row r="582" spans="1:12" x14ac:dyDescent="0.35">
      <c r="A582" s="14">
        <v>528</v>
      </c>
      <c r="B582" s="15">
        <v>529</v>
      </c>
      <c r="C582" s="15">
        <v>6.0600000000000001E-2</v>
      </c>
      <c r="D582" s="15">
        <v>0.48</v>
      </c>
      <c r="E582" s="15">
        <v>0.1343</v>
      </c>
      <c r="F582" s="15">
        <v>0</v>
      </c>
      <c r="G582" s="15">
        <v>1</v>
      </c>
      <c r="H582" s="16">
        <v>1</v>
      </c>
      <c r="I582" t="str">
        <f t="shared" si="36"/>
        <v>REC-528</v>
      </c>
      <c r="J582" t="str">
        <f t="shared" si="37"/>
        <v>REC</v>
      </c>
      <c r="K582" t="str">
        <f t="shared" si="38"/>
        <v>528</v>
      </c>
      <c r="L582">
        <f t="shared" si="39"/>
        <v>7</v>
      </c>
    </row>
    <row r="583" spans="1:12" x14ac:dyDescent="0.35">
      <c r="A583" s="14">
        <v>527</v>
      </c>
      <c r="B583" s="15">
        <v>528</v>
      </c>
      <c r="C583" s="15">
        <v>3.0300000000000001E-2</v>
      </c>
      <c r="D583" s="15">
        <v>0.45</v>
      </c>
      <c r="E583" s="15">
        <v>0.25369999999999998</v>
      </c>
      <c r="F583" s="15">
        <v>0</v>
      </c>
      <c r="G583" s="15">
        <v>1</v>
      </c>
      <c r="H583" s="16">
        <v>1</v>
      </c>
      <c r="I583" t="str">
        <f t="shared" si="36"/>
        <v>REC-527</v>
      </c>
      <c r="J583" t="str">
        <f t="shared" si="37"/>
        <v>REC</v>
      </c>
      <c r="K583" t="str">
        <f t="shared" si="38"/>
        <v>527</v>
      </c>
      <c r="L583">
        <f t="shared" si="39"/>
        <v>7</v>
      </c>
    </row>
    <row r="584" spans="1:12" x14ac:dyDescent="0.35">
      <c r="A584" s="14">
        <v>526</v>
      </c>
      <c r="B584" s="15">
        <v>527</v>
      </c>
      <c r="C584" s="15">
        <v>4.5499999999999999E-2</v>
      </c>
      <c r="D584" s="15">
        <v>0.45</v>
      </c>
      <c r="E584" s="15">
        <v>0.19400000000000001</v>
      </c>
      <c r="F584" s="15">
        <v>0</v>
      </c>
      <c r="G584" s="15">
        <v>1</v>
      </c>
      <c r="H584" s="16">
        <v>1</v>
      </c>
      <c r="I584" t="str">
        <f t="shared" si="36"/>
        <v>REC-526</v>
      </c>
      <c r="J584" t="str">
        <f t="shared" si="37"/>
        <v>REC</v>
      </c>
      <c r="K584" t="str">
        <f t="shared" si="38"/>
        <v>526</v>
      </c>
      <c r="L584">
        <f t="shared" si="39"/>
        <v>7</v>
      </c>
    </row>
    <row r="585" spans="1:12" x14ac:dyDescent="0.35">
      <c r="A585" s="14">
        <v>507</v>
      </c>
      <c r="B585" s="15">
        <v>508</v>
      </c>
      <c r="C585" s="15">
        <v>7.5800000000000006E-2</v>
      </c>
      <c r="D585" s="15">
        <v>0.56999999999999995</v>
      </c>
      <c r="E585" s="15">
        <v>0.1045</v>
      </c>
      <c r="F585" s="15">
        <v>0</v>
      </c>
      <c r="G585" s="15">
        <v>1</v>
      </c>
      <c r="H585" s="16">
        <v>1</v>
      </c>
      <c r="I585" t="str">
        <f t="shared" si="36"/>
        <v>REC-507</v>
      </c>
      <c r="J585" t="str">
        <f t="shared" si="37"/>
        <v>REC</v>
      </c>
      <c r="K585" t="str">
        <f t="shared" si="38"/>
        <v>507</v>
      </c>
      <c r="L585">
        <f t="shared" si="39"/>
        <v>7</v>
      </c>
    </row>
    <row r="586" spans="1:12" x14ac:dyDescent="0.35">
      <c r="A586" s="14">
        <v>459</v>
      </c>
      <c r="B586" s="15">
        <v>460</v>
      </c>
      <c r="C586" s="15">
        <v>0.2576</v>
      </c>
      <c r="D586" s="15">
        <v>0.87</v>
      </c>
      <c r="E586" s="15">
        <v>8.9599999999999999E-2</v>
      </c>
      <c r="F586" s="15">
        <v>0</v>
      </c>
      <c r="G586" s="15">
        <v>1</v>
      </c>
      <c r="H586" s="16">
        <v>1</v>
      </c>
      <c r="I586" t="str">
        <f t="shared" si="36"/>
        <v>REC-459</v>
      </c>
      <c r="J586" t="str">
        <f t="shared" si="37"/>
        <v>REC</v>
      </c>
      <c r="K586" t="str">
        <f t="shared" si="38"/>
        <v>459</v>
      </c>
      <c r="L586">
        <f t="shared" si="39"/>
        <v>7</v>
      </c>
    </row>
    <row r="587" spans="1:12" x14ac:dyDescent="0.35">
      <c r="A587" s="14">
        <v>458</v>
      </c>
      <c r="B587" s="15">
        <v>459</v>
      </c>
      <c r="C587" s="15">
        <v>0.21210000000000001</v>
      </c>
      <c r="D587" s="15">
        <v>0.8</v>
      </c>
      <c r="E587" s="15">
        <v>0.29849999999999999</v>
      </c>
      <c r="F587" s="15">
        <v>0</v>
      </c>
      <c r="G587" s="15">
        <v>1</v>
      </c>
      <c r="H587" s="16">
        <v>1</v>
      </c>
      <c r="I587" t="str">
        <f t="shared" si="36"/>
        <v>REC-458</v>
      </c>
      <c r="J587" t="str">
        <f t="shared" si="37"/>
        <v>REC</v>
      </c>
      <c r="K587" t="str">
        <f t="shared" si="38"/>
        <v>458</v>
      </c>
      <c r="L587">
        <f t="shared" si="39"/>
        <v>7</v>
      </c>
    </row>
    <row r="588" spans="1:12" x14ac:dyDescent="0.35">
      <c r="A588" s="14">
        <v>435</v>
      </c>
      <c r="B588" s="15">
        <v>436</v>
      </c>
      <c r="C588" s="15">
        <v>0.2576</v>
      </c>
      <c r="D588" s="15">
        <v>0.56000000000000005</v>
      </c>
      <c r="E588" s="15">
        <v>0.16420000000000001</v>
      </c>
      <c r="F588" s="15">
        <v>0</v>
      </c>
      <c r="G588" s="15">
        <v>1</v>
      </c>
      <c r="H588" s="16">
        <v>1</v>
      </c>
      <c r="I588" t="str">
        <f t="shared" si="36"/>
        <v>REC-435</v>
      </c>
      <c r="J588" t="str">
        <f t="shared" si="37"/>
        <v>REC</v>
      </c>
      <c r="K588" t="str">
        <f t="shared" si="38"/>
        <v>435</v>
      </c>
      <c r="L588">
        <f t="shared" si="39"/>
        <v>7</v>
      </c>
    </row>
    <row r="589" spans="1:12" x14ac:dyDescent="0.35">
      <c r="A589" s="14">
        <v>434</v>
      </c>
      <c r="B589" s="15">
        <v>435</v>
      </c>
      <c r="C589" s="15">
        <v>0.2576</v>
      </c>
      <c r="D589" s="15">
        <v>0.56000000000000005</v>
      </c>
      <c r="E589" s="15">
        <v>0.16420000000000001</v>
      </c>
      <c r="F589" s="15">
        <v>0</v>
      </c>
      <c r="G589" s="15">
        <v>1</v>
      </c>
      <c r="H589" s="16">
        <v>1</v>
      </c>
      <c r="I589" t="str">
        <f t="shared" si="36"/>
        <v>REC-434</v>
      </c>
      <c r="J589" t="str">
        <f t="shared" si="37"/>
        <v>REC</v>
      </c>
      <c r="K589" t="str">
        <f t="shared" si="38"/>
        <v>434</v>
      </c>
      <c r="L589">
        <f t="shared" si="39"/>
        <v>7</v>
      </c>
    </row>
    <row r="590" spans="1:12" x14ac:dyDescent="0.35">
      <c r="A590" s="14">
        <v>377</v>
      </c>
      <c r="B590" s="15">
        <v>378</v>
      </c>
      <c r="C590" s="15">
        <v>0.19700000000000001</v>
      </c>
      <c r="D590" s="15">
        <v>0.43</v>
      </c>
      <c r="E590" s="15">
        <v>0.16420000000000001</v>
      </c>
      <c r="F590" s="15">
        <v>0</v>
      </c>
      <c r="G590" s="15">
        <v>1</v>
      </c>
      <c r="H590" s="16">
        <v>1</v>
      </c>
      <c r="I590" t="str">
        <f t="shared" si="36"/>
        <v>REC-377</v>
      </c>
      <c r="J590" t="str">
        <f t="shared" si="37"/>
        <v>REC</v>
      </c>
      <c r="K590" t="str">
        <f t="shared" si="38"/>
        <v>377</v>
      </c>
      <c r="L590">
        <f t="shared" si="39"/>
        <v>7</v>
      </c>
    </row>
    <row r="591" spans="1:12" x14ac:dyDescent="0.35">
      <c r="A591" s="14">
        <v>354</v>
      </c>
      <c r="B591" s="15">
        <v>355</v>
      </c>
      <c r="C591" s="15">
        <v>0.2576</v>
      </c>
      <c r="D591" s="15">
        <v>0.56000000000000005</v>
      </c>
      <c r="E591" s="15">
        <v>0.16420000000000001</v>
      </c>
      <c r="F591" s="15">
        <v>0</v>
      </c>
      <c r="G591" s="15">
        <v>1</v>
      </c>
      <c r="H591" s="16">
        <v>1</v>
      </c>
      <c r="I591" t="str">
        <f t="shared" si="36"/>
        <v>REC-354</v>
      </c>
      <c r="J591" t="str">
        <f t="shared" si="37"/>
        <v>REC</v>
      </c>
      <c r="K591" t="str">
        <f t="shared" si="38"/>
        <v>354</v>
      </c>
      <c r="L591">
        <f t="shared" si="39"/>
        <v>7</v>
      </c>
    </row>
    <row r="592" spans="1:12" x14ac:dyDescent="0.35">
      <c r="A592" s="14">
        <v>352</v>
      </c>
      <c r="B592" s="15">
        <v>353</v>
      </c>
      <c r="C592" s="15">
        <v>0.2576</v>
      </c>
      <c r="D592" s="15">
        <v>0.56000000000000005</v>
      </c>
      <c r="E592" s="15">
        <v>0.16420000000000001</v>
      </c>
      <c r="F592" s="15">
        <v>0</v>
      </c>
      <c r="G592" s="15">
        <v>1</v>
      </c>
      <c r="H592" s="16">
        <v>1</v>
      </c>
      <c r="I592" t="str">
        <f t="shared" si="36"/>
        <v>REC-352</v>
      </c>
      <c r="J592" t="str">
        <f t="shared" si="37"/>
        <v>REC</v>
      </c>
      <c r="K592" t="str">
        <f t="shared" si="38"/>
        <v>352</v>
      </c>
      <c r="L592">
        <f t="shared" si="39"/>
        <v>7</v>
      </c>
    </row>
    <row r="593" spans="1:12" x14ac:dyDescent="0.35">
      <c r="A593" s="14">
        <v>329</v>
      </c>
      <c r="B593" s="15">
        <v>330</v>
      </c>
      <c r="C593" s="15">
        <v>0.2273</v>
      </c>
      <c r="D593" s="15">
        <v>0.59</v>
      </c>
      <c r="E593" s="15">
        <v>0</v>
      </c>
      <c r="F593" s="15">
        <v>0</v>
      </c>
      <c r="G593" s="15">
        <v>1</v>
      </c>
      <c r="H593" s="16">
        <v>1</v>
      </c>
      <c r="I593" t="str">
        <f t="shared" si="36"/>
        <v>REC-329</v>
      </c>
      <c r="J593" t="str">
        <f t="shared" si="37"/>
        <v>REC</v>
      </c>
      <c r="K593" t="str">
        <f t="shared" si="38"/>
        <v>329</v>
      </c>
      <c r="L593">
        <f t="shared" si="39"/>
        <v>7</v>
      </c>
    </row>
    <row r="594" spans="1:12" x14ac:dyDescent="0.35">
      <c r="A594" s="14">
        <v>304</v>
      </c>
      <c r="B594" s="15">
        <v>305</v>
      </c>
      <c r="C594" s="15">
        <v>0.13639999999999999</v>
      </c>
      <c r="D594" s="15">
        <v>0.54</v>
      </c>
      <c r="E594" s="15">
        <v>0.1045</v>
      </c>
      <c r="F594" s="15">
        <v>0</v>
      </c>
      <c r="G594" s="15">
        <v>1</v>
      </c>
      <c r="H594" s="16">
        <v>1</v>
      </c>
      <c r="I594" t="str">
        <f t="shared" si="36"/>
        <v>REC-304</v>
      </c>
      <c r="J594" t="str">
        <f t="shared" si="37"/>
        <v>REC</v>
      </c>
      <c r="K594" t="str">
        <f t="shared" si="38"/>
        <v>304</v>
      </c>
      <c r="L594">
        <f t="shared" si="39"/>
        <v>7</v>
      </c>
    </row>
    <row r="595" spans="1:12" x14ac:dyDescent="0.35">
      <c r="A595" s="14">
        <v>303</v>
      </c>
      <c r="B595" s="15">
        <v>304</v>
      </c>
      <c r="C595" s="15">
        <v>0.1212</v>
      </c>
      <c r="D595" s="15">
        <v>0.54</v>
      </c>
      <c r="E595" s="15">
        <v>0.1343</v>
      </c>
      <c r="F595" s="15">
        <v>0</v>
      </c>
      <c r="G595" s="15">
        <v>1</v>
      </c>
      <c r="H595" s="16">
        <v>1</v>
      </c>
      <c r="I595" t="str">
        <f t="shared" si="36"/>
        <v>REC-303</v>
      </c>
      <c r="J595" t="str">
        <f t="shared" si="37"/>
        <v>REC</v>
      </c>
      <c r="K595" t="str">
        <f t="shared" si="38"/>
        <v>303</v>
      </c>
      <c r="L595">
        <f t="shared" si="39"/>
        <v>7</v>
      </c>
    </row>
    <row r="596" spans="1:12" x14ac:dyDescent="0.35">
      <c r="A596" s="14">
        <v>257</v>
      </c>
      <c r="B596" s="15">
        <v>258</v>
      </c>
      <c r="C596" s="15">
        <v>0.1515</v>
      </c>
      <c r="D596" s="15">
        <v>0.86</v>
      </c>
      <c r="E596" s="15">
        <v>0.1343</v>
      </c>
      <c r="F596" s="15">
        <v>0</v>
      </c>
      <c r="G596" s="15">
        <v>1</v>
      </c>
      <c r="H596" s="16">
        <v>1</v>
      </c>
      <c r="I596" t="str">
        <f t="shared" si="36"/>
        <v>REC-257</v>
      </c>
      <c r="J596" t="str">
        <f t="shared" si="37"/>
        <v>REC</v>
      </c>
      <c r="K596" t="str">
        <f t="shared" si="38"/>
        <v>257</v>
      </c>
      <c r="L596">
        <f t="shared" si="39"/>
        <v>7</v>
      </c>
    </row>
    <row r="597" spans="1:12" x14ac:dyDescent="0.35">
      <c r="A597" s="14">
        <v>212</v>
      </c>
      <c r="B597" s="15">
        <v>213</v>
      </c>
      <c r="C597" s="15">
        <v>0.1212</v>
      </c>
      <c r="D597" s="15">
        <v>0.5</v>
      </c>
      <c r="E597" s="15">
        <v>0.22389999999999999</v>
      </c>
      <c r="F597" s="15">
        <v>0</v>
      </c>
      <c r="G597" s="15">
        <v>1</v>
      </c>
      <c r="H597" s="16">
        <v>1</v>
      </c>
      <c r="I597" t="str">
        <f t="shared" si="36"/>
        <v>REC-212</v>
      </c>
      <c r="J597" t="str">
        <f t="shared" si="37"/>
        <v>REC</v>
      </c>
      <c r="K597" t="str">
        <f t="shared" si="38"/>
        <v>212</v>
      </c>
      <c r="L597">
        <f t="shared" si="39"/>
        <v>7</v>
      </c>
    </row>
    <row r="598" spans="1:12" x14ac:dyDescent="0.35">
      <c r="A598" s="14">
        <v>191</v>
      </c>
      <c r="B598" s="15">
        <v>192</v>
      </c>
      <c r="C598" s="15">
        <v>9.0899999999999995E-2</v>
      </c>
      <c r="D598" s="15">
        <v>0.49</v>
      </c>
      <c r="E598" s="15">
        <v>0.28360000000000002</v>
      </c>
      <c r="F598" s="15">
        <v>0</v>
      </c>
      <c r="G598" s="15">
        <v>1</v>
      </c>
      <c r="H598" s="16">
        <v>1</v>
      </c>
      <c r="I598" t="str">
        <f t="shared" si="36"/>
        <v>REC-191</v>
      </c>
      <c r="J598" t="str">
        <f t="shared" si="37"/>
        <v>REC</v>
      </c>
      <c r="K598" t="str">
        <f t="shared" si="38"/>
        <v>191</v>
      </c>
      <c r="L598">
        <f t="shared" si="39"/>
        <v>7</v>
      </c>
    </row>
    <row r="599" spans="1:12" x14ac:dyDescent="0.35">
      <c r="A599" s="14">
        <v>190</v>
      </c>
      <c r="B599" s="15">
        <v>191</v>
      </c>
      <c r="C599" s="15">
        <v>9.0899999999999995E-2</v>
      </c>
      <c r="D599" s="15">
        <v>0.53</v>
      </c>
      <c r="E599" s="15">
        <v>0.19400000000000001</v>
      </c>
      <c r="F599" s="15">
        <v>0</v>
      </c>
      <c r="G599" s="15">
        <v>1</v>
      </c>
      <c r="H599" s="16">
        <v>1</v>
      </c>
      <c r="I599" t="str">
        <f t="shared" si="36"/>
        <v>REC-190</v>
      </c>
      <c r="J599" t="str">
        <f t="shared" si="37"/>
        <v>REC</v>
      </c>
      <c r="K599" t="str">
        <f t="shared" si="38"/>
        <v>190</v>
      </c>
      <c r="L599">
        <f t="shared" si="39"/>
        <v>7</v>
      </c>
    </row>
    <row r="600" spans="1:12" x14ac:dyDescent="0.35">
      <c r="A600" s="14">
        <v>189</v>
      </c>
      <c r="B600" s="15">
        <v>190</v>
      </c>
      <c r="C600" s="15">
        <v>9.0899999999999995E-2</v>
      </c>
      <c r="D600" s="15">
        <v>0.53</v>
      </c>
      <c r="E600" s="15">
        <v>0.19400000000000001</v>
      </c>
      <c r="F600" s="15">
        <v>0</v>
      </c>
      <c r="G600" s="15">
        <v>1</v>
      </c>
      <c r="H600" s="16">
        <v>1</v>
      </c>
      <c r="I600" t="str">
        <f t="shared" si="36"/>
        <v>REC-189</v>
      </c>
      <c r="J600" t="str">
        <f t="shared" si="37"/>
        <v>REC</v>
      </c>
      <c r="K600" t="str">
        <f t="shared" si="38"/>
        <v>189</v>
      </c>
      <c r="L600">
        <f t="shared" si="39"/>
        <v>7</v>
      </c>
    </row>
    <row r="601" spans="1:12" x14ac:dyDescent="0.35">
      <c r="A601" s="14">
        <v>165</v>
      </c>
      <c r="B601" s="15">
        <v>166</v>
      </c>
      <c r="C601" s="15">
        <v>0.19700000000000001</v>
      </c>
      <c r="D601" s="15">
        <v>0.55000000000000004</v>
      </c>
      <c r="E601" s="15">
        <v>0.16420000000000001</v>
      </c>
      <c r="F601" s="15">
        <v>0</v>
      </c>
      <c r="G601" s="15">
        <v>1</v>
      </c>
      <c r="H601" s="16">
        <v>1</v>
      </c>
      <c r="I601" t="str">
        <f t="shared" si="36"/>
        <v>REC-165</v>
      </c>
      <c r="J601" t="str">
        <f t="shared" si="37"/>
        <v>REC</v>
      </c>
      <c r="K601" t="str">
        <f t="shared" si="38"/>
        <v>165</v>
      </c>
      <c r="L601">
        <f t="shared" si="39"/>
        <v>7</v>
      </c>
    </row>
    <row r="602" spans="1:12" x14ac:dyDescent="0.35">
      <c r="A602" s="14">
        <v>141</v>
      </c>
      <c r="B602" s="15">
        <v>142</v>
      </c>
      <c r="C602" s="15">
        <v>0.21210000000000001</v>
      </c>
      <c r="D602" s="15">
        <v>0.69</v>
      </c>
      <c r="E602" s="15">
        <v>0.1343</v>
      </c>
      <c r="F602" s="15">
        <v>0</v>
      </c>
      <c r="G602" s="15">
        <v>1</v>
      </c>
      <c r="H602" s="16">
        <v>1</v>
      </c>
      <c r="I602" t="str">
        <f t="shared" si="36"/>
        <v>REC-141</v>
      </c>
      <c r="J602" t="str">
        <f t="shared" si="37"/>
        <v>REC</v>
      </c>
      <c r="K602" t="str">
        <f t="shared" si="38"/>
        <v>141</v>
      </c>
      <c r="L602">
        <f t="shared" si="39"/>
        <v>7</v>
      </c>
    </row>
    <row r="603" spans="1:12" x14ac:dyDescent="0.35">
      <c r="A603" s="14">
        <v>140</v>
      </c>
      <c r="B603" s="15">
        <v>141</v>
      </c>
      <c r="C603" s="15">
        <v>0.19700000000000001</v>
      </c>
      <c r="D603" s="15">
        <v>0.69</v>
      </c>
      <c r="E603" s="15">
        <v>0.22389999999999999</v>
      </c>
      <c r="F603" s="15">
        <v>0</v>
      </c>
      <c r="G603" s="15">
        <v>1</v>
      </c>
      <c r="H603" s="16">
        <v>1</v>
      </c>
      <c r="I603" t="str">
        <f t="shared" si="36"/>
        <v>REC-140</v>
      </c>
      <c r="J603" t="str">
        <f t="shared" si="37"/>
        <v>REC</v>
      </c>
      <c r="K603" t="str">
        <f t="shared" si="38"/>
        <v>140</v>
      </c>
      <c r="L603">
        <f t="shared" si="39"/>
        <v>7</v>
      </c>
    </row>
    <row r="604" spans="1:12" x14ac:dyDescent="0.35">
      <c r="A604" s="14">
        <v>118</v>
      </c>
      <c r="B604" s="15">
        <v>119</v>
      </c>
      <c r="C604" s="15">
        <v>0.19700000000000001</v>
      </c>
      <c r="D604" s="15">
        <v>0.64</v>
      </c>
      <c r="E604" s="15">
        <v>8.9599999999999999E-2</v>
      </c>
      <c r="F604" s="15">
        <v>0</v>
      </c>
      <c r="G604" s="15">
        <v>1</v>
      </c>
      <c r="H604" s="16">
        <v>1</v>
      </c>
      <c r="I604" t="str">
        <f t="shared" si="36"/>
        <v>REC-118</v>
      </c>
      <c r="J604" t="str">
        <f t="shared" si="37"/>
        <v>REC</v>
      </c>
      <c r="K604" t="str">
        <f t="shared" si="38"/>
        <v>118</v>
      </c>
      <c r="L604">
        <f t="shared" si="39"/>
        <v>7</v>
      </c>
    </row>
    <row r="605" spans="1:12" x14ac:dyDescent="0.35">
      <c r="A605" s="14">
        <v>71</v>
      </c>
      <c r="B605" s="15">
        <v>72</v>
      </c>
      <c r="C605" s="15">
        <v>0.1515</v>
      </c>
      <c r="D605" s="15">
        <v>0.63</v>
      </c>
      <c r="E605" s="15">
        <v>0.1343</v>
      </c>
      <c r="F605" s="15">
        <v>0</v>
      </c>
      <c r="G605" s="15">
        <v>1</v>
      </c>
      <c r="H605" s="16">
        <v>1</v>
      </c>
      <c r="I605" t="str">
        <f t="shared" si="36"/>
        <v>REC-071</v>
      </c>
      <c r="J605" t="str">
        <f t="shared" si="37"/>
        <v>REC</v>
      </c>
      <c r="K605" t="str">
        <f t="shared" si="38"/>
        <v>071</v>
      </c>
      <c r="L605">
        <f t="shared" si="39"/>
        <v>7</v>
      </c>
    </row>
    <row r="606" spans="1:12" x14ac:dyDescent="0.35">
      <c r="A606" s="14">
        <v>49</v>
      </c>
      <c r="B606" s="15">
        <v>50</v>
      </c>
      <c r="C606" s="15">
        <v>0.13639999999999999</v>
      </c>
      <c r="D606" s="15">
        <v>0.47</v>
      </c>
      <c r="E606" s="15">
        <v>0.3881</v>
      </c>
      <c r="F606" s="15">
        <v>0</v>
      </c>
      <c r="G606" s="15">
        <v>1</v>
      </c>
      <c r="H606" s="16">
        <v>1</v>
      </c>
      <c r="I606" t="str">
        <f t="shared" si="36"/>
        <v>REC-049</v>
      </c>
      <c r="J606" t="str">
        <f t="shared" si="37"/>
        <v>REC</v>
      </c>
      <c r="K606" t="str">
        <f t="shared" si="38"/>
        <v>049</v>
      </c>
      <c r="L606">
        <f t="shared" si="39"/>
        <v>7</v>
      </c>
    </row>
    <row r="607" spans="1:12" x14ac:dyDescent="0.35">
      <c r="A607" s="14">
        <v>30</v>
      </c>
      <c r="B607" s="15">
        <v>31</v>
      </c>
      <c r="C607" s="15">
        <v>0.40910000000000002</v>
      </c>
      <c r="D607" s="15">
        <v>0.76</v>
      </c>
      <c r="E607" s="15">
        <v>0.19400000000000001</v>
      </c>
      <c r="F607" s="15">
        <v>0</v>
      </c>
      <c r="G607" s="15">
        <v>1</v>
      </c>
      <c r="H607" s="16">
        <v>1</v>
      </c>
      <c r="I607" t="str">
        <f t="shared" si="36"/>
        <v>REC-030</v>
      </c>
      <c r="J607" t="str">
        <f t="shared" si="37"/>
        <v>REC</v>
      </c>
      <c r="K607" t="str">
        <f t="shared" si="38"/>
        <v>030</v>
      </c>
      <c r="L607">
        <f t="shared" si="39"/>
        <v>7</v>
      </c>
    </row>
    <row r="608" spans="1:12" x14ac:dyDescent="0.35">
      <c r="A608" s="14">
        <v>5</v>
      </c>
      <c r="B608" s="15">
        <v>6</v>
      </c>
      <c r="C608" s="15">
        <v>0.2576</v>
      </c>
      <c r="D608" s="15">
        <v>0.75</v>
      </c>
      <c r="E608" s="15">
        <v>8.9599999999999999E-2</v>
      </c>
      <c r="F608" s="15">
        <v>0</v>
      </c>
      <c r="G608" s="15">
        <v>1</v>
      </c>
      <c r="H608" s="16">
        <v>1</v>
      </c>
      <c r="I608" t="str">
        <f t="shared" si="36"/>
        <v>REC-005</v>
      </c>
      <c r="J608" t="str">
        <f t="shared" si="37"/>
        <v>REC</v>
      </c>
      <c r="K608" t="str">
        <f t="shared" si="38"/>
        <v>005</v>
      </c>
      <c r="L608">
        <f t="shared" si="39"/>
        <v>7</v>
      </c>
    </row>
    <row r="609" spans="1:12" x14ac:dyDescent="0.35">
      <c r="A609" s="14">
        <v>4</v>
      </c>
      <c r="B609" s="15">
        <v>5</v>
      </c>
      <c r="C609" s="15">
        <v>0.28789999999999999</v>
      </c>
      <c r="D609" s="15">
        <v>0.75</v>
      </c>
      <c r="E609" s="15">
        <v>0</v>
      </c>
      <c r="F609" s="15">
        <v>0</v>
      </c>
      <c r="G609" s="15">
        <v>1</v>
      </c>
      <c r="H609" s="16">
        <v>1</v>
      </c>
      <c r="I609" t="str">
        <f t="shared" si="36"/>
        <v>REC-004</v>
      </c>
      <c r="J609" t="str">
        <f t="shared" si="37"/>
        <v>REC</v>
      </c>
      <c r="K609" t="str">
        <f t="shared" si="38"/>
        <v>004</v>
      </c>
      <c r="L609">
        <f t="shared" si="39"/>
        <v>7</v>
      </c>
    </row>
    <row r="610" spans="1:12" x14ac:dyDescent="0.35">
      <c r="A610" s="14">
        <v>598</v>
      </c>
      <c r="B610" s="15">
        <v>599</v>
      </c>
      <c r="C610" s="15">
        <v>0.2273</v>
      </c>
      <c r="D610" s="15">
        <v>0.75</v>
      </c>
      <c r="E610" s="15">
        <v>0.1045</v>
      </c>
      <c r="F610" s="15">
        <v>1</v>
      </c>
      <c r="G610" s="15">
        <v>0</v>
      </c>
      <c r="H610" s="16">
        <v>1</v>
      </c>
      <c r="I610" t="str">
        <f t="shared" si="36"/>
        <v>REC-598</v>
      </c>
      <c r="J610" t="str">
        <f t="shared" si="37"/>
        <v>REC</v>
      </c>
      <c r="K610" t="str">
        <f t="shared" si="38"/>
        <v>598</v>
      </c>
      <c r="L610">
        <f t="shared" si="39"/>
        <v>7</v>
      </c>
    </row>
    <row r="611" spans="1:12" x14ac:dyDescent="0.35">
      <c r="A611" s="18">
        <v>210</v>
      </c>
      <c r="B611" s="19">
        <v>211</v>
      </c>
      <c r="C611" s="19">
        <v>0.1212</v>
      </c>
      <c r="D611" s="19">
        <v>0.5</v>
      </c>
      <c r="E611" s="19">
        <v>0.28360000000000002</v>
      </c>
      <c r="F611" s="19">
        <v>1</v>
      </c>
      <c r="G611" s="19">
        <v>0</v>
      </c>
      <c r="H611" s="20">
        <v>1</v>
      </c>
      <c r="I611" t="str">
        <f t="shared" si="36"/>
        <v>REC-210</v>
      </c>
      <c r="J611" t="str">
        <f t="shared" si="37"/>
        <v>REC</v>
      </c>
      <c r="K611" t="str">
        <f t="shared" si="38"/>
        <v>210</v>
      </c>
      <c r="L611">
        <f t="shared" si="39"/>
        <v>7</v>
      </c>
    </row>
  </sheetData>
  <mergeCells count="1">
    <mergeCell ref="N1:O1"/>
  </mergeCells>
  <conditionalFormatting sqref="H2:H611">
    <cfRule type="top10" dxfId="10" priority="3" rank="10"/>
    <cfRule type="top10" dxfId="9" priority="4" rank="10"/>
    <cfRule type="dataBar" priority="5">
      <dataBar>
        <cfvo type="min"/>
        <cfvo type="max"/>
        <color rgb="FF638EC6"/>
      </dataBar>
      <extLst>
        <ext xmlns:x14="http://schemas.microsoft.com/office/spreadsheetml/2009/9/main" uri="{B025F937-C7B1-47D3-B67F-A62EFF666E3E}">
          <x14:id>{B9C92BC7-3553-4BD6-8CD9-A9302C3E74E5}</x14:id>
        </ext>
      </extLst>
    </cfRule>
  </conditionalFormatting>
  <conditionalFormatting sqref="C2:E611">
    <cfRule type="containsBlanks" dxfId="8" priority="1">
      <formula>LEN(TRIM(C2))=0</formula>
    </cfRule>
    <cfRule type="containsBlanks" priority="2">
      <formula>LEN(TRIM(C2))=0</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9C92BC7-3553-4BD6-8CD9-A9302C3E74E5}">
            <x14:dataBar minLength="0" maxLength="100" border="1" negativeBarBorderColorSameAsPositive="0">
              <x14:cfvo type="autoMin"/>
              <x14:cfvo type="autoMax"/>
              <x14:borderColor rgb="FF638EC6"/>
              <x14:negativeFillColor rgb="FFFF0000"/>
              <x14:negativeBorderColor rgb="FFFF0000"/>
              <x14:axisColor rgb="FF000000"/>
            </x14:dataBar>
          </x14:cfRule>
          <xm:sqref>H2:H611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D494-E9FA-45AC-9DA4-3C2BCF1B49A0}">
  <dimension ref="A1:X391"/>
  <sheetViews>
    <sheetView topLeftCell="B1" workbookViewId="0">
      <selection activeCell="P2" sqref="P2"/>
    </sheetView>
  </sheetViews>
  <sheetFormatPr defaultRowHeight="14.5" x14ac:dyDescent="0.35"/>
  <cols>
    <col min="2" max="2" width="9.1796875" bestFit="1" customWidth="1"/>
    <col min="18" max="18" width="11.08984375" bestFit="1" customWidth="1"/>
    <col min="23" max="23" width="19.7265625" bestFit="1" customWidth="1"/>
    <col min="24" max="24" width="11.81640625" bestFit="1" customWidth="1"/>
  </cols>
  <sheetData>
    <row r="1" spans="1:24" ht="18.5" x14ac:dyDescent="0.45">
      <c r="A1" s="33" t="s">
        <v>0</v>
      </c>
      <c r="B1" s="33" t="s">
        <v>16</v>
      </c>
      <c r="C1" s="33" t="s">
        <v>2</v>
      </c>
      <c r="D1" s="33" t="s">
        <v>17</v>
      </c>
      <c r="E1" s="33" t="s">
        <v>18</v>
      </c>
      <c r="F1" s="33" t="s">
        <v>19</v>
      </c>
      <c r="G1" s="33" t="s">
        <v>20</v>
      </c>
      <c r="H1" s="33" t="s">
        <v>21</v>
      </c>
      <c r="I1" s="33" t="s">
        <v>22</v>
      </c>
      <c r="J1" s="33" t="s">
        <v>23</v>
      </c>
      <c r="K1" s="33" t="s">
        <v>10</v>
      </c>
      <c r="L1" s="33" t="s">
        <v>11</v>
      </c>
      <c r="M1" s="33" t="s">
        <v>12</v>
      </c>
      <c r="N1" s="33" t="s">
        <v>13</v>
      </c>
      <c r="O1" s="33" t="s">
        <v>14</v>
      </c>
      <c r="P1" s="34" t="s">
        <v>15</v>
      </c>
      <c r="Q1" s="36"/>
      <c r="R1" s="31" t="s">
        <v>42</v>
      </c>
      <c r="S1" s="31" t="s">
        <v>43</v>
      </c>
      <c r="T1" s="31" t="s">
        <v>44</v>
      </c>
      <c r="U1" s="31" t="s">
        <v>52</v>
      </c>
      <c r="W1" s="134" t="s">
        <v>45</v>
      </c>
      <c r="X1" s="135"/>
    </row>
    <row r="2" spans="1:24" x14ac:dyDescent="0.35">
      <c r="A2" s="1">
        <v>611</v>
      </c>
      <c r="B2" s="25">
        <v>40571</v>
      </c>
      <c r="C2" s="1">
        <v>1</v>
      </c>
      <c r="D2" s="1">
        <v>0</v>
      </c>
      <c r="E2" s="1">
        <v>1</v>
      </c>
      <c r="F2" s="1">
        <v>16</v>
      </c>
      <c r="G2" s="1" t="b">
        <v>0</v>
      </c>
      <c r="H2" s="1">
        <v>5</v>
      </c>
      <c r="I2" s="1">
        <v>1</v>
      </c>
      <c r="J2" s="26">
        <v>0.22</v>
      </c>
      <c r="K2" s="26">
        <v>0.2727</v>
      </c>
      <c r="L2" s="27">
        <v>0.8</v>
      </c>
      <c r="M2" s="27">
        <v>0</v>
      </c>
      <c r="N2" s="28">
        <v>10</v>
      </c>
      <c r="O2" s="29">
        <v>70</v>
      </c>
      <c r="P2" s="30">
        <v>80</v>
      </c>
      <c r="Q2" s="35"/>
      <c r="R2" s="32" t="str">
        <f t="shared" ref="R2:R65" si="0">TEXT(B2,"dd-mmm-yyyy")</f>
        <v>28-Jan-2011</v>
      </c>
      <c r="S2" s="32" t="str">
        <f>LEFT(R2,2)</f>
        <v>28</v>
      </c>
      <c r="T2" s="32" t="str">
        <f>RIGHT(R2,4)</f>
        <v>2011</v>
      </c>
      <c r="U2" s="32">
        <f>LEN(R2)</f>
        <v>11</v>
      </c>
      <c r="W2" s="22" t="s">
        <v>47</v>
      </c>
      <c r="X2" s="23">
        <f>SUM(P2:P391)</f>
        <v>24406</v>
      </c>
    </row>
    <row r="3" spans="1:24" x14ac:dyDescent="0.35">
      <c r="A3" s="1">
        <v>612</v>
      </c>
      <c r="B3" s="25">
        <v>40571</v>
      </c>
      <c r="C3" s="1">
        <v>1</v>
      </c>
      <c r="D3" s="1">
        <v>0</v>
      </c>
      <c r="E3" s="1">
        <v>1</v>
      </c>
      <c r="F3" s="1">
        <v>17</v>
      </c>
      <c r="G3" s="1" t="b">
        <v>0</v>
      </c>
      <c r="H3" s="1">
        <v>5</v>
      </c>
      <c r="I3" s="1">
        <v>1</v>
      </c>
      <c r="J3" s="26">
        <v>0.24</v>
      </c>
      <c r="K3" s="26">
        <v>0.2424</v>
      </c>
      <c r="L3" s="27">
        <v>0.75</v>
      </c>
      <c r="M3" s="27">
        <v>0.1343</v>
      </c>
      <c r="N3" s="28">
        <v>2</v>
      </c>
      <c r="O3" s="1">
        <v>147</v>
      </c>
      <c r="P3" s="30">
        <v>149</v>
      </c>
      <c r="Q3" s="35"/>
      <c r="R3" s="32" t="str">
        <f t="shared" si="0"/>
        <v>28-Jan-2011</v>
      </c>
      <c r="S3" s="32" t="str">
        <f t="shared" ref="S3:S66" si="1">LEFT(R3,2)</f>
        <v>28</v>
      </c>
      <c r="T3" s="32" t="str">
        <f t="shared" ref="T3:T66" si="2">RIGHT(R3,4)</f>
        <v>2011</v>
      </c>
      <c r="U3" s="32">
        <f t="shared" ref="U3:U66" si="3">LEN(R3)</f>
        <v>11</v>
      </c>
      <c r="W3" s="22" t="s">
        <v>48</v>
      </c>
      <c r="X3" s="24">
        <f>AVERAGE(P2:P391)</f>
        <v>62.579487179487181</v>
      </c>
    </row>
    <row r="4" spans="1:24" x14ac:dyDescent="0.35">
      <c r="A4" s="1">
        <v>613</v>
      </c>
      <c r="B4" s="25">
        <v>40571</v>
      </c>
      <c r="C4" s="1">
        <v>1</v>
      </c>
      <c r="D4" s="1">
        <v>0</v>
      </c>
      <c r="E4" s="1">
        <v>1</v>
      </c>
      <c r="F4" s="1">
        <v>18</v>
      </c>
      <c r="G4" s="1" t="b">
        <v>0</v>
      </c>
      <c r="H4" s="1">
        <v>5</v>
      </c>
      <c r="I4" s="1">
        <v>1</v>
      </c>
      <c r="J4" s="26">
        <v>0.24</v>
      </c>
      <c r="K4" s="26">
        <v>0.2273</v>
      </c>
      <c r="L4" s="27">
        <v>0.75</v>
      </c>
      <c r="M4" s="27">
        <v>0.19400000000000001</v>
      </c>
      <c r="N4" s="28">
        <v>2</v>
      </c>
      <c r="O4" s="1">
        <v>107</v>
      </c>
      <c r="P4" s="30">
        <v>109</v>
      </c>
      <c r="Q4" s="35"/>
      <c r="R4" s="32" t="str">
        <f t="shared" si="0"/>
        <v>28-Jan-2011</v>
      </c>
      <c r="S4" s="32" t="str">
        <f t="shared" si="1"/>
        <v>28</v>
      </c>
      <c r="T4" s="32" t="str">
        <f t="shared" si="2"/>
        <v>2011</v>
      </c>
      <c r="U4" s="32">
        <f t="shared" si="3"/>
        <v>11</v>
      </c>
      <c r="W4" s="22" t="s">
        <v>49</v>
      </c>
      <c r="X4" s="22">
        <f>COUNT(P2:P391)</f>
        <v>390</v>
      </c>
    </row>
    <row r="5" spans="1:24" x14ac:dyDescent="0.35">
      <c r="A5" s="1">
        <v>614</v>
      </c>
      <c r="B5" s="25">
        <v>40571</v>
      </c>
      <c r="C5" s="1">
        <v>1</v>
      </c>
      <c r="D5" s="1">
        <v>0</v>
      </c>
      <c r="E5" s="1">
        <v>1</v>
      </c>
      <c r="F5" s="1">
        <v>19</v>
      </c>
      <c r="G5" s="1" t="b">
        <v>0</v>
      </c>
      <c r="H5" s="1">
        <v>5</v>
      </c>
      <c r="I5" s="1">
        <v>2</v>
      </c>
      <c r="J5" s="26">
        <v>0.24</v>
      </c>
      <c r="K5" s="26">
        <v>0.2424</v>
      </c>
      <c r="L5" s="27">
        <v>0.75</v>
      </c>
      <c r="M5" s="27">
        <v>0.1343</v>
      </c>
      <c r="N5" s="28">
        <v>5</v>
      </c>
      <c r="O5" s="1">
        <v>84</v>
      </c>
      <c r="P5" s="30">
        <v>89</v>
      </c>
      <c r="Q5" s="35"/>
      <c r="R5" s="32" t="str">
        <f t="shared" si="0"/>
        <v>28-Jan-2011</v>
      </c>
      <c r="S5" s="32" t="str">
        <f t="shared" si="1"/>
        <v>28</v>
      </c>
      <c r="T5" s="32" t="str">
        <f t="shared" si="2"/>
        <v>2011</v>
      </c>
      <c r="U5" s="32">
        <f t="shared" si="3"/>
        <v>11</v>
      </c>
      <c r="W5" s="22" t="s">
        <v>46</v>
      </c>
      <c r="X5" s="22">
        <f>MAX(P2:P391)</f>
        <v>243</v>
      </c>
    </row>
    <row r="6" spans="1:24" x14ac:dyDescent="0.35">
      <c r="A6" s="1">
        <v>615</v>
      </c>
      <c r="B6" s="25">
        <v>40571</v>
      </c>
      <c r="C6" s="1">
        <v>1</v>
      </c>
      <c r="D6" s="1">
        <v>0</v>
      </c>
      <c r="E6" s="1">
        <v>1</v>
      </c>
      <c r="F6" s="1">
        <v>20</v>
      </c>
      <c r="G6" s="1" t="b">
        <v>0</v>
      </c>
      <c r="H6" s="1">
        <v>5</v>
      </c>
      <c r="I6" s="1">
        <v>2</v>
      </c>
      <c r="J6" s="26">
        <v>0.24</v>
      </c>
      <c r="K6" s="26">
        <v>0.2273</v>
      </c>
      <c r="L6" s="27">
        <v>0.7</v>
      </c>
      <c r="M6" s="27">
        <v>0.19400000000000001</v>
      </c>
      <c r="N6" s="28">
        <v>1</v>
      </c>
      <c r="O6" s="1">
        <v>61</v>
      </c>
      <c r="P6" s="30">
        <v>62</v>
      </c>
      <c r="Q6" s="35"/>
      <c r="R6" s="32" t="str">
        <f t="shared" si="0"/>
        <v>28-Jan-2011</v>
      </c>
      <c r="S6" s="32" t="str">
        <f t="shared" si="1"/>
        <v>28</v>
      </c>
      <c r="T6" s="32" t="str">
        <f t="shared" si="2"/>
        <v>2011</v>
      </c>
      <c r="U6" s="32">
        <f t="shared" si="3"/>
        <v>11</v>
      </c>
      <c r="W6" s="21"/>
      <c r="X6" s="21"/>
    </row>
    <row r="7" spans="1:24" ht="18.5" x14ac:dyDescent="0.45">
      <c r="A7" s="1">
        <v>616</v>
      </c>
      <c r="B7" s="25">
        <v>40571</v>
      </c>
      <c r="C7" s="1">
        <v>1</v>
      </c>
      <c r="D7" s="1">
        <v>0</v>
      </c>
      <c r="E7" s="1">
        <v>1</v>
      </c>
      <c r="F7" s="1">
        <v>21</v>
      </c>
      <c r="G7" s="1" t="b">
        <v>0</v>
      </c>
      <c r="H7" s="1">
        <v>5</v>
      </c>
      <c r="I7" s="1">
        <v>2</v>
      </c>
      <c r="J7" s="26">
        <v>0.22</v>
      </c>
      <c r="K7" s="26">
        <v>0.2273</v>
      </c>
      <c r="L7" s="27">
        <v>0.75</v>
      </c>
      <c r="M7" s="27">
        <v>0.1343</v>
      </c>
      <c r="N7" s="28">
        <v>1</v>
      </c>
      <c r="O7" s="1">
        <v>57</v>
      </c>
      <c r="P7" s="30">
        <v>58</v>
      </c>
      <c r="Q7" s="35"/>
      <c r="R7" s="32" t="str">
        <f t="shared" si="0"/>
        <v>28-Jan-2011</v>
      </c>
      <c r="S7" s="32" t="str">
        <f t="shared" si="1"/>
        <v>28</v>
      </c>
      <c r="T7" s="32" t="str">
        <f t="shared" si="2"/>
        <v>2011</v>
      </c>
      <c r="U7" s="32">
        <f t="shared" si="3"/>
        <v>11</v>
      </c>
      <c r="W7" s="133" t="s">
        <v>50</v>
      </c>
      <c r="X7" s="133"/>
    </row>
    <row r="8" spans="1:24" x14ac:dyDescent="0.35">
      <c r="A8" s="1">
        <v>617</v>
      </c>
      <c r="B8" s="25">
        <v>40571</v>
      </c>
      <c r="C8" s="1">
        <v>1</v>
      </c>
      <c r="D8" s="1">
        <v>0</v>
      </c>
      <c r="E8" s="1">
        <v>1</v>
      </c>
      <c r="F8" s="1">
        <v>22</v>
      </c>
      <c r="G8" s="1" t="b">
        <v>0</v>
      </c>
      <c r="H8" s="1">
        <v>5</v>
      </c>
      <c r="I8" s="1">
        <v>1</v>
      </c>
      <c r="J8" s="26">
        <v>0.24</v>
      </c>
      <c r="K8" s="26">
        <v>0.21210000000000001</v>
      </c>
      <c r="L8" s="27">
        <v>0.65</v>
      </c>
      <c r="M8" s="27">
        <v>0.35820000000000002</v>
      </c>
      <c r="N8" s="28">
        <v>0</v>
      </c>
      <c r="O8" s="1">
        <v>26</v>
      </c>
      <c r="P8" s="30">
        <v>26</v>
      </c>
      <c r="Q8" s="35"/>
      <c r="R8" s="32" t="str">
        <f t="shared" si="0"/>
        <v>28-Jan-2011</v>
      </c>
      <c r="S8" s="32" t="str">
        <f t="shared" si="1"/>
        <v>28</v>
      </c>
      <c r="T8" s="32" t="str">
        <f t="shared" si="2"/>
        <v>2011</v>
      </c>
      <c r="U8" s="32">
        <f t="shared" si="3"/>
        <v>11</v>
      </c>
      <c r="W8" s="22" t="s">
        <v>51</v>
      </c>
      <c r="X8" s="22" t="str">
        <f>TEXT(B2,"dd-mmm-yyyy")</f>
        <v>28-Jan-2011</v>
      </c>
    </row>
    <row r="9" spans="1:24" x14ac:dyDescent="0.35">
      <c r="A9" s="1">
        <v>618</v>
      </c>
      <c r="B9" s="25">
        <v>40571</v>
      </c>
      <c r="C9" s="1">
        <v>1</v>
      </c>
      <c r="D9" s="1">
        <v>0</v>
      </c>
      <c r="E9" s="1">
        <v>1</v>
      </c>
      <c r="F9" s="1">
        <v>23</v>
      </c>
      <c r="G9" s="1" t="b">
        <v>0</v>
      </c>
      <c r="H9" s="1">
        <v>5</v>
      </c>
      <c r="I9" s="1">
        <v>1</v>
      </c>
      <c r="J9" s="26">
        <v>0.24</v>
      </c>
      <c r="K9" s="26">
        <v>0.2273</v>
      </c>
      <c r="L9" s="27">
        <v>0.6</v>
      </c>
      <c r="M9" s="27">
        <v>0.22389999999999999</v>
      </c>
      <c r="N9" s="28">
        <v>1</v>
      </c>
      <c r="O9" s="1">
        <v>22</v>
      </c>
      <c r="P9" s="30">
        <v>23</v>
      </c>
      <c r="Q9" s="35"/>
      <c r="R9" s="32" t="str">
        <f t="shared" si="0"/>
        <v>28-Jan-2011</v>
      </c>
      <c r="S9" s="32" t="str">
        <f t="shared" si="1"/>
        <v>28</v>
      </c>
      <c r="T9" s="32" t="str">
        <f t="shared" si="2"/>
        <v>2011</v>
      </c>
      <c r="U9" s="32">
        <f t="shared" si="3"/>
        <v>11</v>
      </c>
      <c r="W9" s="22" t="s">
        <v>43</v>
      </c>
      <c r="X9" s="22" t="str">
        <f>LEFT(X8,2)</f>
        <v>28</v>
      </c>
    </row>
    <row r="10" spans="1:24" x14ac:dyDescent="0.35">
      <c r="A10" s="1">
        <v>619</v>
      </c>
      <c r="B10" s="25">
        <v>40572</v>
      </c>
      <c r="C10" s="1">
        <v>1</v>
      </c>
      <c r="D10" s="1">
        <v>0</v>
      </c>
      <c r="E10" s="1">
        <v>1</v>
      </c>
      <c r="F10" s="1">
        <v>0</v>
      </c>
      <c r="G10" s="1" t="b">
        <v>0</v>
      </c>
      <c r="H10" s="1">
        <v>6</v>
      </c>
      <c r="I10" s="1">
        <v>1</v>
      </c>
      <c r="J10" s="26">
        <v>0.22</v>
      </c>
      <c r="K10" s="26">
        <v>0.19700000000000001</v>
      </c>
      <c r="L10" s="27">
        <v>0.64</v>
      </c>
      <c r="M10" s="27">
        <v>0.35820000000000002</v>
      </c>
      <c r="N10" s="28">
        <v>2</v>
      </c>
      <c r="O10" s="1">
        <v>26</v>
      </c>
      <c r="P10" s="30">
        <v>28</v>
      </c>
      <c r="Q10" s="35"/>
      <c r="R10" s="32" t="str">
        <f t="shared" si="0"/>
        <v>29-Jan-2011</v>
      </c>
      <c r="S10" s="32" t="str">
        <f t="shared" si="1"/>
        <v>29</v>
      </c>
      <c r="T10" s="32" t="str">
        <f t="shared" si="2"/>
        <v>2011</v>
      </c>
      <c r="U10" s="32">
        <f t="shared" si="3"/>
        <v>11</v>
      </c>
      <c r="W10" s="22" t="s">
        <v>44</v>
      </c>
      <c r="X10" s="22" t="str">
        <f>RIGHT(X8,4)</f>
        <v>2011</v>
      </c>
    </row>
    <row r="11" spans="1:24" x14ac:dyDescent="0.35">
      <c r="A11" s="1">
        <v>620</v>
      </c>
      <c r="B11" s="25">
        <v>40572</v>
      </c>
      <c r="C11" s="1">
        <v>1</v>
      </c>
      <c r="D11" s="1">
        <v>0</v>
      </c>
      <c r="E11" s="1">
        <v>1</v>
      </c>
      <c r="F11" s="1">
        <v>1</v>
      </c>
      <c r="G11" s="1" t="b">
        <v>0</v>
      </c>
      <c r="H11" s="1">
        <v>6</v>
      </c>
      <c r="I11" s="1">
        <v>1</v>
      </c>
      <c r="J11" s="26">
        <v>0.22</v>
      </c>
      <c r="K11" s="26">
        <v>0.2273</v>
      </c>
      <c r="L11" s="27">
        <v>0.64</v>
      </c>
      <c r="M11" s="27">
        <v>0.19400000000000001</v>
      </c>
      <c r="N11" s="28">
        <v>0</v>
      </c>
      <c r="O11" s="1">
        <v>20</v>
      </c>
      <c r="P11" s="30">
        <v>20</v>
      </c>
      <c r="Q11" s="35"/>
      <c r="R11" s="32" t="str">
        <f t="shared" si="0"/>
        <v>29-Jan-2011</v>
      </c>
      <c r="S11" s="32" t="str">
        <f t="shared" si="1"/>
        <v>29</v>
      </c>
      <c r="T11" s="32" t="str">
        <f t="shared" si="2"/>
        <v>2011</v>
      </c>
      <c r="U11" s="32">
        <f t="shared" si="3"/>
        <v>11</v>
      </c>
      <c r="W11" s="22" t="s">
        <v>52</v>
      </c>
      <c r="X11" s="22">
        <f>LEN(X8)</f>
        <v>11</v>
      </c>
    </row>
    <row r="12" spans="1:24" x14ac:dyDescent="0.35">
      <c r="A12" s="1">
        <v>621</v>
      </c>
      <c r="B12" s="25">
        <v>40572</v>
      </c>
      <c r="C12" s="1">
        <v>1</v>
      </c>
      <c r="D12" s="1">
        <v>0</v>
      </c>
      <c r="E12" s="1">
        <v>1</v>
      </c>
      <c r="F12" s="1">
        <v>2</v>
      </c>
      <c r="G12" s="1" t="b">
        <v>0</v>
      </c>
      <c r="H12" s="1">
        <v>6</v>
      </c>
      <c r="I12" s="1">
        <v>1</v>
      </c>
      <c r="J12" s="26">
        <v>0.22</v>
      </c>
      <c r="K12" s="26">
        <v>0.2273</v>
      </c>
      <c r="L12" s="27">
        <v>0.64</v>
      </c>
      <c r="M12" s="27">
        <v>0.16420000000000001</v>
      </c>
      <c r="N12" s="28">
        <v>0</v>
      </c>
      <c r="O12" s="1">
        <v>15</v>
      </c>
      <c r="P12" s="30">
        <v>15</v>
      </c>
      <c r="Q12" s="35"/>
      <c r="R12" s="32" t="str">
        <f t="shared" si="0"/>
        <v>29-Jan-2011</v>
      </c>
      <c r="S12" s="32" t="str">
        <f t="shared" si="1"/>
        <v>29</v>
      </c>
      <c r="T12" s="32" t="str">
        <f t="shared" si="2"/>
        <v>2011</v>
      </c>
      <c r="U12" s="32">
        <f t="shared" si="3"/>
        <v>11</v>
      </c>
    </row>
    <row r="13" spans="1:24" x14ac:dyDescent="0.35">
      <c r="A13" s="1">
        <v>622</v>
      </c>
      <c r="B13" s="25">
        <v>40572</v>
      </c>
      <c r="C13" s="1">
        <v>1</v>
      </c>
      <c r="D13" s="1">
        <v>0</v>
      </c>
      <c r="E13" s="1">
        <v>1</v>
      </c>
      <c r="F13" s="1">
        <v>3</v>
      </c>
      <c r="G13" s="1" t="b">
        <v>0</v>
      </c>
      <c r="H13" s="1">
        <v>6</v>
      </c>
      <c r="I13" s="1">
        <v>1</v>
      </c>
      <c r="J13" s="26">
        <v>0.2</v>
      </c>
      <c r="K13" s="26">
        <v>0.21210000000000001</v>
      </c>
      <c r="L13" s="27">
        <v>0.64</v>
      </c>
      <c r="M13" s="27">
        <v>0.1343</v>
      </c>
      <c r="N13" s="28">
        <v>3</v>
      </c>
      <c r="O13" s="1">
        <v>5</v>
      </c>
      <c r="P13" s="30">
        <v>8</v>
      </c>
      <c r="Q13" s="35"/>
      <c r="R13" s="32" t="str">
        <f t="shared" si="0"/>
        <v>29-Jan-2011</v>
      </c>
      <c r="S13" s="32" t="str">
        <f t="shared" si="1"/>
        <v>29</v>
      </c>
      <c r="T13" s="32" t="str">
        <f t="shared" si="2"/>
        <v>2011</v>
      </c>
      <c r="U13" s="32">
        <f t="shared" si="3"/>
        <v>11</v>
      </c>
    </row>
    <row r="14" spans="1:24" x14ac:dyDescent="0.35">
      <c r="A14" s="1">
        <v>623</v>
      </c>
      <c r="B14" s="25">
        <v>40572</v>
      </c>
      <c r="C14" s="1">
        <v>1</v>
      </c>
      <c r="D14" s="1">
        <v>0</v>
      </c>
      <c r="E14" s="1">
        <v>1</v>
      </c>
      <c r="F14" s="1">
        <v>4</v>
      </c>
      <c r="G14" s="1" t="b">
        <v>0</v>
      </c>
      <c r="H14" s="1">
        <v>6</v>
      </c>
      <c r="I14" s="1">
        <v>1</v>
      </c>
      <c r="J14" s="26">
        <v>0.16</v>
      </c>
      <c r="K14" s="26">
        <v>0.18179999999999999</v>
      </c>
      <c r="L14" s="27">
        <v>0.69</v>
      </c>
      <c r="M14" s="27">
        <v>0.1045</v>
      </c>
      <c r="N14" s="28">
        <v>1</v>
      </c>
      <c r="O14" s="1">
        <v>2</v>
      </c>
      <c r="P14" s="30">
        <v>3</v>
      </c>
      <c r="Q14" s="35"/>
      <c r="R14" s="32" t="str">
        <f t="shared" si="0"/>
        <v>29-Jan-2011</v>
      </c>
      <c r="S14" s="32" t="str">
        <f t="shared" si="1"/>
        <v>29</v>
      </c>
      <c r="T14" s="32" t="str">
        <f t="shared" si="2"/>
        <v>2011</v>
      </c>
      <c r="U14" s="32">
        <f t="shared" si="3"/>
        <v>11</v>
      </c>
    </row>
    <row r="15" spans="1:24" x14ac:dyDescent="0.35">
      <c r="A15" s="1">
        <v>624</v>
      </c>
      <c r="B15" s="25">
        <v>40572</v>
      </c>
      <c r="C15" s="1">
        <v>1</v>
      </c>
      <c r="D15" s="1">
        <v>0</v>
      </c>
      <c r="E15" s="1">
        <v>1</v>
      </c>
      <c r="F15" s="1">
        <v>6</v>
      </c>
      <c r="G15" s="1" t="b">
        <v>0</v>
      </c>
      <c r="H15" s="1">
        <v>6</v>
      </c>
      <c r="I15" s="1">
        <v>1</v>
      </c>
      <c r="J15" s="26">
        <v>0.16</v>
      </c>
      <c r="K15" s="26">
        <v>0.18179999999999999</v>
      </c>
      <c r="L15" s="27">
        <v>0.64</v>
      </c>
      <c r="M15" s="27">
        <v>0.1343</v>
      </c>
      <c r="N15" s="28">
        <v>0</v>
      </c>
      <c r="O15" s="1">
        <v>2</v>
      </c>
      <c r="P15" s="30">
        <v>2</v>
      </c>
      <c r="Q15" s="35"/>
      <c r="R15" s="32" t="str">
        <f t="shared" si="0"/>
        <v>29-Jan-2011</v>
      </c>
      <c r="S15" s="32" t="str">
        <f t="shared" si="1"/>
        <v>29</v>
      </c>
      <c r="T15" s="32" t="str">
        <f t="shared" si="2"/>
        <v>2011</v>
      </c>
      <c r="U15" s="32">
        <f t="shared" si="3"/>
        <v>11</v>
      </c>
    </row>
    <row r="16" spans="1:24" x14ac:dyDescent="0.35">
      <c r="A16" s="1">
        <v>625</v>
      </c>
      <c r="B16" s="25">
        <v>40572</v>
      </c>
      <c r="C16" s="1">
        <v>1</v>
      </c>
      <c r="D16" s="1">
        <v>0</v>
      </c>
      <c r="E16" s="1">
        <v>1</v>
      </c>
      <c r="F16" s="1">
        <v>7</v>
      </c>
      <c r="G16" s="1" t="b">
        <v>0</v>
      </c>
      <c r="H16" s="1">
        <v>6</v>
      </c>
      <c r="I16" s="1">
        <v>1</v>
      </c>
      <c r="J16" s="26">
        <v>0.16</v>
      </c>
      <c r="K16" s="26">
        <v>0.18179999999999999</v>
      </c>
      <c r="L16" s="27">
        <v>0.59</v>
      </c>
      <c r="M16" s="27">
        <v>0.1045</v>
      </c>
      <c r="N16" s="28">
        <v>1</v>
      </c>
      <c r="O16" s="1">
        <v>4</v>
      </c>
      <c r="P16" s="30">
        <v>5</v>
      </c>
      <c r="Q16" s="35"/>
      <c r="R16" s="32" t="str">
        <f t="shared" si="0"/>
        <v>29-Jan-2011</v>
      </c>
      <c r="S16" s="32" t="str">
        <f t="shared" si="1"/>
        <v>29</v>
      </c>
      <c r="T16" s="32" t="str">
        <f t="shared" si="2"/>
        <v>2011</v>
      </c>
      <c r="U16" s="32">
        <f t="shared" si="3"/>
        <v>11</v>
      </c>
    </row>
    <row r="17" spans="1:21" x14ac:dyDescent="0.35">
      <c r="A17" s="1">
        <v>626</v>
      </c>
      <c r="B17" s="25">
        <v>40572</v>
      </c>
      <c r="C17" s="1">
        <v>1</v>
      </c>
      <c r="D17" s="1">
        <v>0</v>
      </c>
      <c r="E17" s="1">
        <v>1</v>
      </c>
      <c r="F17" s="1">
        <v>8</v>
      </c>
      <c r="G17" s="1" t="b">
        <v>0</v>
      </c>
      <c r="H17" s="1">
        <v>6</v>
      </c>
      <c r="I17" s="1">
        <v>1</v>
      </c>
      <c r="J17" s="26">
        <v>0.18</v>
      </c>
      <c r="K17" s="26">
        <v>0.19700000000000001</v>
      </c>
      <c r="L17" s="27">
        <v>0.55000000000000004</v>
      </c>
      <c r="M17" s="27">
        <v>0.16420000000000001</v>
      </c>
      <c r="N17" s="28">
        <v>3</v>
      </c>
      <c r="O17" s="1">
        <v>31</v>
      </c>
      <c r="P17" s="30">
        <v>34</v>
      </c>
      <c r="Q17" s="35"/>
      <c r="R17" s="32" t="str">
        <f t="shared" si="0"/>
        <v>29-Jan-2011</v>
      </c>
      <c r="S17" s="32" t="str">
        <f t="shared" si="1"/>
        <v>29</v>
      </c>
      <c r="T17" s="32" t="str">
        <f t="shared" si="2"/>
        <v>2011</v>
      </c>
      <c r="U17" s="32">
        <f t="shared" si="3"/>
        <v>11</v>
      </c>
    </row>
    <row r="18" spans="1:21" x14ac:dyDescent="0.35">
      <c r="A18" s="1">
        <v>627</v>
      </c>
      <c r="B18" s="25">
        <v>40572</v>
      </c>
      <c r="C18" s="1">
        <v>1</v>
      </c>
      <c r="D18" s="1">
        <v>0</v>
      </c>
      <c r="E18" s="1">
        <v>1</v>
      </c>
      <c r="F18" s="1">
        <v>9</v>
      </c>
      <c r="G18" s="1" t="b">
        <v>0</v>
      </c>
      <c r="H18" s="1">
        <v>6</v>
      </c>
      <c r="I18" s="1">
        <v>1</v>
      </c>
      <c r="J18" s="26">
        <v>0.18</v>
      </c>
      <c r="K18" s="26">
        <v>0.21210000000000001</v>
      </c>
      <c r="L18" s="27">
        <v>0.59</v>
      </c>
      <c r="M18" s="27">
        <v>8.9599999999999999E-2</v>
      </c>
      <c r="N18" s="28">
        <v>0</v>
      </c>
      <c r="O18" s="1">
        <v>34</v>
      </c>
      <c r="P18" s="30">
        <v>34</v>
      </c>
      <c r="Q18" s="35"/>
      <c r="R18" s="32" t="str">
        <f t="shared" si="0"/>
        <v>29-Jan-2011</v>
      </c>
      <c r="S18" s="32" t="str">
        <f t="shared" si="1"/>
        <v>29</v>
      </c>
      <c r="T18" s="32" t="str">
        <f t="shared" si="2"/>
        <v>2011</v>
      </c>
      <c r="U18" s="32">
        <f t="shared" si="3"/>
        <v>11</v>
      </c>
    </row>
    <row r="19" spans="1:21" x14ac:dyDescent="0.35">
      <c r="A19" s="1">
        <v>628</v>
      </c>
      <c r="B19" s="25">
        <v>40572</v>
      </c>
      <c r="C19" s="1">
        <v>1</v>
      </c>
      <c r="D19" s="1">
        <v>0</v>
      </c>
      <c r="E19" s="1">
        <v>1</v>
      </c>
      <c r="F19" s="1">
        <v>10</v>
      </c>
      <c r="G19" s="1" t="b">
        <v>0</v>
      </c>
      <c r="H19" s="1">
        <v>6</v>
      </c>
      <c r="I19" s="1">
        <v>2</v>
      </c>
      <c r="J19" s="26">
        <v>0.18</v>
      </c>
      <c r="K19" s="26">
        <v>0.21210000000000001</v>
      </c>
      <c r="L19" s="27">
        <v>0.64</v>
      </c>
      <c r="M19" s="27">
        <v>0.1045</v>
      </c>
      <c r="N19" s="28">
        <v>4</v>
      </c>
      <c r="O19" s="1">
        <v>51</v>
      </c>
      <c r="P19" s="30">
        <v>55</v>
      </c>
      <c r="Q19" s="35"/>
      <c r="R19" s="32" t="str">
        <f t="shared" si="0"/>
        <v>29-Jan-2011</v>
      </c>
      <c r="S19" s="32" t="str">
        <f t="shared" si="1"/>
        <v>29</v>
      </c>
      <c r="T19" s="32" t="str">
        <f t="shared" si="2"/>
        <v>2011</v>
      </c>
      <c r="U19" s="32">
        <f t="shared" si="3"/>
        <v>11</v>
      </c>
    </row>
    <row r="20" spans="1:21" x14ac:dyDescent="0.35">
      <c r="A20" s="1">
        <v>629</v>
      </c>
      <c r="B20" s="25">
        <v>40572</v>
      </c>
      <c r="C20" s="1">
        <v>1</v>
      </c>
      <c r="D20" s="1">
        <v>0</v>
      </c>
      <c r="E20" s="1">
        <v>1</v>
      </c>
      <c r="F20" s="1">
        <v>11</v>
      </c>
      <c r="G20" s="1" t="b">
        <v>0</v>
      </c>
      <c r="H20" s="1">
        <v>6</v>
      </c>
      <c r="I20" s="1">
        <v>2</v>
      </c>
      <c r="J20" s="26">
        <v>0.18</v>
      </c>
      <c r="K20" s="26">
        <v>0.19700000000000001</v>
      </c>
      <c r="L20" s="27">
        <v>0.64</v>
      </c>
      <c r="M20" s="27">
        <v>0.1343</v>
      </c>
      <c r="N20" s="28">
        <v>4</v>
      </c>
      <c r="O20" s="1">
        <v>60</v>
      </c>
      <c r="P20" s="30">
        <v>64</v>
      </c>
      <c r="Q20" s="35"/>
      <c r="R20" s="32" t="str">
        <f t="shared" si="0"/>
        <v>29-Jan-2011</v>
      </c>
      <c r="S20" s="32" t="str">
        <f t="shared" si="1"/>
        <v>29</v>
      </c>
      <c r="T20" s="32" t="str">
        <f t="shared" si="2"/>
        <v>2011</v>
      </c>
      <c r="U20" s="32">
        <f t="shared" si="3"/>
        <v>11</v>
      </c>
    </row>
    <row r="21" spans="1:21" x14ac:dyDescent="0.35">
      <c r="A21" s="1">
        <v>630</v>
      </c>
      <c r="B21" s="25">
        <v>40572</v>
      </c>
      <c r="C21" s="1">
        <v>1</v>
      </c>
      <c r="D21" s="1">
        <v>0</v>
      </c>
      <c r="E21" s="1">
        <v>1</v>
      </c>
      <c r="F21" s="1">
        <v>12</v>
      </c>
      <c r="G21" s="1" t="b">
        <v>0</v>
      </c>
      <c r="H21" s="1">
        <v>6</v>
      </c>
      <c r="I21" s="1">
        <v>2</v>
      </c>
      <c r="J21" s="26">
        <v>0.2</v>
      </c>
      <c r="K21" s="26">
        <v>0.19700000000000001</v>
      </c>
      <c r="L21" s="27">
        <v>0.59</v>
      </c>
      <c r="M21" s="27">
        <v>0.19400000000000001</v>
      </c>
      <c r="N21" s="28">
        <v>12</v>
      </c>
      <c r="O21" s="1">
        <v>66</v>
      </c>
      <c r="P21" s="30">
        <v>78</v>
      </c>
      <c r="Q21" s="35"/>
      <c r="R21" s="32" t="str">
        <f t="shared" si="0"/>
        <v>29-Jan-2011</v>
      </c>
      <c r="S21" s="32" t="str">
        <f t="shared" si="1"/>
        <v>29</v>
      </c>
      <c r="T21" s="32" t="str">
        <f t="shared" si="2"/>
        <v>2011</v>
      </c>
      <c r="U21" s="32">
        <f t="shared" si="3"/>
        <v>11</v>
      </c>
    </row>
    <row r="22" spans="1:21" x14ac:dyDescent="0.35">
      <c r="A22" s="1">
        <v>631</v>
      </c>
      <c r="B22" s="25">
        <v>40572</v>
      </c>
      <c r="C22" s="1">
        <v>1</v>
      </c>
      <c r="D22" s="1">
        <v>0</v>
      </c>
      <c r="E22" s="1">
        <v>1</v>
      </c>
      <c r="F22" s="1">
        <v>13</v>
      </c>
      <c r="G22" s="1" t="b">
        <v>0</v>
      </c>
      <c r="H22" s="1">
        <v>6</v>
      </c>
      <c r="I22" s="1">
        <v>2</v>
      </c>
      <c r="J22" s="26">
        <v>0.22</v>
      </c>
      <c r="K22" s="26">
        <v>0.2273</v>
      </c>
      <c r="L22" s="27">
        <v>0.55000000000000004</v>
      </c>
      <c r="M22" s="27">
        <v>0.16420000000000001</v>
      </c>
      <c r="N22" s="28">
        <v>9</v>
      </c>
      <c r="O22" s="1">
        <v>56</v>
      </c>
      <c r="P22" s="30">
        <v>65</v>
      </c>
      <c r="Q22" s="35"/>
      <c r="R22" s="32" t="str">
        <f t="shared" si="0"/>
        <v>29-Jan-2011</v>
      </c>
      <c r="S22" s="32" t="str">
        <f t="shared" si="1"/>
        <v>29</v>
      </c>
      <c r="T22" s="32" t="str">
        <f t="shared" si="2"/>
        <v>2011</v>
      </c>
      <c r="U22" s="32">
        <f t="shared" si="3"/>
        <v>11</v>
      </c>
    </row>
    <row r="23" spans="1:21" x14ac:dyDescent="0.35">
      <c r="A23" s="1">
        <v>632</v>
      </c>
      <c r="B23" s="25">
        <v>40572</v>
      </c>
      <c r="C23" s="1">
        <v>1</v>
      </c>
      <c r="D23" s="1">
        <v>0</v>
      </c>
      <c r="E23" s="1">
        <v>1</v>
      </c>
      <c r="F23" s="1">
        <v>14</v>
      </c>
      <c r="G23" s="1" t="b">
        <v>0</v>
      </c>
      <c r="H23" s="1">
        <v>6</v>
      </c>
      <c r="I23" s="1">
        <v>2</v>
      </c>
      <c r="J23" s="26">
        <v>0.22</v>
      </c>
      <c r="K23" s="26">
        <v>0.2273</v>
      </c>
      <c r="L23" s="27">
        <v>0.6</v>
      </c>
      <c r="M23" s="27">
        <v>0.1343</v>
      </c>
      <c r="N23" s="28">
        <v>10</v>
      </c>
      <c r="O23" s="1">
        <v>89</v>
      </c>
      <c r="P23" s="30">
        <v>99</v>
      </c>
      <c r="Q23" s="35"/>
      <c r="R23" s="32" t="str">
        <f t="shared" si="0"/>
        <v>29-Jan-2011</v>
      </c>
      <c r="S23" s="32" t="str">
        <f t="shared" si="1"/>
        <v>29</v>
      </c>
      <c r="T23" s="32" t="str">
        <f t="shared" si="2"/>
        <v>2011</v>
      </c>
      <c r="U23" s="32">
        <f t="shared" si="3"/>
        <v>11</v>
      </c>
    </row>
    <row r="24" spans="1:21" x14ac:dyDescent="0.35">
      <c r="A24" s="1">
        <v>633</v>
      </c>
      <c r="B24" s="25">
        <v>40572</v>
      </c>
      <c r="C24" s="1">
        <v>1</v>
      </c>
      <c r="D24" s="1">
        <v>0</v>
      </c>
      <c r="E24" s="1">
        <v>1</v>
      </c>
      <c r="F24" s="1">
        <v>15</v>
      </c>
      <c r="G24" s="1" t="b">
        <v>0</v>
      </c>
      <c r="H24" s="1">
        <v>6</v>
      </c>
      <c r="I24" s="1">
        <v>1</v>
      </c>
      <c r="J24" s="26">
        <v>0.22</v>
      </c>
      <c r="K24" s="26">
        <v>0.21210000000000001</v>
      </c>
      <c r="L24" s="27">
        <v>0.69</v>
      </c>
      <c r="M24" s="27">
        <v>0.25369999999999998</v>
      </c>
      <c r="N24" s="28">
        <v>22</v>
      </c>
      <c r="O24" s="1">
        <v>98</v>
      </c>
      <c r="P24" s="30">
        <v>120</v>
      </c>
      <c r="Q24" s="35"/>
      <c r="R24" s="32" t="str">
        <f t="shared" si="0"/>
        <v>29-Jan-2011</v>
      </c>
      <c r="S24" s="32" t="str">
        <f t="shared" si="1"/>
        <v>29</v>
      </c>
      <c r="T24" s="32" t="str">
        <f t="shared" si="2"/>
        <v>2011</v>
      </c>
      <c r="U24" s="32">
        <f t="shared" si="3"/>
        <v>11</v>
      </c>
    </row>
    <row r="25" spans="1:21" x14ac:dyDescent="0.35">
      <c r="A25" s="1">
        <v>634</v>
      </c>
      <c r="B25" s="25">
        <v>40572</v>
      </c>
      <c r="C25" s="1">
        <v>1</v>
      </c>
      <c r="D25" s="1">
        <v>0</v>
      </c>
      <c r="E25" s="1">
        <v>1</v>
      </c>
      <c r="F25" s="1">
        <v>16</v>
      </c>
      <c r="G25" s="1" t="b">
        <v>0</v>
      </c>
      <c r="H25" s="1">
        <v>6</v>
      </c>
      <c r="I25" s="1">
        <v>1</v>
      </c>
      <c r="J25" s="26">
        <v>0.24</v>
      </c>
      <c r="K25" s="26">
        <v>0.2424</v>
      </c>
      <c r="L25" s="27">
        <v>0.6</v>
      </c>
      <c r="M25" s="27">
        <v>0.16420000000000001</v>
      </c>
      <c r="N25" s="28">
        <v>19</v>
      </c>
      <c r="O25" s="1">
        <v>88</v>
      </c>
      <c r="P25" s="30">
        <v>107</v>
      </c>
      <c r="Q25" s="35"/>
      <c r="R25" s="32" t="str">
        <f t="shared" si="0"/>
        <v>29-Jan-2011</v>
      </c>
      <c r="S25" s="32" t="str">
        <f t="shared" si="1"/>
        <v>29</v>
      </c>
      <c r="T25" s="32" t="str">
        <f t="shared" si="2"/>
        <v>2011</v>
      </c>
      <c r="U25" s="32">
        <f t="shared" si="3"/>
        <v>11</v>
      </c>
    </row>
    <row r="26" spans="1:21" x14ac:dyDescent="0.35">
      <c r="A26" s="1">
        <v>635</v>
      </c>
      <c r="B26" s="25">
        <v>40572</v>
      </c>
      <c r="C26" s="1">
        <v>1</v>
      </c>
      <c r="D26" s="1">
        <v>0</v>
      </c>
      <c r="E26" s="1">
        <v>1</v>
      </c>
      <c r="F26" s="1">
        <v>17</v>
      </c>
      <c r="G26" s="1" t="b">
        <v>0</v>
      </c>
      <c r="H26" s="1">
        <v>6</v>
      </c>
      <c r="I26" s="1">
        <v>1</v>
      </c>
      <c r="J26" s="26">
        <v>0.24</v>
      </c>
      <c r="K26" s="26">
        <v>0.28789999999999999</v>
      </c>
      <c r="L26" s="27">
        <v>0.6</v>
      </c>
      <c r="M26" s="27">
        <v>0</v>
      </c>
      <c r="N26" s="28">
        <v>9</v>
      </c>
      <c r="O26" s="1">
        <v>82</v>
      </c>
      <c r="P26" s="30">
        <v>91</v>
      </c>
      <c r="Q26" s="35"/>
      <c r="R26" s="32" t="str">
        <f t="shared" si="0"/>
        <v>29-Jan-2011</v>
      </c>
      <c r="S26" s="32" t="str">
        <f t="shared" si="1"/>
        <v>29</v>
      </c>
      <c r="T26" s="32" t="str">
        <f t="shared" si="2"/>
        <v>2011</v>
      </c>
      <c r="U26" s="32">
        <f t="shared" si="3"/>
        <v>11</v>
      </c>
    </row>
    <row r="27" spans="1:21" x14ac:dyDescent="0.35">
      <c r="A27" s="1">
        <v>636</v>
      </c>
      <c r="B27" s="25">
        <v>40572</v>
      </c>
      <c r="C27" s="1">
        <v>1</v>
      </c>
      <c r="D27" s="1">
        <v>0</v>
      </c>
      <c r="E27" s="1">
        <v>1</v>
      </c>
      <c r="F27" s="1">
        <v>18</v>
      </c>
      <c r="G27" s="1" t="b">
        <v>0</v>
      </c>
      <c r="H27" s="1">
        <v>6</v>
      </c>
      <c r="I27" s="1">
        <v>1</v>
      </c>
      <c r="J27" s="26">
        <v>0.22</v>
      </c>
      <c r="K27" s="26">
        <v>0.2273</v>
      </c>
      <c r="L27" s="27">
        <v>0.69</v>
      </c>
      <c r="M27" s="27">
        <v>0.1343</v>
      </c>
      <c r="N27" s="28">
        <v>9</v>
      </c>
      <c r="O27" s="1">
        <v>59</v>
      </c>
      <c r="P27" s="30">
        <v>68</v>
      </c>
      <c r="Q27" s="35"/>
      <c r="R27" s="32" t="str">
        <f t="shared" si="0"/>
        <v>29-Jan-2011</v>
      </c>
      <c r="S27" s="32" t="str">
        <f t="shared" si="1"/>
        <v>29</v>
      </c>
      <c r="T27" s="32" t="str">
        <f t="shared" si="2"/>
        <v>2011</v>
      </c>
      <c r="U27" s="32">
        <f t="shared" si="3"/>
        <v>11</v>
      </c>
    </row>
    <row r="28" spans="1:21" x14ac:dyDescent="0.35">
      <c r="A28" s="1">
        <v>637</v>
      </c>
      <c r="B28" s="25">
        <v>40572</v>
      </c>
      <c r="C28" s="1">
        <v>1</v>
      </c>
      <c r="D28" s="1">
        <v>0</v>
      </c>
      <c r="E28" s="1">
        <v>1</v>
      </c>
      <c r="F28" s="1">
        <v>19</v>
      </c>
      <c r="G28" s="1" t="b">
        <v>0</v>
      </c>
      <c r="H28" s="1">
        <v>6</v>
      </c>
      <c r="I28" s="1">
        <v>2</v>
      </c>
      <c r="J28" s="26">
        <v>0.22</v>
      </c>
      <c r="K28" s="26">
        <v>0.21210000000000001</v>
      </c>
      <c r="L28" s="27">
        <v>0.69</v>
      </c>
      <c r="M28" s="27">
        <v>0.25369999999999998</v>
      </c>
      <c r="N28" s="28">
        <v>6</v>
      </c>
      <c r="O28" s="1">
        <v>52</v>
      </c>
      <c r="P28" s="30">
        <v>58</v>
      </c>
      <c r="Q28" s="35"/>
      <c r="R28" s="32" t="str">
        <f t="shared" si="0"/>
        <v>29-Jan-2011</v>
      </c>
      <c r="S28" s="32" t="str">
        <f t="shared" si="1"/>
        <v>29</v>
      </c>
      <c r="T28" s="32" t="str">
        <f t="shared" si="2"/>
        <v>2011</v>
      </c>
      <c r="U28" s="32">
        <f t="shared" si="3"/>
        <v>11</v>
      </c>
    </row>
    <row r="29" spans="1:21" x14ac:dyDescent="0.35">
      <c r="A29" s="1">
        <v>638</v>
      </c>
      <c r="B29" s="25">
        <v>40572</v>
      </c>
      <c r="C29" s="1">
        <v>1</v>
      </c>
      <c r="D29" s="1">
        <v>0</v>
      </c>
      <c r="E29" s="1">
        <v>1</v>
      </c>
      <c r="F29" s="1">
        <v>20</v>
      </c>
      <c r="G29" s="1" t="b">
        <v>0</v>
      </c>
      <c r="H29" s="1">
        <v>6</v>
      </c>
      <c r="I29" s="1">
        <v>1</v>
      </c>
      <c r="J29" s="26">
        <v>0.18</v>
      </c>
      <c r="K29" s="26">
        <v>0.21210000000000001</v>
      </c>
      <c r="L29" s="27">
        <v>0.74</v>
      </c>
      <c r="M29" s="27">
        <v>8.9599999999999999E-2</v>
      </c>
      <c r="N29" s="28">
        <v>1</v>
      </c>
      <c r="O29" s="1">
        <v>42</v>
      </c>
      <c r="P29" s="30">
        <v>43</v>
      </c>
      <c r="Q29" s="35"/>
      <c r="R29" s="32" t="str">
        <f t="shared" si="0"/>
        <v>29-Jan-2011</v>
      </c>
      <c r="S29" s="32" t="str">
        <f t="shared" si="1"/>
        <v>29</v>
      </c>
      <c r="T29" s="32" t="str">
        <f t="shared" si="2"/>
        <v>2011</v>
      </c>
      <c r="U29" s="32">
        <f t="shared" si="3"/>
        <v>11</v>
      </c>
    </row>
    <row r="30" spans="1:21" x14ac:dyDescent="0.35">
      <c r="A30" s="1">
        <v>639</v>
      </c>
      <c r="B30" s="25">
        <v>40572</v>
      </c>
      <c r="C30" s="1">
        <v>1</v>
      </c>
      <c r="D30" s="1">
        <v>0</v>
      </c>
      <c r="E30" s="1">
        <v>1</v>
      </c>
      <c r="F30" s="1">
        <v>21</v>
      </c>
      <c r="G30" s="1" t="b">
        <v>0</v>
      </c>
      <c r="H30" s="1">
        <v>6</v>
      </c>
      <c r="I30" s="1">
        <v>1</v>
      </c>
      <c r="J30" s="26">
        <v>0.18</v>
      </c>
      <c r="K30" s="26">
        <v>0.21210000000000001</v>
      </c>
      <c r="L30" s="27">
        <v>0.74</v>
      </c>
      <c r="M30" s="27">
        <v>8.9599999999999999E-2</v>
      </c>
      <c r="N30" s="28">
        <v>1</v>
      </c>
      <c r="O30" s="1">
        <v>35</v>
      </c>
      <c r="P30" s="30">
        <v>36</v>
      </c>
      <c r="Q30" s="35"/>
      <c r="R30" s="32" t="str">
        <f t="shared" si="0"/>
        <v>29-Jan-2011</v>
      </c>
      <c r="S30" s="32" t="str">
        <f t="shared" si="1"/>
        <v>29</v>
      </c>
      <c r="T30" s="32" t="str">
        <f t="shared" si="2"/>
        <v>2011</v>
      </c>
      <c r="U30" s="32">
        <f t="shared" si="3"/>
        <v>11</v>
      </c>
    </row>
    <row r="31" spans="1:21" x14ac:dyDescent="0.35">
      <c r="A31" s="1">
        <v>640</v>
      </c>
      <c r="B31" s="25">
        <v>40572</v>
      </c>
      <c r="C31" s="1">
        <v>1</v>
      </c>
      <c r="D31" s="1">
        <v>0</v>
      </c>
      <c r="E31" s="1">
        <v>1</v>
      </c>
      <c r="F31" s="1">
        <v>22</v>
      </c>
      <c r="G31" s="1" t="b">
        <v>0</v>
      </c>
      <c r="H31" s="1">
        <v>6</v>
      </c>
      <c r="I31" s="1">
        <v>1</v>
      </c>
      <c r="J31" s="26">
        <v>0.16</v>
      </c>
      <c r="K31" s="26">
        <v>0.19700000000000001</v>
      </c>
      <c r="L31" s="27">
        <v>0.8</v>
      </c>
      <c r="M31" s="27">
        <v>8.9599999999999999E-2</v>
      </c>
      <c r="N31" s="28">
        <v>4</v>
      </c>
      <c r="O31" s="1">
        <v>28</v>
      </c>
      <c r="P31" s="30">
        <v>32</v>
      </c>
      <c r="Q31" s="35"/>
      <c r="R31" s="32" t="str">
        <f t="shared" si="0"/>
        <v>29-Jan-2011</v>
      </c>
      <c r="S31" s="32" t="str">
        <f t="shared" si="1"/>
        <v>29</v>
      </c>
      <c r="T31" s="32" t="str">
        <f t="shared" si="2"/>
        <v>2011</v>
      </c>
      <c r="U31" s="32">
        <f t="shared" si="3"/>
        <v>11</v>
      </c>
    </row>
    <row r="32" spans="1:21" x14ac:dyDescent="0.35">
      <c r="A32" s="1">
        <v>641</v>
      </c>
      <c r="B32" s="25">
        <v>40572</v>
      </c>
      <c r="C32" s="1">
        <v>1</v>
      </c>
      <c r="D32" s="1">
        <v>0</v>
      </c>
      <c r="E32" s="1">
        <v>1</v>
      </c>
      <c r="F32" s="1">
        <v>23</v>
      </c>
      <c r="G32" s="1" t="b">
        <v>0</v>
      </c>
      <c r="H32" s="1">
        <v>6</v>
      </c>
      <c r="I32" s="1">
        <v>1</v>
      </c>
      <c r="J32" s="26">
        <v>0.16</v>
      </c>
      <c r="K32" s="26">
        <v>0.19700000000000001</v>
      </c>
      <c r="L32" s="27">
        <v>0.8</v>
      </c>
      <c r="M32" s="27">
        <v>8.9599999999999999E-2</v>
      </c>
      <c r="N32" s="28">
        <v>3</v>
      </c>
      <c r="O32" s="1">
        <v>30</v>
      </c>
      <c r="P32" s="30">
        <v>33</v>
      </c>
      <c r="Q32" s="35"/>
      <c r="R32" s="32" t="str">
        <f t="shared" si="0"/>
        <v>29-Jan-2011</v>
      </c>
      <c r="S32" s="32" t="str">
        <f t="shared" si="1"/>
        <v>29</v>
      </c>
      <c r="T32" s="32" t="str">
        <f t="shared" si="2"/>
        <v>2011</v>
      </c>
      <c r="U32" s="32">
        <f t="shared" si="3"/>
        <v>11</v>
      </c>
    </row>
    <row r="33" spans="1:21" x14ac:dyDescent="0.35">
      <c r="A33" s="1">
        <v>642</v>
      </c>
      <c r="B33" s="25">
        <v>40573</v>
      </c>
      <c r="C33" s="1">
        <v>1</v>
      </c>
      <c r="D33" s="1">
        <v>0</v>
      </c>
      <c r="E33" s="1">
        <v>1</v>
      </c>
      <c r="F33" s="1">
        <v>0</v>
      </c>
      <c r="G33" s="1" t="b">
        <v>0</v>
      </c>
      <c r="H33" s="1">
        <v>0</v>
      </c>
      <c r="I33" s="1">
        <v>1</v>
      </c>
      <c r="J33" s="26">
        <v>0.16</v>
      </c>
      <c r="K33" s="26">
        <v>0.18179999999999999</v>
      </c>
      <c r="L33" s="27">
        <v>0.8</v>
      </c>
      <c r="M33" s="27">
        <v>0.1045</v>
      </c>
      <c r="N33" s="28">
        <v>0</v>
      </c>
      <c r="O33" s="1">
        <v>33</v>
      </c>
      <c r="P33" s="30">
        <v>33</v>
      </c>
      <c r="Q33" s="35"/>
      <c r="R33" s="32" t="str">
        <f t="shared" si="0"/>
        <v>30-Jan-2011</v>
      </c>
      <c r="S33" s="32" t="str">
        <f t="shared" si="1"/>
        <v>30</v>
      </c>
      <c r="T33" s="32" t="str">
        <f t="shared" si="2"/>
        <v>2011</v>
      </c>
      <c r="U33" s="32">
        <f t="shared" si="3"/>
        <v>11</v>
      </c>
    </row>
    <row r="34" spans="1:21" x14ac:dyDescent="0.35">
      <c r="A34" s="1">
        <v>643</v>
      </c>
      <c r="B34" s="25">
        <v>40573</v>
      </c>
      <c r="C34" s="1">
        <v>1</v>
      </c>
      <c r="D34" s="1">
        <v>0</v>
      </c>
      <c r="E34" s="1">
        <v>1</v>
      </c>
      <c r="F34" s="1">
        <v>1</v>
      </c>
      <c r="G34" s="1" t="b">
        <v>0</v>
      </c>
      <c r="H34" s="1">
        <v>0</v>
      </c>
      <c r="I34" s="1">
        <v>1</v>
      </c>
      <c r="J34" s="26">
        <v>0.14000000000000001</v>
      </c>
      <c r="K34" s="26">
        <v>0.21210000000000001</v>
      </c>
      <c r="L34" s="27">
        <v>0.8</v>
      </c>
      <c r="M34" s="27">
        <v>0</v>
      </c>
      <c r="N34" s="28">
        <v>7</v>
      </c>
      <c r="O34" s="1">
        <v>22</v>
      </c>
      <c r="P34" s="30">
        <v>29</v>
      </c>
      <c r="Q34" s="35"/>
      <c r="R34" s="32" t="str">
        <f t="shared" si="0"/>
        <v>30-Jan-2011</v>
      </c>
      <c r="S34" s="32" t="str">
        <f t="shared" si="1"/>
        <v>30</v>
      </c>
      <c r="T34" s="32" t="str">
        <f t="shared" si="2"/>
        <v>2011</v>
      </c>
      <c r="U34" s="32">
        <f t="shared" si="3"/>
        <v>11</v>
      </c>
    </row>
    <row r="35" spans="1:21" x14ac:dyDescent="0.35">
      <c r="A35" s="1">
        <v>644</v>
      </c>
      <c r="B35" s="25">
        <v>40573</v>
      </c>
      <c r="C35" s="1">
        <v>1</v>
      </c>
      <c r="D35" s="1">
        <v>0</v>
      </c>
      <c r="E35" s="1">
        <v>1</v>
      </c>
      <c r="F35" s="1">
        <v>2</v>
      </c>
      <c r="G35" s="1" t="b">
        <v>0</v>
      </c>
      <c r="H35" s="1">
        <v>0</v>
      </c>
      <c r="I35" s="1">
        <v>1</v>
      </c>
      <c r="J35" s="26">
        <v>0.16</v>
      </c>
      <c r="K35" s="26">
        <v>0.2273</v>
      </c>
      <c r="L35" s="27">
        <v>0.8</v>
      </c>
      <c r="M35" s="27">
        <v>0</v>
      </c>
      <c r="N35" s="28">
        <v>1</v>
      </c>
      <c r="O35" s="1">
        <v>10</v>
      </c>
      <c r="P35" s="30">
        <v>11</v>
      </c>
      <c r="Q35" s="35"/>
      <c r="R35" s="32" t="str">
        <f t="shared" si="0"/>
        <v>30-Jan-2011</v>
      </c>
      <c r="S35" s="32" t="str">
        <f t="shared" si="1"/>
        <v>30</v>
      </c>
      <c r="T35" s="32" t="str">
        <f t="shared" si="2"/>
        <v>2011</v>
      </c>
      <c r="U35" s="32">
        <f t="shared" si="3"/>
        <v>11</v>
      </c>
    </row>
    <row r="36" spans="1:21" x14ac:dyDescent="0.35">
      <c r="A36" s="1">
        <v>645</v>
      </c>
      <c r="B36" s="25">
        <v>40573</v>
      </c>
      <c r="C36" s="1">
        <v>1</v>
      </c>
      <c r="D36" s="1">
        <v>0</v>
      </c>
      <c r="E36" s="1">
        <v>1</v>
      </c>
      <c r="F36" s="1">
        <v>3</v>
      </c>
      <c r="G36" s="1" t="b">
        <v>0</v>
      </c>
      <c r="H36" s="1">
        <v>0</v>
      </c>
      <c r="I36" s="1">
        <v>1</v>
      </c>
      <c r="J36" s="26">
        <v>0.14000000000000001</v>
      </c>
      <c r="K36" s="26">
        <v>0.21210000000000001</v>
      </c>
      <c r="L36" s="27">
        <v>0.93</v>
      </c>
      <c r="M36" s="27">
        <v>0</v>
      </c>
      <c r="N36" s="28">
        <v>1</v>
      </c>
      <c r="O36" s="1">
        <v>7</v>
      </c>
      <c r="P36" s="30">
        <v>8</v>
      </c>
      <c r="Q36" s="35"/>
      <c r="R36" s="32" t="str">
        <f t="shared" si="0"/>
        <v>30-Jan-2011</v>
      </c>
      <c r="S36" s="32" t="str">
        <f t="shared" si="1"/>
        <v>30</v>
      </c>
      <c r="T36" s="32" t="str">
        <f t="shared" si="2"/>
        <v>2011</v>
      </c>
      <c r="U36" s="32">
        <f t="shared" si="3"/>
        <v>11</v>
      </c>
    </row>
    <row r="37" spans="1:21" x14ac:dyDescent="0.35">
      <c r="A37" s="1">
        <v>646</v>
      </c>
      <c r="B37" s="25">
        <v>40573</v>
      </c>
      <c r="C37" s="1">
        <v>1</v>
      </c>
      <c r="D37" s="1">
        <v>0</v>
      </c>
      <c r="E37" s="1">
        <v>1</v>
      </c>
      <c r="F37" s="1">
        <v>4</v>
      </c>
      <c r="G37" s="1" t="b">
        <v>0</v>
      </c>
      <c r="H37" s="1">
        <v>0</v>
      </c>
      <c r="I37" s="1">
        <v>1</v>
      </c>
      <c r="J37" s="26">
        <v>0.14000000000000001</v>
      </c>
      <c r="K37" s="26">
        <v>0.21210000000000001</v>
      </c>
      <c r="L37" s="27">
        <v>0.93</v>
      </c>
      <c r="M37" s="27">
        <v>0</v>
      </c>
      <c r="N37" s="28">
        <v>0</v>
      </c>
      <c r="O37" s="1">
        <v>1</v>
      </c>
      <c r="P37" s="30">
        <v>1</v>
      </c>
      <c r="Q37" s="35"/>
      <c r="R37" s="32" t="str">
        <f t="shared" si="0"/>
        <v>30-Jan-2011</v>
      </c>
      <c r="S37" s="32" t="str">
        <f t="shared" si="1"/>
        <v>30</v>
      </c>
      <c r="T37" s="32" t="str">
        <f t="shared" si="2"/>
        <v>2011</v>
      </c>
      <c r="U37" s="32">
        <f t="shared" si="3"/>
        <v>11</v>
      </c>
    </row>
    <row r="38" spans="1:21" x14ac:dyDescent="0.35">
      <c r="A38" s="1">
        <v>647</v>
      </c>
      <c r="B38" s="25">
        <v>40573</v>
      </c>
      <c r="C38" s="1">
        <v>1</v>
      </c>
      <c r="D38" s="1">
        <v>0</v>
      </c>
      <c r="E38" s="1">
        <v>1</v>
      </c>
      <c r="F38" s="1">
        <v>5</v>
      </c>
      <c r="G38" s="1" t="b">
        <v>0</v>
      </c>
      <c r="H38" s="1">
        <v>0</v>
      </c>
      <c r="I38" s="1">
        <v>1</v>
      </c>
      <c r="J38" s="26">
        <v>0.14000000000000001</v>
      </c>
      <c r="K38" s="26">
        <v>0.21210000000000001</v>
      </c>
      <c r="L38" s="27">
        <v>0.86</v>
      </c>
      <c r="M38" s="27">
        <v>0</v>
      </c>
      <c r="N38" s="28">
        <v>0</v>
      </c>
      <c r="O38" s="1">
        <v>3</v>
      </c>
      <c r="P38" s="30">
        <v>3</v>
      </c>
      <c r="Q38" s="35"/>
      <c r="R38" s="32" t="str">
        <f t="shared" si="0"/>
        <v>30-Jan-2011</v>
      </c>
      <c r="S38" s="32" t="str">
        <f t="shared" si="1"/>
        <v>30</v>
      </c>
      <c r="T38" s="32" t="str">
        <f t="shared" si="2"/>
        <v>2011</v>
      </c>
      <c r="U38" s="32">
        <f t="shared" si="3"/>
        <v>11</v>
      </c>
    </row>
    <row r="39" spans="1:21" x14ac:dyDescent="0.35">
      <c r="A39" s="1">
        <v>648</v>
      </c>
      <c r="B39" s="25">
        <v>40573</v>
      </c>
      <c r="C39" s="1">
        <v>1</v>
      </c>
      <c r="D39" s="1">
        <v>0</v>
      </c>
      <c r="E39" s="1">
        <v>1</v>
      </c>
      <c r="F39" s="1">
        <v>7</v>
      </c>
      <c r="G39" s="1" t="b">
        <v>0</v>
      </c>
      <c r="H39" s="1">
        <v>0</v>
      </c>
      <c r="I39" s="1">
        <v>1</v>
      </c>
      <c r="J39" s="26">
        <v>0.14000000000000001</v>
      </c>
      <c r="K39" s="26">
        <v>0.21210000000000001</v>
      </c>
      <c r="L39" s="27">
        <v>0.86</v>
      </c>
      <c r="M39" s="27">
        <v>0</v>
      </c>
      <c r="N39" s="28">
        <v>0</v>
      </c>
      <c r="O39" s="1">
        <v>3</v>
      </c>
      <c r="P39" s="30">
        <v>3</v>
      </c>
      <c r="Q39" s="35"/>
      <c r="R39" s="32" t="str">
        <f t="shared" si="0"/>
        <v>30-Jan-2011</v>
      </c>
      <c r="S39" s="32" t="str">
        <f t="shared" si="1"/>
        <v>30</v>
      </c>
      <c r="T39" s="32" t="str">
        <f t="shared" si="2"/>
        <v>2011</v>
      </c>
      <c r="U39" s="32">
        <f t="shared" si="3"/>
        <v>11</v>
      </c>
    </row>
    <row r="40" spans="1:21" x14ac:dyDescent="0.35">
      <c r="A40" s="1">
        <v>649</v>
      </c>
      <c r="B40" s="25">
        <v>40573</v>
      </c>
      <c r="C40" s="1">
        <v>1</v>
      </c>
      <c r="D40" s="1">
        <v>0</v>
      </c>
      <c r="E40" s="1">
        <v>1</v>
      </c>
      <c r="F40" s="1">
        <v>8</v>
      </c>
      <c r="G40" s="1" t="b">
        <v>0</v>
      </c>
      <c r="H40" s="1">
        <v>0</v>
      </c>
      <c r="I40" s="1">
        <v>2</v>
      </c>
      <c r="J40" s="26">
        <v>0.14000000000000001</v>
      </c>
      <c r="K40" s="26">
        <v>0.21210000000000001</v>
      </c>
      <c r="L40" s="27">
        <v>0.86</v>
      </c>
      <c r="M40" s="27">
        <v>0</v>
      </c>
      <c r="N40" s="28">
        <v>1</v>
      </c>
      <c r="O40" s="1">
        <v>11</v>
      </c>
      <c r="P40" s="30">
        <v>12</v>
      </c>
      <c r="Q40" s="35"/>
      <c r="R40" s="32" t="str">
        <f t="shared" si="0"/>
        <v>30-Jan-2011</v>
      </c>
      <c r="S40" s="32" t="str">
        <f t="shared" si="1"/>
        <v>30</v>
      </c>
      <c r="T40" s="32" t="str">
        <f t="shared" si="2"/>
        <v>2011</v>
      </c>
      <c r="U40" s="32">
        <f t="shared" si="3"/>
        <v>11</v>
      </c>
    </row>
    <row r="41" spans="1:21" x14ac:dyDescent="0.35">
      <c r="A41" s="1">
        <v>650</v>
      </c>
      <c r="B41" s="25">
        <v>40573</v>
      </c>
      <c r="C41" s="1">
        <v>1</v>
      </c>
      <c r="D41" s="1">
        <v>0</v>
      </c>
      <c r="E41" s="1">
        <v>1</v>
      </c>
      <c r="F41" s="1">
        <v>9</v>
      </c>
      <c r="G41" s="1" t="b">
        <v>0</v>
      </c>
      <c r="H41" s="1">
        <v>0</v>
      </c>
      <c r="I41" s="1">
        <v>2</v>
      </c>
      <c r="J41" s="26">
        <v>0.16</v>
      </c>
      <c r="K41" s="26">
        <v>0.2273</v>
      </c>
      <c r="L41" s="27">
        <v>0.8</v>
      </c>
      <c r="M41" s="27">
        <v>0</v>
      </c>
      <c r="N41" s="28">
        <v>4</v>
      </c>
      <c r="O41" s="1">
        <v>34</v>
      </c>
      <c r="P41" s="30">
        <v>38</v>
      </c>
      <c r="Q41" s="35"/>
      <c r="R41" s="32" t="str">
        <f t="shared" si="0"/>
        <v>30-Jan-2011</v>
      </c>
      <c r="S41" s="32" t="str">
        <f t="shared" si="1"/>
        <v>30</v>
      </c>
      <c r="T41" s="32" t="str">
        <f t="shared" si="2"/>
        <v>2011</v>
      </c>
      <c r="U41" s="32">
        <f t="shared" si="3"/>
        <v>11</v>
      </c>
    </row>
    <row r="42" spans="1:21" x14ac:dyDescent="0.35">
      <c r="A42" s="1">
        <v>651</v>
      </c>
      <c r="B42" s="25">
        <v>40573</v>
      </c>
      <c r="C42" s="1">
        <v>1</v>
      </c>
      <c r="D42" s="1">
        <v>0</v>
      </c>
      <c r="E42" s="1">
        <v>1</v>
      </c>
      <c r="F42" s="1">
        <v>10</v>
      </c>
      <c r="G42" s="1" t="b">
        <v>0</v>
      </c>
      <c r="H42" s="1">
        <v>0</v>
      </c>
      <c r="I42" s="1">
        <v>2</v>
      </c>
      <c r="J42" s="26">
        <v>0.18</v>
      </c>
      <c r="K42" s="26">
        <v>0.2424</v>
      </c>
      <c r="L42" s="27">
        <v>0.8</v>
      </c>
      <c r="M42" s="27">
        <v>0</v>
      </c>
      <c r="N42" s="28">
        <v>7</v>
      </c>
      <c r="O42" s="1">
        <v>57</v>
      </c>
      <c r="P42" s="30">
        <v>64</v>
      </c>
      <c r="Q42" s="35"/>
      <c r="R42" s="32" t="str">
        <f t="shared" si="0"/>
        <v>30-Jan-2011</v>
      </c>
      <c r="S42" s="32" t="str">
        <f t="shared" si="1"/>
        <v>30</v>
      </c>
      <c r="T42" s="32" t="str">
        <f t="shared" si="2"/>
        <v>2011</v>
      </c>
      <c r="U42" s="32">
        <f t="shared" si="3"/>
        <v>11</v>
      </c>
    </row>
    <row r="43" spans="1:21" x14ac:dyDescent="0.35">
      <c r="A43" s="1">
        <v>652</v>
      </c>
      <c r="B43" s="25">
        <v>40573</v>
      </c>
      <c r="C43" s="1">
        <v>1</v>
      </c>
      <c r="D43" s="1">
        <v>0</v>
      </c>
      <c r="E43" s="1">
        <v>1</v>
      </c>
      <c r="F43" s="1">
        <v>11</v>
      </c>
      <c r="G43" s="1" t="b">
        <v>0</v>
      </c>
      <c r="H43" s="1">
        <v>0</v>
      </c>
      <c r="I43" s="1">
        <v>1</v>
      </c>
      <c r="J43" s="26">
        <v>0.22</v>
      </c>
      <c r="K43" s="26">
        <v>0.2727</v>
      </c>
      <c r="L43" s="27">
        <v>0.75</v>
      </c>
      <c r="M43" s="27">
        <v>0</v>
      </c>
      <c r="N43" s="28">
        <v>9</v>
      </c>
      <c r="O43" s="1">
        <v>50</v>
      </c>
      <c r="P43" s="30">
        <v>59</v>
      </c>
      <c r="Q43" s="35"/>
      <c r="R43" s="32" t="str">
        <f t="shared" si="0"/>
        <v>30-Jan-2011</v>
      </c>
      <c r="S43" s="32" t="str">
        <f t="shared" si="1"/>
        <v>30</v>
      </c>
      <c r="T43" s="32" t="str">
        <f t="shared" si="2"/>
        <v>2011</v>
      </c>
      <c r="U43" s="32">
        <f t="shared" si="3"/>
        <v>11</v>
      </c>
    </row>
    <row r="44" spans="1:21" x14ac:dyDescent="0.35">
      <c r="A44" s="1">
        <v>653</v>
      </c>
      <c r="B44" s="25">
        <v>40573</v>
      </c>
      <c r="C44" s="1">
        <v>1</v>
      </c>
      <c r="D44" s="1">
        <v>0</v>
      </c>
      <c r="E44" s="1">
        <v>1</v>
      </c>
      <c r="F44" s="1">
        <v>12</v>
      </c>
      <c r="G44" s="1" t="b">
        <v>0</v>
      </c>
      <c r="H44" s="1">
        <v>0</v>
      </c>
      <c r="I44" s="1">
        <v>1</v>
      </c>
      <c r="J44" s="26">
        <v>0.3</v>
      </c>
      <c r="K44" s="26">
        <v>0.31819999999999998</v>
      </c>
      <c r="L44" s="27">
        <v>0.52</v>
      </c>
      <c r="M44" s="27">
        <v>0.1045</v>
      </c>
      <c r="N44" s="28">
        <v>10</v>
      </c>
      <c r="O44" s="1">
        <v>87</v>
      </c>
      <c r="P44" s="30">
        <v>97</v>
      </c>
      <c r="Q44" s="35"/>
      <c r="R44" s="32" t="str">
        <f t="shared" si="0"/>
        <v>30-Jan-2011</v>
      </c>
      <c r="S44" s="32" t="str">
        <f t="shared" si="1"/>
        <v>30</v>
      </c>
      <c r="T44" s="32" t="str">
        <f t="shared" si="2"/>
        <v>2011</v>
      </c>
      <c r="U44" s="32">
        <f t="shared" si="3"/>
        <v>11</v>
      </c>
    </row>
    <row r="45" spans="1:21" x14ac:dyDescent="0.35">
      <c r="A45" s="1">
        <v>654</v>
      </c>
      <c r="B45" s="25">
        <v>40573</v>
      </c>
      <c r="C45" s="1">
        <v>1</v>
      </c>
      <c r="D45" s="1">
        <v>0</v>
      </c>
      <c r="E45" s="1">
        <v>1</v>
      </c>
      <c r="F45" s="1">
        <v>13</v>
      </c>
      <c r="G45" s="1" t="b">
        <v>0</v>
      </c>
      <c r="H45" s="1">
        <v>0</v>
      </c>
      <c r="I45" s="1">
        <v>1</v>
      </c>
      <c r="J45" s="26">
        <v>0.28000000000000003</v>
      </c>
      <c r="K45" s="26">
        <v>0.28789999999999999</v>
      </c>
      <c r="L45" s="27">
        <v>0.61</v>
      </c>
      <c r="M45" s="27">
        <v>0.1045</v>
      </c>
      <c r="N45" s="28">
        <v>13</v>
      </c>
      <c r="O45" s="1">
        <v>71</v>
      </c>
      <c r="P45" s="30">
        <v>84</v>
      </c>
      <c r="Q45" s="35"/>
      <c r="R45" s="32" t="str">
        <f t="shared" si="0"/>
        <v>30-Jan-2011</v>
      </c>
      <c r="S45" s="32" t="str">
        <f t="shared" si="1"/>
        <v>30</v>
      </c>
      <c r="T45" s="32" t="str">
        <f t="shared" si="2"/>
        <v>2011</v>
      </c>
      <c r="U45" s="32">
        <f t="shared" si="3"/>
        <v>11</v>
      </c>
    </row>
    <row r="46" spans="1:21" x14ac:dyDescent="0.35">
      <c r="A46" s="1">
        <v>655</v>
      </c>
      <c r="B46" s="25">
        <v>40573</v>
      </c>
      <c r="C46" s="1">
        <v>1</v>
      </c>
      <c r="D46" s="1">
        <v>0</v>
      </c>
      <c r="E46" s="1">
        <v>1</v>
      </c>
      <c r="F46" s="1">
        <v>14</v>
      </c>
      <c r="G46" s="1" t="b">
        <v>0</v>
      </c>
      <c r="H46" s="1">
        <v>0</v>
      </c>
      <c r="I46" s="1">
        <v>1</v>
      </c>
      <c r="J46" s="26">
        <v>0.28000000000000003</v>
      </c>
      <c r="K46" s="26">
        <v>0.30299999999999999</v>
      </c>
      <c r="L46" s="27">
        <v>0.61</v>
      </c>
      <c r="M46" s="27">
        <v>8.9599999999999999E-2</v>
      </c>
      <c r="N46" s="28">
        <v>18</v>
      </c>
      <c r="O46" s="1">
        <v>104</v>
      </c>
      <c r="P46" s="30">
        <v>122</v>
      </c>
      <c r="Q46" s="35"/>
      <c r="R46" s="32" t="str">
        <f t="shared" si="0"/>
        <v>30-Jan-2011</v>
      </c>
      <c r="S46" s="32" t="str">
        <f t="shared" si="1"/>
        <v>30</v>
      </c>
      <c r="T46" s="32" t="str">
        <f t="shared" si="2"/>
        <v>2011</v>
      </c>
      <c r="U46" s="32">
        <f t="shared" si="3"/>
        <v>11</v>
      </c>
    </row>
    <row r="47" spans="1:21" x14ac:dyDescent="0.35">
      <c r="A47" s="1">
        <v>656</v>
      </c>
      <c r="B47" s="25">
        <v>40573</v>
      </c>
      <c r="C47" s="1">
        <v>1</v>
      </c>
      <c r="D47" s="1">
        <v>0</v>
      </c>
      <c r="E47" s="1">
        <v>1</v>
      </c>
      <c r="F47" s="1">
        <v>15</v>
      </c>
      <c r="G47" s="1" t="b">
        <v>0</v>
      </c>
      <c r="H47" s="1">
        <v>0</v>
      </c>
      <c r="I47" s="1">
        <v>1</v>
      </c>
      <c r="J47" s="26">
        <v>0.3</v>
      </c>
      <c r="K47" s="26">
        <v>0.33329999999999999</v>
      </c>
      <c r="L47" s="27">
        <v>0.56000000000000005</v>
      </c>
      <c r="M47" s="27">
        <v>0</v>
      </c>
      <c r="N47" s="28">
        <v>14</v>
      </c>
      <c r="O47" s="1">
        <v>95</v>
      </c>
      <c r="P47" s="30">
        <v>109</v>
      </c>
      <c r="Q47" s="35"/>
      <c r="R47" s="32" t="str">
        <f t="shared" si="0"/>
        <v>30-Jan-2011</v>
      </c>
      <c r="S47" s="32" t="str">
        <f t="shared" si="1"/>
        <v>30</v>
      </c>
      <c r="T47" s="32" t="str">
        <f t="shared" si="2"/>
        <v>2011</v>
      </c>
      <c r="U47" s="32">
        <f t="shared" si="3"/>
        <v>11</v>
      </c>
    </row>
    <row r="48" spans="1:21" x14ac:dyDescent="0.35">
      <c r="A48" s="1">
        <v>657</v>
      </c>
      <c r="B48" s="25">
        <v>40573</v>
      </c>
      <c r="C48" s="1">
        <v>1</v>
      </c>
      <c r="D48" s="1">
        <v>0</v>
      </c>
      <c r="E48" s="1">
        <v>1</v>
      </c>
      <c r="F48" s="1">
        <v>16</v>
      </c>
      <c r="G48" s="1" t="b">
        <v>0</v>
      </c>
      <c r="H48" s="1">
        <v>0</v>
      </c>
      <c r="I48" s="1">
        <v>1</v>
      </c>
      <c r="J48" s="26">
        <v>0.3</v>
      </c>
      <c r="K48" s="26">
        <v>0.33329999999999999</v>
      </c>
      <c r="L48" s="27">
        <v>0.56000000000000005</v>
      </c>
      <c r="M48" s="27">
        <v>0</v>
      </c>
      <c r="N48" s="28">
        <v>19</v>
      </c>
      <c r="O48" s="1">
        <v>104</v>
      </c>
      <c r="P48" s="30">
        <v>123</v>
      </c>
      <c r="Q48" s="35"/>
      <c r="R48" s="32" t="str">
        <f t="shared" si="0"/>
        <v>30-Jan-2011</v>
      </c>
      <c r="S48" s="32" t="str">
        <f t="shared" si="1"/>
        <v>30</v>
      </c>
      <c r="T48" s="32" t="str">
        <f t="shared" si="2"/>
        <v>2011</v>
      </c>
      <c r="U48" s="32">
        <f t="shared" si="3"/>
        <v>11</v>
      </c>
    </row>
    <row r="49" spans="1:21" x14ac:dyDescent="0.35">
      <c r="A49" s="1">
        <v>658</v>
      </c>
      <c r="B49" s="25">
        <v>40573</v>
      </c>
      <c r="C49" s="1">
        <v>1</v>
      </c>
      <c r="D49" s="1">
        <v>0</v>
      </c>
      <c r="E49" s="1">
        <v>1</v>
      </c>
      <c r="F49" s="1">
        <v>17</v>
      </c>
      <c r="G49" s="1" t="b">
        <v>0</v>
      </c>
      <c r="H49" s="1">
        <v>0</v>
      </c>
      <c r="I49" s="1">
        <v>1</v>
      </c>
      <c r="J49" s="26">
        <v>0.3</v>
      </c>
      <c r="K49" s="26">
        <v>0.28789999999999999</v>
      </c>
      <c r="L49" s="27">
        <v>0.56000000000000005</v>
      </c>
      <c r="M49" s="27">
        <v>0.19400000000000001</v>
      </c>
      <c r="N49" s="28">
        <v>6</v>
      </c>
      <c r="O49" s="1">
        <v>71</v>
      </c>
      <c r="P49" s="30">
        <v>77</v>
      </c>
      <c r="Q49" s="35"/>
      <c r="R49" s="32" t="str">
        <f t="shared" si="0"/>
        <v>30-Jan-2011</v>
      </c>
      <c r="S49" s="32" t="str">
        <f t="shared" si="1"/>
        <v>30</v>
      </c>
      <c r="T49" s="32" t="str">
        <f t="shared" si="2"/>
        <v>2011</v>
      </c>
      <c r="U49" s="32">
        <f t="shared" si="3"/>
        <v>11</v>
      </c>
    </row>
    <row r="50" spans="1:21" x14ac:dyDescent="0.35">
      <c r="A50" s="1">
        <v>659</v>
      </c>
      <c r="B50" s="25">
        <v>40573</v>
      </c>
      <c r="C50" s="1">
        <v>1</v>
      </c>
      <c r="D50" s="1">
        <v>0</v>
      </c>
      <c r="E50" s="1">
        <v>1</v>
      </c>
      <c r="F50" s="1">
        <v>18</v>
      </c>
      <c r="G50" s="1" t="b">
        <v>0</v>
      </c>
      <c r="H50" s="1">
        <v>0</v>
      </c>
      <c r="I50" s="1">
        <v>1</v>
      </c>
      <c r="J50" s="26">
        <v>0.26</v>
      </c>
      <c r="K50" s="26">
        <v>0.2576</v>
      </c>
      <c r="L50" s="27">
        <v>0.65</v>
      </c>
      <c r="M50" s="27">
        <v>0.16420000000000001</v>
      </c>
      <c r="N50" s="28">
        <v>8</v>
      </c>
      <c r="O50" s="1">
        <v>57</v>
      </c>
      <c r="P50" s="30">
        <v>65</v>
      </c>
      <c r="Q50" s="35"/>
      <c r="R50" s="32" t="str">
        <f t="shared" si="0"/>
        <v>30-Jan-2011</v>
      </c>
      <c r="S50" s="32" t="str">
        <f t="shared" si="1"/>
        <v>30</v>
      </c>
      <c r="T50" s="32" t="str">
        <f t="shared" si="2"/>
        <v>2011</v>
      </c>
      <c r="U50" s="32">
        <f t="shared" si="3"/>
        <v>11</v>
      </c>
    </row>
    <row r="51" spans="1:21" x14ac:dyDescent="0.35">
      <c r="A51" s="1">
        <v>660</v>
      </c>
      <c r="B51" s="25">
        <v>40573</v>
      </c>
      <c r="C51" s="1">
        <v>1</v>
      </c>
      <c r="D51" s="1">
        <v>0</v>
      </c>
      <c r="E51" s="1">
        <v>1</v>
      </c>
      <c r="F51" s="1">
        <v>19</v>
      </c>
      <c r="G51" s="1" t="b">
        <v>0</v>
      </c>
      <c r="H51" s="1">
        <v>0</v>
      </c>
      <c r="I51" s="1">
        <v>1</v>
      </c>
      <c r="J51" s="26">
        <v>0.26</v>
      </c>
      <c r="K51" s="26">
        <v>0.2576</v>
      </c>
      <c r="L51" s="27">
        <v>0.65</v>
      </c>
      <c r="M51" s="27">
        <v>0.19400000000000001</v>
      </c>
      <c r="N51" s="28">
        <v>9</v>
      </c>
      <c r="O51" s="1">
        <v>46</v>
      </c>
      <c r="P51" s="30">
        <v>55</v>
      </c>
      <c r="Q51" s="35"/>
      <c r="R51" s="32" t="str">
        <f t="shared" si="0"/>
        <v>30-Jan-2011</v>
      </c>
      <c r="S51" s="32" t="str">
        <f t="shared" si="1"/>
        <v>30</v>
      </c>
      <c r="T51" s="32" t="str">
        <f t="shared" si="2"/>
        <v>2011</v>
      </c>
      <c r="U51" s="32">
        <f t="shared" si="3"/>
        <v>11</v>
      </c>
    </row>
    <row r="52" spans="1:21" x14ac:dyDescent="0.35">
      <c r="A52" s="1">
        <v>661</v>
      </c>
      <c r="B52" s="25">
        <v>40573</v>
      </c>
      <c r="C52" s="1">
        <v>1</v>
      </c>
      <c r="D52" s="1">
        <v>0</v>
      </c>
      <c r="E52" s="1">
        <v>1</v>
      </c>
      <c r="F52" s="1">
        <v>20</v>
      </c>
      <c r="G52" s="1" t="b">
        <v>0</v>
      </c>
      <c r="H52" s="1">
        <v>0</v>
      </c>
      <c r="I52" s="1">
        <v>2</v>
      </c>
      <c r="J52" s="26">
        <v>0.26</v>
      </c>
      <c r="K52" s="26">
        <v>0.2727</v>
      </c>
      <c r="L52" s="27">
        <v>0.65</v>
      </c>
      <c r="M52" s="27">
        <v>0.1045</v>
      </c>
      <c r="N52" s="28">
        <v>3</v>
      </c>
      <c r="O52" s="1">
        <v>30</v>
      </c>
      <c r="P52" s="30">
        <v>33</v>
      </c>
      <c r="Q52" s="35"/>
      <c r="R52" s="32" t="str">
        <f t="shared" si="0"/>
        <v>30-Jan-2011</v>
      </c>
      <c r="S52" s="32" t="str">
        <f t="shared" si="1"/>
        <v>30</v>
      </c>
      <c r="T52" s="32" t="str">
        <f t="shared" si="2"/>
        <v>2011</v>
      </c>
      <c r="U52" s="32">
        <f t="shared" si="3"/>
        <v>11</v>
      </c>
    </row>
    <row r="53" spans="1:21" x14ac:dyDescent="0.35">
      <c r="A53" s="1">
        <v>662</v>
      </c>
      <c r="B53" s="25">
        <v>40573</v>
      </c>
      <c r="C53" s="1">
        <v>1</v>
      </c>
      <c r="D53" s="1">
        <v>0</v>
      </c>
      <c r="E53" s="1">
        <v>1</v>
      </c>
      <c r="F53" s="1">
        <v>21</v>
      </c>
      <c r="G53" s="1" t="b">
        <v>0</v>
      </c>
      <c r="H53" s="1">
        <v>0</v>
      </c>
      <c r="I53" s="1">
        <v>2</v>
      </c>
      <c r="J53" s="26">
        <v>0.24</v>
      </c>
      <c r="K53" s="26">
        <v>0.2424</v>
      </c>
      <c r="L53" s="27">
        <v>0.7</v>
      </c>
      <c r="M53" s="27">
        <v>0.16420000000000001</v>
      </c>
      <c r="N53" s="28">
        <v>3</v>
      </c>
      <c r="O53" s="1">
        <v>25</v>
      </c>
      <c r="P53" s="30">
        <v>28</v>
      </c>
      <c r="Q53" s="35"/>
      <c r="R53" s="32" t="str">
        <f t="shared" si="0"/>
        <v>30-Jan-2011</v>
      </c>
      <c r="S53" s="32" t="str">
        <f t="shared" si="1"/>
        <v>30</v>
      </c>
      <c r="T53" s="32" t="str">
        <f t="shared" si="2"/>
        <v>2011</v>
      </c>
      <c r="U53" s="32">
        <f t="shared" si="3"/>
        <v>11</v>
      </c>
    </row>
    <row r="54" spans="1:21" x14ac:dyDescent="0.35">
      <c r="A54" s="1">
        <v>663</v>
      </c>
      <c r="B54" s="25">
        <v>40573</v>
      </c>
      <c r="C54" s="1">
        <v>1</v>
      </c>
      <c r="D54" s="1">
        <v>0</v>
      </c>
      <c r="E54" s="1">
        <v>1</v>
      </c>
      <c r="F54" s="1">
        <v>22</v>
      </c>
      <c r="G54" s="1" t="b">
        <v>0</v>
      </c>
      <c r="H54" s="1">
        <v>0</v>
      </c>
      <c r="I54" s="1">
        <v>2</v>
      </c>
      <c r="J54" s="26">
        <v>0.24</v>
      </c>
      <c r="K54" s="26">
        <v>0.2273</v>
      </c>
      <c r="L54" s="27">
        <v>0.7</v>
      </c>
      <c r="M54" s="27">
        <v>0.19400000000000001</v>
      </c>
      <c r="N54" s="28">
        <v>2</v>
      </c>
      <c r="O54" s="1">
        <v>19</v>
      </c>
      <c r="P54" s="30">
        <v>21</v>
      </c>
      <c r="Q54" s="35"/>
      <c r="R54" s="32" t="str">
        <f t="shared" si="0"/>
        <v>30-Jan-2011</v>
      </c>
      <c r="S54" s="32" t="str">
        <f t="shared" si="1"/>
        <v>30</v>
      </c>
      <c r="T54" s="32" t="str">
        <f t="shared" si="2"/>
        <v>2011</v>
      </c>
      <c r="U54" s="32">
        <f t="shared" si="3"/>
        <v>11</v>
      </c>
    </row>
    <row r="55" spans="1:21" x14ac:dyDescent="0.35">
      <c r="A55" s="1">
        <v>664</v>
      </c>
      <c r="B55" s="25">
        <v>40573</v>
      </c>
      <c r="C55" s="1">
        <v>1</v>
      </c>
      <c r="D55" s="1">
        <v>0</v>
      </c>
      <c r="E55" s="1">
        <v>1</v>
      </c>
      <c r="F55" s="1">
        <v>23</v>
      </c>
      <c r="G55" s="1" t="b">
        <v>0</v>
      </c>
      <c r="H55" s="1">
        <v>0</v>
      </c>
      <c r="I55" s="1">
        <v>2</v>
      </c>
      <c r="J55" s="26">
        <v>0.24</v>
      </c>
      <c r="K55" s="26">
        <v>0.21210000000000001</v>
      </c>
      <c r="L55" s="27">
        <v>0.65</v>
      </c>
      <c r="M55" s="27">
        <v>0.28360000000000002</v>
      </c>
      <c r="N55" s="28">
        <v>5</v>
      </c>
      <c r="O55" s="1">
        <v>16</v>
      </c>
      <c r="P55" s="30">
        <v>21</v>
      </c>
      <c r="Q55" s="35"/>
      <c r="R55" s="32" t="str">
        <f t="shared" si="0"/>
        <v>30-Jan-2011</v>
      </c>
      <c r="S55" s="32" t="str">
        <f t="shared" si="1"/>
        <v>30</v>
      </c>
      <c r="T55" s="32" t="str">
        <f t="shared" si="2"/>
        <v>2011</v>
      </c>
      <c r="U55" s="32">
        <f t="shared" si="3"/>
        <v>11</v>
      </c>
    </row>
    <row r="56" spans="1:21" x14ac:dyDescent="0.35">
      <c r="A56" s="1">
        <v>665</v>
      </c>
      <c r="B56" s="25">
        <v>40574</v>
      </c>
      <c r="C56" s="1">
        <v>1</v>
      </c>
      <c r="D56" s="1">
        <v>0</v>
      </c>
      <c r="E56" s="1">
        <v>1</v>
      </c>
      <c r="F56" s="1">
        <v>0</v>
      </c>
      <c r="G56" s="1" t="b">
        <v>0</v>
      </c>
      <c r="H56" s="1">
        <v>1</v>
      </c>
      <c r="I56" s="1">
        <v>2</v>
      </c>
      <c r="J56" s="26">
        <v>0.24</v>
      </c>
      <c r="K56" s="26">
        <v>0.2273</v>
      </c>
      <c r="L56" s="27">
        <v>0.65</v>
      </c>
      <c r="M56" s="27">
        <v>0.22389999999999999</v>
      </c>
      <c r="N56" s="28">
        <v>1</v>
      </c>
      <c r="O56" s="1">
        <v>6</v>
      </c>
      <c r="P56" s="30">
        <v>7</v>
      </c>
      <c r="Q56" s="35"/>
      <c r="R56" s="32" t="str">
        <f t="shared" si="0"/>
        <v>31-Jan-2011</v>
      </c>
      <c r="S56" s="32" t="str">
        <f t="shared" si="1"/>
        <v>31</v>
      </c>
      <c r="T56" s="32" t="str">
        <f t="shared" si="2"/>
        <v>2011</v>
      </c>
      <c r="U56" s="32">
        <f t="shared" si="3"/>
        <v>11</v>
      </c>
    </row>
    <row r="57" spans="1:21" x14ac:dyDescent="0.35">
      <c r="A57" s="1">
        <v>666</v>
      </c>
      <c r="B57" s="25">
        <v>40574</v>
      </c>
      <c r="C57" s="1">
        <v>1</v>
      </c>
      <c r="D57" s="1">
        <v>0</v>
      </c>
      <c r="E57" s="1">
        <v>1</v>
      </c>
      <c r="F57" s="1">
        <v>1</v>
      </c>
      <c r="G57" s="1" t="b">
        <v>0</v>
      </c>
      <c r="H57" s="1">
        <v>1</v>
      </c>
      <c r="I57" s="1">
        <v>1</v>
      </c>
      <c r="J57" s="26">
        <v>0.22</v>
      </c>
      <c r="K57" s="26">
        <v>0.21210000000000001</v>
      </c>
      <c r="L57" s="27">
        <v>0.64</v>
      </c>
      <c r="M57" s="27">
        <v>0.25369999999999998</v>
      </c>
      <c r="N57" s="28">
        <v>2</v>
      </c>
      <c r="O57" s="1">
        <v>5</v>
      </c>
      <c r="P57" s="30">
        <v>7</v>
      </c>
      <c r="Q57" s="35"/>
      <c r="R57" s="32" t="str">
        <f t="shared" si="0"/>
        <v>31-Jan-2011</v>
      </c>
      <c r="S57" s="32" t="str">
        <f t="shared" si="1"/>
        <v>31</v>
      </c>
      <c r="T57" s="32" t="str">
        <f t="shared" si="2"/>
        <v>2011</v>
      </c>
      <c r="U57" s="32">
        <f t="shared" si="3"/>
        <v>11</v>
      </c>
    </row>
    <row r="58" spans="1:21" x14ac:dyDescent="0.35">
      <c r="A58" s="1">
        <v>667</v>
      </c>
      <c r="B58" s="25">
        <v>40574</v>
      </c>
      <c r="C58" s="1">
        <v>1</v>
      </c>
      <c r="D58" s="1">
        <v>0</v>
      </c>
      <c r="E58" s="1">
        <v>1</v>
      </c>
      <c r="F58" s="1">
        <v>2</v>
      </c>
      <c r="G58" s="1" t="b">
        <v>0</v>
      </c>
      <c r="H58" s="1">
        <v>1</v>
      </c>
      <c r="I58" s="1">
        <v>1</v>
      </c>
      <c r="J58" s="26">
        <v>0.22</v>
      </c>
      <c r="K58" s="26">
        <v>0.2273</v>
      </c>
      <c r="L58" s="27">
        <v>0.64</v>
      </c>
      <c r="M58" s="27">
        <v>0.19400000000000001</v>
      </c>
      <c r="N58" s="28">
        <v>0</v>
      </c>
      <c r="O58" s="1">
        <v>1</v>
      </c>
      <c r="P58" s="30">
        <v>1</v>
      </c>
      <c r="Q58" s="35"/>
      <c r="R58" s="32" t="str">
        <f t="shared" si="0"/>
        <v>31-Jan-2011</v>
      </c>
      <c r="S58" s="32" t="str">
        <f t="shared" si="1"/>
        <v>31</v>
      </c>
      <c r="T58" s="32" t="str">
        <f t="shared" si="2"/>
        <v>2011</v>
      </c>
      <c r="U58" s="32">
        <f t="shared" si="3"/>
        <v>11</v>
      </c>
    </row>
    <row r="59" spans="1:21" x14ac:dyDescent="0.35">
      <c r="A59" s="1">
        <v>668</v>
      </c>
      <c r="B59" s="25">
        <v>40574</v>
      </c>
      <c r="C59" s="1">
        <v>1</v>
      </c>
      <c r="D59" s="1">
        <v>0</v>
      </c>
      <c r="E59" s="1">
        <v>1</v>
      </c>
      <c r="F59" s="1">
        <v>3</v>
      </c>
      <c r="G59" s="1" t="b">
        <v>0</v>
      </c>
      <c r="H59" s="1">
        <v>1</v>
      </c>
      <c r="I59" s="1">
        <v>1</v>
      </c>
      <c r="J59" s="26">
        <v>0.22</v>
      </c>
      <c r="K59" s="26">
        <v>0.2273</v>
      </c>
      <c r="L59" s="27">
        <v>0.64</v>
      </c>
      <c r="M59" s="27">
        <v>0.19400000000000001</v>
      </c>
      <c r="N59" s="28">
        <v>0</v>
      </c>
      <c r="O59" s="1">
        <v>2</v>
      </c>
      <c r="P59" s="30">
        <v>2</v>
      </c>
      <c r="Q59" s="35"/>
      <c r="R59" s="32" t="str">
        <f t="shared" si="0"/>
        <v>31-Jan-2011</v>
      </c>
      <c r="S59" s="32" t="str">
        <f t="shared" si="1"/>
        <v>31</v>
      </c>
      <c r="T59" s="32" t="str">
        <f t="shared" si="2"/>
        <v>2011</v>
      </c>
      <c r="U59" s="32">
        <f t="shared" si="3"/>
        <v>11</v>
      </c>
    </row>
    <row r="60" spans="1:21" x14ac:dyDescent="0.35">
      <c r="A60" s="1">
        <v>669</v>
      </c>
      <c r="B60" s="25">
        <v>40574</v>
      </c>
      <c r="C60" s="1">
        <v>1</v>
      </c>
      <c r="D60" s="1">
        <v>0</v>
      </c>
      <c r="E60" s="1">
        <v>1</v>
      </c>
      <c r="F60" s="1">
        <v>4</v>
      </c>
      <c r="G60" s="1" t="b">
        <v>0</v>
      </c>
      <c r="H60" s="1">
        <v>1</v>
      </c>
      <c r="I60" s="1">
        <v>1</v>
      </c>
      <c r="J60" s="26">
        <v>0.2</v>
      </c>
      <c r="K60" s="26">
        <v>0.19700000000000001</v>
      </c>
      <c r="L60" s="27">
        <v>0.59</v>
      </c>
      <c r="M60" s="27">
        <v>0.22389999999999999</v>
      </c>
      <c r="N60" s="28">
        <v>0</v>
      </c>
      <c r="O60" s="1">
        <v>2</v>
      </c>
      <c r="P60" s="30">
        <v>2</v>
      </c>
      <c r="Q60" s="35"/>
      <c r="R60" s="32" t="str">
        <f t="shared" si="0"/>
        <v>31-Jan-2011</v>
      </c>
      <c r="S60" s="32" t="str">
        <f t="shared" si="1"/>
        <v>31</v>
      </c>
      <c r="T60" s="32" t="str">
        <f t="shared" si="2"/>
        <v>2011</v>
      </c>
      <c r="U60" s="32">
        <f t="shared" si="3"/>
        <v>11</v>
      </c>
    </row>
    <row r="61" spans="1:21" x14ac:dyDescent="0.35">
      <c r="A61" s="1">
        <v>670</v>
      </c>
      <c r="B61" s="25">
        <v>40574</v>
      </c>
      <c r="C61" s="1">
        <v>1</v>
      </c>
      <c r="D61" s="1">
        <v>0</v>
      </c>
      <c r="E61" s="1">
        <v>1</v>
      </c>
      <c r="F61" s="1">
        <v>5</v>
      </c>
      <c r="G61" s="1" t="b">
        <v>0</v>
      </c>
      <c r="H61" s="1">
        <v>1</v>
      </c>
      <c r="I61" s="1">
        <v>1</v>
      </c>
      <c r="J61" s="26">
        <v>0.18</v>
      </c>
      <c r="K61" s="26">
        <v>0.16669999999999999</v>
      </c>
      <c r="L61" s="27">
        <v>0.64</v>
      </c>
      <c r="M61" s="27">
        <v>0.28360000000000002</v>
      </c>
      <c r="N61" s="28">
        <v>0</v>
      </c>
      <c r="O61" s="1">
        <v>8</v>
      </c>
      <c r="P61" s="30">
        <v>8</v>
      </c>
      <c r="Q61" s="35"/>
      <c r="R61" s="32" t="str">
        <f t="shared" si="0"/>
        <v>31-Jan-2011</v>
      </c>
      <c r="S61" s="32" t="str">
        <f t="shared" si="1"/>
        <v>31</v>
      </c>
      <c r="T61" s="32" t="str">
        <f t="shared" si="2"/>
        <v>2011</v>
      </c>
      <c r="U61" s="32">
        <f t="shared" si="3"/>
        <v>11</v>
      </c>
    </row>
    <row r="62" spans="1:21" x14ac:dyDescent="0.35">
      <c r="A62" s="1">
        <v>671</v>
      </c>
      <c r="B62" s="25">
        <v>40574</v>
      </c>
      <c r="C62" s="1">
        <v>1</v>
      </c>
      <c r="D62" s="1">
        <v>0</v>
      </c>
      <c r="E62" s="1">
        <v>1</v>
      </c>
      <c r="F62" s="1">
        <v>6</v>
      </c>
      <c r="G62" s="1" t="b">
        <v>0</v>
      </c>
      <c r="H62" s="1">
        <v>1</v>
      </c>
      <c r="I62" s="1">
        <v>1</v>
      </c>
      <c r="J62" s="26">
        <v>0.16</v>
      </c>
      <c r="K62" s="26">
        <v>0.13639999999999999</v>
      </c>
      <c r="L62" s="27">
        <v>0.69</v>
      </c>
      <c r="M62" s="27">
        <v>0.32840000000000003</v>
      </c>
      <c r="N62" s="28">
        <v>0</v>
      </c>
      <c r="O62" s="1">
        <v>37</v>
      </c>
      <c r="P62" s="30">
        <v>37</v>
      </c>
      <c r="Q62" s="35"/>
      <c r="R62" s="32" t="str">
        <f t="shared" si="0"/>
        <v>31-Jan-2011</v>
      </c>
      <c r="S62" s="32" t="str">
        <f t="shared" si="1"/>
        <v>31</v>
      </c>
      <c r="T62" s="32" t="str">
        <f t="shared" si="2"/>
        <v>2011</v>
      </c>
      <c r="U62" s="32">
        <f t="shared" si="3"/>
        <v>11</v>
      </c>
    </row>
    <row r="63" spans="1:21" x14ac:dyDescent="0.35">
      <c r="A63" s="1">
        <v>672</v>
      </c>
      <c r="B63" s="25">
        <v>40574</v>
      </c>
      <c r="C63" s="1">
        <v>1</v>
      </c>
      <c r="D63" s="1">
        <v>0</v>
      </c>
      <c r="E63" s="1">
        <v>1</v>
      </c>
      <c r="F63" s="1">
        <v>7</v>
      </c>
      <c r="G63" s="1" t="b">
        <v>0</v>
      </c>
      <c r="H63" s="1">
        <v>1</v>
      </c>
      <c r="I63" s="1">
        <v>2</v>
      </c>
      <c r="J63" s="26">
        <v>0.16</v>
      </c>
      <c r="K63" s="26">
        <v>0.13639999999999999</v>
      </c>
      <c r="L63" s="27">
        <v>0.64</v>
      </c>
      <c r="M63" s="27">
        <v>0.28360000000000002</v>
      </c>
      <c r="N63" s="28">
        <v>1</v>
      </c>
      <c r="O63" s="1">
        <v>71</v>
      </c>
      <c r="P63" s="30">
        <v>72</v>
      </c>
      <c r="Q63" s="35"/>
      <c r="R63" s="32" t="str">
        <f t="shared" si="0"/>
        <v>31-Jan-2011</v>
      </c>
      <c r="S63" s="32" t="str">
        <f t="shared" si="1"/>
        <v>31</v>
      </c>
      <c r="T63" s="32" t="str">
        <f t="shared" si="2"/>
        <v>2011</v>
      </c>
      <c r="U63" s="32">
        <f t="shared" si="3"/>
        <v>11</v>
      </c>
    </row>
    <row r="64" spans="1:21" x14ac:dyDescent="0.35">
      <c r="A64" s="1">
        <v>673</v>
      </c>
      <c r="B64" s="25">
        <v>40574</v>
      </c>
      <c r="C64" s="1">
        <v>1</v>
      </c>
      <c r="D64" s="1">
        <v>0</v>
      </c>
      <c r="E64" s="1">
        <v>1</v>
      </c>
      <c r="F64" s="1">
        <v>8</v>
      </c>
      <c r="G64" s="1" t="b">
        <v>0</v>
      </c>
      <c r="H64" s="1">
        <v>1</v>
      </c>
      <c r="I64" s="1">
        <v>2</v>
      </c>
      <c r="J64" s="26">
        <v>0.16</v>
      </c>
      <c r="K64" s="26">
        <v>0.13639999999999999</v>
      </c>
      <c r="L64" s="27">
        <v>0.59</v>
      </c>
      <c r="M64" s="27">
        <v>0.28360000000000002</v>
      </c>
      <c r="N64" s="28">
        <v>3</v>
      </c>
      <c r="O64" s="1">
        <v>182</v>
      </c>
      <c r="P64" s="30">
        <v>185</v>
      </c>
      <c r="Q64" s="35"/>
      <c r="R64" s="32" t="str">
        <f t="shared" si="0"/>
        <v>31-Jan-2011</v>
      </c>
      <c r="S64" s="32" t="str">
        <f t="shared" si="1"/>
        <v>31</v>
      </c>
      <c r="T64" s="32" t="str">
        <f t="shared" si="2"/>
        <v>2011</v>
      </c>
      <c r="U64" s="32">
        <f t="shared" si="3"/>
        <v>11</v>
      </c>
    </row>
    <row r="65" spans="1:21" x14ac:dyDescent="0.35">
      <c r="A65" s="1">
        <v>674</v>
      </c>
      <c r="B65" s="25">
        <v>40574</v>
      </c>
      <c r="C65" s="1">
        <v>1</v>
      </c>
      <c r="D65" s="1">
        <v>0</v>
      </c>
      <c r="E65" s="1">
        <v>1</v>
      </c>
      <c r="F65" s="1">
        <v>9</v>
      </c>
      <c r="G65" s="1" t="b">
        <v>0</v>
      </c>
      <c r="H65" s="1">
        <v>1</v>
      </c>
      <c r="I65" s="1">
        <v>2</v>
      </c>
      <c r="J65" s="26">
        <v>0.16</v>
      </c>
      <c r="K65" s="26">
        <v>0.13639999999999999</v>
      </c>
      <c r="L65" s="27">
        <v>0.59</v>
      </c>
      <c r="M65" s="27">
        <v>0.29849999999999999</v>
      </c>
      <c r="N65" s="28">
        <v>0</v>
      </c>
      <c r="O65" s="1">
        <v>112</v>
      </c>
      <c r="P65" s="30">
        <v>112</v>
      </c>
      <c r="Q65" s="35"/>
      <c r="R65" s="32" t="str">
        <f t="shared" si="0"/>
        <v>31-Jan-2011</v>
      </c>
      <c r="S65" s="32" t="str">
        <f t="shared" si="1"/>
        <v>31</v>
      </c>
      <c r="T65" s="32" t="str">
        <f t="shared" si="2"/>
        <v>2011</v>
      </c>
      <c r="U65" s="32">
        <f t="shared" si="3"/>
        <v>11</v>
      </c>
    </row>
    <row r="66" spans="1:21" x14ac:dyDescent="0.35">
      <c r="A66" s="1">
        <v>675</v>
      </c>
      <c r="B66" s="25">
        <v>40574</v>
      </c>
      <c r="C66" s="1">
        <v>1</v>
      </c>
      <c r="D66" s="1">
        <v>0</v>
      </c>
      <c r="E66" s="1">
        <v>1</v>
      </c>
      <c r="F66" s="1">
        <v>10</v>
      </c>
      <c r="G66" s="1" t="b">
        <v>0</v>
      </c>
      <c r="H66" s="1">
        <v>1</v>
      </c>
      <c r="I66" s="1">
        <v>2</v>
      </c>
      <c r="J66" s="26">
        <v>0.16</v>
      </c>
      <c r="K66" s="26">
        <v>0.1515</v>
      </c>
      <c r="L66" s="27">
        <v>0.59</v>
      </c>
      <c r="M66" s="27">
        <v>0.19400000000000001</v>
      </c>
      <c r="N66" s="28">
        <v>1</v>
      </c>
      <c r="O66" s="1">
        <v>68</v>
      </c>
      <c r="P66" s="30">
        <v>69</v>
      </c>
      <c r="Q66" s="35"/>
      <c r="R66" s="32" t="str">
        <f t="shared" ref="R66:R129" si="4">TEXT(B66,"dd-mmm-yyyy")</f>
        <v>31-Jan-2011</v>
      </c>
      <c r="S66" s="32" t="str">
        <f t="shared" si="1"/>
        <v>31</v>
      </c>
      <c r="T66" s="32" t="str">
        <f t="shared" si="2"/>
        <v>2011</v>
      </c>
      <c r="U66" s="32">
        <f t="shared" si="3"/>
        <v>11</v>
      </c>
    </row>
    <row r="67" spans="1:21" x14ac:dyDescent="0.35">
      <c r="A67" s="1">
        <v>676</v>
      </c>
      <c r="B67" s="25">
        <v>40574</v>
      </c>
      <c r="C67" s="1">
        <v>1</v>
      </c>
      <c r="D67" s="1">
        <v>0</v>
      </c>
      <c r="E67" s="1">
        <v>1</v>
      </c>
      <c r="F67" s="1">
        <v>11</v>
      </c>
      <c r="G67" s="1" t="b">
        <v>0</v>
      </c>
      <c r="H67" s="1">
        <v>1</v>
      </c>
      <c r="I67" s="1">
        <v>2</v>
      </c>
      <c r="J67" s="26">
        <v>0.16</v>
      </c>
      <c r="K67" s="26">
        <v>0.1515</v>
      </c>
      <c r="L67" s="27">
        <v>0.59</v>
      </c>
      <c r="M67" s="27">
        <v>0.19400000000000001</v>
      </c>
      <c r="N67" s="28">
        <v>2</v>
      </c>
      <c r="O67" s="1">
        <v>46</v>
      </c>
      <c r="P67" s="30">
        <v>48</v>
      </c>
      <c r="Q67" s="35"/>
      <c r="R67" s="32" t="str">
        <f t="shared" si="4"/>
        <v>31-Jan-2011</v>
      </c>
      <c r="S67" s="32" t="str">
        <f t="shared" ref="S67:S130" si="5">LEFT(R67,2)</f>
        <v>31</v>
      </c>
      <c r="T67" s="32" t="str">
        <f t="shared" ref="T67:T130" si="6">RIGHT(R67,4)</f>
        <v>2011</v>
      </c>
      <c r="U67" s="32">
        <f t="shared" ref="U67:U130" si="7">LEN(R67)</f>
        <v>11</v>
      </c>
    </row>
    <row r="68" spans="1:21" x14ac:dyDescent="0.35">
      <c r="A68" s="1">
        <v>677</v>
      </c>
      <c r="B68" s="25">
        <v>40574</v>
      </c>
      <c r="C68" s="1">
        <v>1</v>
      </c>
      <c r="D68" s="1">
        <v>0</v>
      </c>
      <c r="E68" s="1">
        <v>1</v>
      </c>
      <c r="F68" s="1">
        <v>12</v>
      </c>
      <c r="G68" s="1" t="b">
        <v>0</v>
      </c>
      <c r="H68" s="1">
        <v>1</v>
      </c>
      <c r="I68" s="1">
        <v>2</v>
      </c>
      <c r="J68" s="26">
        <v>0.18</v>
      </c>
      <c r="K68" s="26">
        <v>0.21210000000000001</v>
      </c>
      <c r="L68" s="27">
        <v>0.55000000000000004</v>
      </c>
      <c r="M68" s="27">
        <v>0.1045</v>
      </c>
      <c r="N68" s="28">
        <v>6</v>
      </c>
      <c r="O68" s="1">
        <v>62</v>
      </c>
      <c r="P68" s="30">
        <v>68</v>
      </c>
      <c r="Q68" s="35"/>
      <c r="R68" s="32" t="str">
        <f t="shared" si="4"/>
        <v>31-Jan-2011</v>
      </c>
      <c r="S68" s="32" t="str">
        <f t="shared" si="5"/>
        <v>31</v>
      </c>
      <c r="T68" s="32" t="str">
        <f t="shared" si="6"/>
        <v>2011</v>
      </c>
      <c r="U68" s="32">
        <f t="shared" si="7"/>
        <v>11</v>
      </c>
    </row>
    <row r="69" spans="1:21" x14ac:dyDescent="0.35">
      <c r="A69" s="1">
        <v>678</v>
      </c>
      <c r="B69" s="25">
        <v>40574</v>
      </c>
      <c r="C69" s="1">
        <v>1</v>
      </c>
      <c r="D69" s="1">
        <v>0</v>
      </c>
      <c r="E69" s="1">
        <v>1</v>
      </c>
      <c r="F69" s="1">
        <v>13</v>
      </c>
      <c r="G69" s="1" t="b">
        <v>0</v>
      </c>
      <c r="H69" s="1">
        <v>1</v>
      </c>
      <c r="I69" s="1">
        <v>2</v>
      </c>
      <c r="J69" s="26">
        <v>0.16</v>
      </c>
      <c r="K69" s="26">
        <v>0.2273</v>
      </c>
      <c r="L69" s="27">
        <v>0.59</v>
      </c>
      <c r="M69" s="27">
        <v>0</v>
      </c>
      <c r="N69" s="28">
        <v>2</v>
      </c>
      <c r="O69" s="1">
        <v>52</v>
      </c>
      <c r="P69" s="30">
        <v>54</v>
      </c>
      <c r="Q69" s="35"/>
      <c r="R69" s="32" t="str">
        <f t="shared" si="4"/>
        <v>31-Jan-2011</v>
      </c>
      <c r="S69" s="32" t="str">
        <f t="shared" si="5"/>
        <v>31</v>
      </c>
      <c r="T69" s="32" t="str">
        <f t="shared" si="6"/>
        <v>2011</v>
      </c>
      <c r="U69" s="32">
        <f t="shared" si="7"/>
        <v>11</v>
      </c>
    </row>
    <row r="70" spans="1:21" x14ac:dyDescent="0.35">
      <c r="A70" s="1">
        <v>679</v>
      </c>
      <c r="B70" s="25">
        <v>40574</v>
      </c>
      <c r="C70" s="1">
        <v>1</v>
      </c>
      <c r="D70" s="1">
        <v>0</v>
      </c>
      <c r="E70" s="1">
        <v>1</v>
      </c>
      <c r="F70" s="1">
        <v>14</v>
      </c>
      <c r="G70" s="1" t="b">
        <v>0</v>
      </c>
      <c r="H70" s="1">
        <v>1</v>
      </c>
      <c r="I70" s="1">
        <v>2</v>
      </c>
      <c r="J70" s="26">
        <v>0.18</v>
      </c>
      <c r="K70" s="26">
        <v>0.19700000000000001</v>
      </c>
      <c r="L70" s="27">
        <v>0.55000000000000004</v>
      </c>
      <c r="M70" s="27">
        <v>0.1343</v>
      </c>
      <c r="N70" s="28">
        <v>1</v>
      </c>
      <c r="O70" s="1">
        <v>85</v>
      </c>
      <c r="P70" s="30">
        <v>86</v>
      </c>
      <c r="Q70" s="35"/>
      <c r="R70" s="32" t="str">
        <f t="shared" si="4"/>
        <v>31-Jan-2011</v>
      </c>
      <c r="S70" s="32" t="str">
        <f t="shared" si="5"/>
        <v>31</v>
      </c>
      <c r="T70" s="32" t="str">
        <f t="shared" si="6"/>
        <v>2011</v>
      </c>
      <c r="U70" s="32">
        <f t="shared" si="7"/>
        <v>11</v>
      </c>
    </row>
    <row r="71" spans="1:21" x14ac:dyDescent="0.35">
      <c r="A71" s="1">
        <v>680</v>
      </c>
      <c r="B71" s="25">
        <v>40574</v>
      </c>
      <c r="C71" s="1">
        <v>1</v>
      </c>
      <c r="D71" s="1">
        <v>0</v>
      </c>
      <c r="E71" s="1">
        <v>1</v>
      </c>
      <c r="F71" s="1">
        <v>15</v>
      </c>
      <c r="G71" s="1" t="b">
        <v>0</v>
      </c>
      <c r="H71" s="1">
        <v>1</v>
      </c>
      <c r="I71" s="1">
        <v>2</v>
      </c>
      <c r="J71" s="26">
        <v>0.16</v>
      </c>
      <c r="K71" s="26">
        <v>0.18179999999999999</v>
      </c>
      <c r="L71" s="27">
        <v>0.59</v>
      </c>
      <c r="M71" s="27">
        <v>0.1343</v>
      </c>
      <c r="N71" s="28">
        <v>3</v>
      </c>
      <c r="O71" s="1">
        <v>41</v>
      </c>
      <c r="P71" s="30">
        <v>44</v>
      </c>
      <c r="Q71" s="35"/>
      <c r="R71" s="32" t="str">
        <f t="shared" si="4"/>
        <v>31-Jan-2011</v>
      </c>
      <c r="S71" s="32" t="str">
        <f t="shared" si="5"/>
        <v>31</v>
      </c>
      <c r="T71" s="32" t="str">
        <f t="shared" si="6"/>
        <v>2011</v>
      </c>
      <c r="U71" s="32">
        <f t="shared" si="7"/>
        <v>11</v>
      </c>
    </row>
    <row r="72" spans="1:21" x14ac:dyDescent="0.35">
      <c r="A72" s="1">
        <v>681</v>
      </c>
      <c r="B72" s="25">
        <v>40574</v>
      </c>
      <c r="C72" s="1">
        <v>1</v>
      </c>
      <c r="D72" s="1">
        <v>0</v>
      </c>
      <c r="E72" s="1">
        <v>1</v>
      </c>
      <c r="F72" s="1">
        <v>16</v>
      </c>
      <c r="G72" s="1" t="b">
        <v>0</v>
      </c>
      <c r="H72" s="1">
        <v>1</v>
      </c>
      <c r="I72" s="1">
        <v>2</v>
      </c>
      <c r="J72" s="26">
        <v>0.16</v>
      </c>
      <c r="K72" s="26">
        <v>0.18179999999999999</v>
      </c>
      <c r="L72" s="27">
        <v>0.56000000000000005</v>
      </c>
      <c r="M72" s="27">
        <v>0.19400000000000001</v>
      </c>
      <c r="N72" s="28">
        <v>3</v>
      </c>
      <c r="O72" s="1">
        <v>83</v>
      </c>
      <c r="P72" s="30">
        <v>86</v>
      </c>
      <c r="Q72" s="35"/>
      <c r="R72" s="32" t="str">
        <f t="shared" si="4"/>
        <v>31-Jan-2011</v>
      </c>
      <c r="S72" s="32" t="str">
        <f t="shared" si="5"/>
        <v>31</v>
      </c>
      <c r="T72" s="32" t="str">
        <f t="shared" si="6"/>
        <v>2011</v>
      </c>
      <c r="U72" s="32">
        <f t="shared" si="7"/>
        <v>11</v>
      </c>
    </row>
    <row r="73" spans="1:21" x14ac:dyDescent="0.35">
      <c r="A73" s="1">
        <v>682</v>
      </c>
      <c r="B73" s="25">
        <v>40574</v>
      </c>
      <c r="C73" s="1">
        <v>1</v>
      </c>
      <c r="D73" s="1">
        <v>0</v>
      </c>
      <c r="E73" s="1">
        <v>1</v>
      </c>
      <c r="F73" s="1">
        <v>17</v>
      </c>
      <c r="G73" s="1" t="b">
        <v>0</v>
      </c>
      <c r="H73" s="1">
        <v>1</v>
      </c>
      <c r="I73" s="1">
        <v>2</v>
      </c>
      <c r="J73" s="26">
        <v>0.16</v>
      </c>
      <c r="K73" s="26">
        <v>0.1515</v>
      </c>
      <c r="L73" s="27">
        <v>0.59</v>
      </c>
      <c r="M73" s="27">
        <v>0.19400000000000001</v>
      </c>
      <c r="N73" s="28">
        <v>6</v>
      </c>
      <c r="O73" s="1">
        <v>155</v>
      </c>
      <c r="P73" s="30">
        <v>161</v>
      </c>
      <c r="Q73" s="35"/>
      <c r="R73" s="32" t="str">
        <f t="shared" si="4"/>
        <v>31-Jan-2011</v>
      </c>
      <c r="S73" s="32" t="str">
        <f t="shared" si="5"/>
        <v>31</v>
      </c>
      <c r="T73" s="32" t="str">
        <f t="shared" si="6"/>
        <v>2011</v>
      </c>
      <c r="U73" s="32">
        <f t="shared" si="7"/>
        <v>11</v>
      </c>
    </row>
    <row r="74" spans="1:21" x14ac:dyDescent="0.35">
      <c r="A74" s="1">
        <v>683</v>
      </c>
      <c r="B74" s="25">
        <v>40574</v>
      </c>
      <c r="C74" s="1">
        <v>1</v>
      </c>
      <c r="D74" s="1">
        <v>0</v>
      </c>
      <c r="E74" s="1">
        <v>1</v>
      </c>
      <c r="F74" s="1">
        <v>18</v>
      </c>
      <c r="G74" s="1" t="b">
        <v>0</v>
      </c>
      <c r="H74" s="1">
        <v>1</v>
      </c>
      <c r="I74" s="1">
        <v>2</v>
      </c>
      <c r="J74" s="26">
        <v>0.16</v>
      </c>
      <c r="K74" s="26">
        <v>0.1515</v>
      </c>
      <c r="L74" s="27">
        <v>0.55000000000000004</v>
      </c>
      <c r="M74" s="27">
        <v>0.22389999999999999</v>
      </c>
      <c r="N74" s="28">
        <v>3</v>
      </c>
      <c r="O74" s="1">
        <v>153</v>
      </c>
      <c r="P74" s="30">
        <v>156</v>
      </c>
      <c r="Q74" s="35"/>
      <c r="R74" s="32" t="str">
        <f t="shared" si="4"/>
        <v>31-Jan-2011</v>
      </c>
      <c r="S74" s="32" t="str">
        <f t="shared" si="5"/>
        <v>31</v>
      </c>
      <c r="T74" s="32" t="str">
        <f t="shared" si="6"/>
        <v>2011</v>
      </c>
      <c r="U74" s="32">
        <f t="shared" si="7"/>
        <v>11</v>
      </c>
    </row>
    <row r="75" spans="1:21" x14ac:dyDescent="0.35">
      <c r="A75" s="1">
        <v>684</v>
      </c>
      <c r="B75" s="25">
        <v>40574</v>
      </c>
      <c r="C75" s="1">
        <v>1</v>
      </c>
      <c r="D75" s="1">
        <v>0</v>
      </c>
      <c r="E75" s="1">
        <v>1</v>
      </c>
      <c r="F75" s="1">
        <v>19</v>
      </c>
      <c r="G75" s="1" t="b">
        <v>0</v>
      </c>
      <c r="H75" s="1">
        <v>1</v>
      </c>
      <c r="I75" s="1">
        <v>1</v>
      </c>
      <c r="J75" s="26">
        <v>0.3</v>
      </c>
      <c r="K75" s="26">
        <v>0.31819999999999998</v>
      </c>
      <c r="L75" s="27">
        <v>0.61</v>
      </c>
      <c r="M75" s="27">
        <v>0.1045</v>
      </c>
      <c r="N75" s="28">
        <v>3</v>
      </c>
      <c r="O75" s="1">
        <v>108</v>
      </c>
      <c r="P75" s="30">
        <v>111</v>
      </c>
      <c r="Q75" s="35"/>
      <c r="R75" s="32" t="str">
        <f t="shared" si="4"/>
        <v>31-Jan-2011</v>
      </c>
      <c r="S75" s="32" t="str">
        <f t="shared" si="5"/>
        <v>31</v>
      </c>
      <c r="T75" s="32" t="str">
        <f t="shared" si="6"/>
        <v>2011</v>
      </c>
      <c r="U75" s="32">
        <f t="shared" si="7"/>
        <v>11</v>
      </c>
    </row>
    <row r="76" spans="1:21" x14ac:dyDescent="0.35">
      <c r="A76" s="1">
        <v>685</v>
      </c>
      <c r="B76" s="25">
        <v>40574</v>
      </c>
      <c r="C76" s="1">
        <v>1</v>
      </c>
      <c r="D76" s="1">
        <v>0</v>
      </c>
      <c r="E76" s="1">
        <v>1</v>
      </c>
      <c r="F76" s="1">
        <v>20</v>
      </c>
      <c r="G76" s="1" t="b">
        <v>0</v>
      </c>
      <c r="H76" s="1">
        <v>1</v>
      </c>
      <c r="I76" s="1">
        <v>3</v>
      </c>
      <c r="J76" s="26">
        <v>0.16</v>
      </c>
      <c r="K76" s="26">
        <v>0.16669999999999999</v>
      </c>
      <c r="L76" s="27">
        <v>0.59</v>
      </c>
      <c r="M76" s="27">
        <v>0.16420000000000001</v>
      </c>
      <c r="N76" s="28">
        <v>0</v>
      </c>
      <c r="O76" s="1">
        <v>78</v>
      </c>
      <c r="P76" s="30">
        <v>78</v>
      </c>
      <c r="Q76" s="35"/>
      <c r="R76" s="32" t="str">
        <f t="shared" si="4"/>
        <v>31-Jan-2011</v>
      </c>
      <c r="S76" s="32" t="str">
        <f t="shared" si="5"/>
        <v>31</v>
      </c>
      <c r="T76" s="32" t="str">
        <f t="shared" si="6"/>
        <v>2011</v>
      </c>
      <c r="U76" s="32">
        <f t="shared" si="7"/>
        <v>11</v>
      </c>
    </row>
    <row r="77" spans="1:21" x14ac:dyDescent="0.35">
      <c r="A77" s="1">
        <v>686</v>
      </c>
      <c r="B77" s="25">
        <v>40574</v>
      </c>
      <c r="C77" s="1">
        <v>1</v>
      </c>
      <c r="D77" s="1">
        <v>0</v>
      </c>
      <c r="E77" s="1">
        <v>1</v>
      </c>
      <c r="F77" s="1">
        <v>21</v>
      </c>
      <c r="G77" s="1" t="b">
        <v>0</v>
      </c>
      <c r="H77" s="1">
        <v>1</v>
      </c>
      <c r="I77" s="1">
        <v>3</v>
      </c>
      <c r="J77" s="26">
        <v>0.16</v>
      </c>
      <c r="K77" s="26">
        <v>0.19700000000000001</v>
      </c>
      <c r="L77" s="27">
        <v>0.59</v>
      </c>
      <c r="M77" s="27">
        <v>8.9599999999999999E-2</v>
      </c>
      <c r="N77" s="28">
        <v>3</v>
      </c>
      <c r="O77" s="1">
        <v>53</v>
      </c>
      <c r="P77" s="30">
        <v>56</v>
      </c>
      <c r="Q77" s="35"/>
      <c r="R77" s="32" t="str">
        <f t="shared" si="4"/>
        <v>31-Jan-2011</v>
      </c>
      <c r="S77" s="32" t="str">
        <f t="shared" si="5"/>
        <v>31</v>
      </c>
      <c r="T77" s="32" t="str">
        <f t="shared" si="6"/>
        <v>2011</v>
      </c>
      <c r="U77" s="32">
        <f t="shared" si="7"/>
        <v>11</v>
      </c>
    </row>
    <row r="78" spans="1:21" x14ac:dyDescent="0.35">
      <c r="A78" s="1">
        <v>687</v>
      </c>
      <c r="B78" s="25">
        <v>40574</v>
      </c>
      <c r="C78" s="1">
        <v>1</v>
      </c>
      <c r="D78" s="1">
        <v>0</v>
      </c>
      <c r="E78" s="1">
        <v>1</v>
      </c>
      <c r="F78" s="1">
        <v>22</v>
      </c>
      <c r="G78" s="1" t="b">
        <v>0</v>
      </c>
      <c r="H78" s="1">
        <v>1</v>
      </c>
      <c r="I78" s="1">
        <v>2</v>
      </c>
      <c r="J78" s="26">
        <v>0.16</v>
      </c>
      <c r="K78" s="26">
        <v>0.18179999999999999</v>
      </c>
      <c r="L78" s="27">
        <v>0.59</v>
      </c>
      <c r="M78" s="27">
        <v>0.1045</v>
      </c>
      <c r="N78" s="28">
        <v>0</v>
      </c>
      <c r="O78" s="1">
        <v>34</v>
      </c>
      <c r="P78" s="30">
        <v>34</v>
      </c>
      <c r="Q78" s="35"/>
      <c r="R78" s="32" t="str">
        <f t="shared" si="4"/>
        <v>31-Jan-2011</v>
      </c>
      <c r="S78" s="32" t="str">
        <f t="shared" si="5"/>
        <v>31</v>
      </c>
      <c r="T78" s="32" t="str">
        <f t="shared" si="6"/>
        <v>2011</v>
      </c>
      <c r="U78" s="32">
        <f t="shared" si="7"/>
        <v>11</v>
      </c>
    </row>
    <row r="79" spans="1:21" x14ac:dyDescent="0.35">
      <c r="A79" s="1">
        <v>688</v>
      </c>
      <c r="B79" s="25">
        <v>40574</v>
      </c>
      <c r="C79" s="1">
        <v>1</v>
      </c>
      <c r="D79" s="1">
        <v>0</v>
      </c>
      <c r="E79" s="1">
        <v>1</v>
      </c>
      <c r="F79" s="1">
        <v>23</v>
      </c>
      <c r="G79" s="1" t="b">
        <v>0</v>
      </c>
      <c r="H79" s="1">
        <v>1</v>
      </c>
      <c r="I79" s="1">
        <v>2</v>
      </c>
      <c r="J79" s="26">
        <v>0.16</v>
      </c>
      <c r="K79" s="26">
        <v>0.19700000000000001</v>
      </c>
      <c r="L79" s="27">
        <v>0.64</v>
      </c>
      <c r="M79" s="27">
        <v>8.9599999999999999E-2</v>
      </c>
      <c r="N79" s="28">
        <v>2</v>
      </c>
      <c r="O79" s="1">
        <v>15</v>
      </c>
      <c r="P79" s="30">
        <v>17</v>
      </c>
      <c r="Q79" s="35"/>
      <c r="R79" s="32" t="str">
        <f t="shared" si="4"/>
        <v>31-Jan-2011</v>
      </c>
      <c r="S79" s="32" t="str">
        <f t="shared" si="5"/>
        <v>31</v>
      </c>
      <c r="T79" s="32" t="str">
        <f t="shared" si="6"/>
        <v>2011</v>
      </c>
      <c r="U79" s="32">
        <f t="shared" si="7"/>
        <v>11</v>
      </c>
    </row>
    <row r="80" spans="1:21" x14ac:dyDescent="0.35">
      <c r="A80" s="1">
        <v>689</v>
      </c>
      <c r="B80" s="25">
        <v>40575</v>
      </c>
      <c r="C80" s="1">
        <v>1</v>
      </c>
      <c r="D80" s="1">
        <v>0</v>
      </c>
      <c r="E80" s="1">
        <v>2</v>
      </c>
      <c r="F80" s="1">
        <v>0</v>
      </c>
      <c r="G80" s="1" t="b">
        <v>0</v>
      </c>
      <c r="H80" s="1">
        <v>2</v>
      </c>
      <c r="I80" s="1">
        <v>2</v>
      </c>
      <c r="J80" s="26">
        <v>0.16</v>
      </c>
      <c r="K80" s="26">
        <v>0.18179999999999999</v>
      </c>
      <c r="L80" s="27">
        <v>0.64</v>
      </c>
      <c r="M80" s="27">
        <v>0.1045</v>
      </c>
      <c r="N80" s="28">
        <v>2</v>
      </c>
      <c r="O80" s="1">
        <v>6</v>
      </c>
      <c r="P80" s="30">
        <v>8</v>
      </c>
      <c r="Q80" s="35"/>
      <c r="R80" s="32" t="str">
        <f t="shared" si="4"/>
        <v>01-Feb-2011</v>
      </c>
      <c r="S80" s="32" t="str">
        <f t="shared" si="5"/>
        <v>01</v>
      </c>
      <c r="T80" s="32" t="str">
        <f t="shared" si="6"/>
        <v>2011</v>
      </c>
      <c r="U80" s="32">
        <f t="shared" si="7"/>
        <v>11</v>
      </c>
    </row>
    <row r="81" spans="1:21" x14ac:dyDescent="0.35">
      <c r="A81" s="1">
        <v>690</v>
      </c>
      <c r="B81" s="25">
        <v>40575</v>
      </c>
      <c r="C81" s="1">
        <v>1</v>
      </c>
      <c r="D81" s="1">
        <v>0</v>
      </c>
      <c r="E81" s="1">
        <v>2</v>
      </c>
      <c r="F81" s="1">
        <v>1</v>
      </c>
      <c r="G81" s="1" t="b">
        <v>0</v>
      </c>
      <c r="H81" s="1">
        <v>2</v>
      </c>
      <c r="I81" s="1">
        <v>2</v>
      </c>
      <c r="J81" s="26">
        <v>0.16</v>
      </c>
      <c r="K81" s="26">
        <v>0.18179999999999999</v>
      </c>
      <c r="L81" s="27">
        <v>0.69</v>
      </c>
      <c r="M81" s="27">
        <v>0.1045</v>
      </c>
      <c r="N81" s="28">
        <v>0</v>
      </c>
      <c r="O81" s="1">
        <v>3</v>
      </c>
      <c r="P81" s="30">
        <v>3</v>
      </c>
      <c r="Q81" s="35"/>
      <c r="R81" s="32" t="str">
        <f t="shared" si="4"/>
        <v>01-Feb-2011</v>
      </c>
      <c r="S81" s="32" t="str">
        <f t="shared" si="5"/>
        <v>01</v>
      </c>
      <c r="T81" s="32" t="str">
        <f t="shared" si="6"/>
        <v>2011</v>
      </c>
      <c r="U81" s="32">
        <f t="shared" si="7"/>
        <v>11</v>
      </c>
    </row>
    <row r="82" spans="1:21" x14ac:dyDescent="0.35">
      <c r="A82" s="1">
        <v>691</v>
      </c>
      <c r="B82" s="25">
        <v>40575</v>
      </c>
      <c r="C82" s="1">
        <v>1</v>
      </c>
      <c r="D82" s="1">
        <v>0</v>
      </c>
      <c r="E82" s="1">
        <v>2</v>
      </c>
      <c r="F82" s="1">
        <v>2</v>
      </c>
      <c r="G82" s="1" t="b">
        <v>0</v>
      </c>
      <c r="H82" s="1">
        <v>2</v>
      </c>
      <c r="I82" s="1">
        <v>2</v>
      </c>
      <c r="J82" s="26">
        <v>0.16</v>
      </c>
      <c r="K82" s="26">
        <v>0.2273</v>
      </c>
      <c r="L82" s="27">
        <v>0.69</v>
      </c>
      <c r="M82" s="27">
        <v>0</v>
      </c>
      <c r="N82" s="28">
        <v>0</v>
      </c>
      <c r="O82" s="1">
        <v>2</v>
      </c>
      <c r="P82" s="30">
        <v>2</v>
      </c>
      <c r="Q82" s="35"/>
      <c r="R82" s="32" t="str">
        <f t="shared" si="4"/>
        <v>01-Feb-2011</v>
      </c>
      <c r="S82" s="32" t="str">
        <f t="shared" si="5"/>
        <v>01</v>
      </c>
      <c r="T82" s="32" t="str">
        <f t="shared" si="6"/>
        <v>2011</v>
      </c>
      <c r="U82" s="32">
        <f t="shared" si="7"/>
        <v>11</v>
      </c>
    </row>
    <row r="83" spans="1:21" x14ac:dyDescent="0.35">
      <c r="A83" s="1">
        <v>692</v>
      </c>
      <c r="B83" s="25">
        <v>40575</v>
      </c>
      <c r="C83" s="1">
        <v>1</v>
      </c>
      <c r="D83" s="1">
        <v>0</v>
      </c>
      <c r="E83" s="1">
        <v>2</v>
      </c>
      <c r="F83" s="1">
        <v>3</v>
      </c>
      <c r="G83" s="1" t="b">
        <v>0</v>
      </c>
      <c r="H83" s="1">
        <v>2</v>
      </c>
      <c r="I83" s="1">
        <v>2</v>
      </c>
      <c r="J83" s="26">
        <v>0.16</v>
      </c>
      <c r="K83" s="26">
        <v>0.2273</v>
      </c>
      <c r="L83" s="27">
        <v>0.69</v>
      </c>
      <c r="M83" s="27">
        <v>0</v>
      </c>
      <c r="N83" s="28">
        <v>0</v>
      </c>
      <c r="O83" s="1">
        <v>2</v>
      </c>
      <c r="P83" s="30">
        <v>2</v>
      </c>
      <c r="Q83" s="35"/>
      <c r="R83" s="32" t="str">
        <f t="shared" si="4"/>
        <v>01-Feb-2011</v>
      </c>
      <c r="S83" s="32" t="str">
        <f t="shared" si="5"/>
        <v>01</v>
      </c>
      <c r="T83" s="32" t="str">
        <f t="shared" si="6"/>
        <v>2011</v>
      </c>
      <c r="U83" s="32">
        <f t="shared" si="7"/>
        <v>11</v>
      </c>
    </row>
    <row r="84" spans="1:21" x14ac:dyDescent="0.35">
      <c r="A84" s="1">
        <v>693</v>
      </c>
      <c r="B84" s="25">
        <v>40575</v>
      </c>
      <c r="C84" s="1">
        <v>1</v>
      </c>
      <c r="D84" s="1">
        <v>0</v>
      </c>
      <c r="E84" s="1">
        <v>2</v>
      </c>
      <c r="F84" s="1">
        <v>5</v>
      </c>
      <c r="G84" s="1" t="b">
        <v>0</v>
      </c>
      <c r="H84" s="1">
        <v>2</v>
      </c>
      <c r="I84" s="1">
        <v>3</v>
      </c>
      <c r="J84" s="26">
        <v>0.14000000000000001</v>
      </c>
      <c r="K84" s="26">
        <v>0.21210000000000001</v>
      </c>
      <c r="L84" s="27">
        <v>0.93</v>
      </c>
      <c r="M84" s="27">
        <v>0</v>
      </c>
      <c r="N84" s="28">
        <v>0</v>
      </c>
      <c r="O84" s="1">
        <v>3</v>
      </c>
      <c r="P84" s="30">
        <v>3</v>
      </c>
      <c r="Q84" s="35"/>
      <c r="R84" s="32" t="str">
        <f t="shared" si="4"/>
        <v>01-Feb-2011</v>
      </c>
      <c r="S84" s="32" t="str">
        <f t="shared" si="5"/>
        <v>01</v>
      </c>
      <c r="T84" s="32" t="str">
        <f t="shared" si="6"/>
        <v>2011</v>
      </c>
      <c r="U84" s="32">
        <f t="shared" si="7"/>
        <v>11</v>
      </c>
    </row>
    <row r="85" spans="1:21" x14ac:dyDescent="0.35">
      <c r="A85" s="1">
        <v>694</v>
      </c>
      <c r="B85" s="25">
        <v>40575</v>
      </c>
      <c r="C85" s="1">
        <v>1</v>
      </c>
      <c r="D85" s="1">
        <v>0</v>
      </c>
      <c r="E85" s="1">
        <v>2</v>
      </c>
      <c r="F85" s="1">
        <v>6</v>
      </c>
      <c r="G85" s="1" t="b">
        <v>0</v>
      </c>
      <c r="H85" s="1">
        <v>2</v>
      </c>
      <c r="I85" s="1">
        <v>3</v>
      </c>
      <c r="J85" s="26">
        <v>0.14000000000000001</v>
      </c>
      <c r="K85" s="26">
        <v>0.21210000000000001</v>
      </c>
      <c r="L85" s="27">
        <v>0.93</v>
      </c>
      <c r="M85" s="27">
        <v>0</v>
      </c>
      <c r="N85" s="28">
        <v>0</v>
      </c>
      <c r="O85" s="1">
        <v>22</v>
      </c>
      <c r="P85" s="30">
        <v>22</v>
      </c>
      <c r="Q85" s="35"/>
      <c r="R85" s="32" t="str">
        <f t="shared" si="4"/>
        <v>01-Feb-2011</v>
      </c>
      <c r="S85" s="32" t="str">
        <f t="shared" si="5"/>
        <v>01</v>
      </c>
      <c r="T85" s="32" t="str">
        <f t="shared" si="6"/>
        <v>2011</v>
      </c>
      <c r="U85" s="32">
        <f t="shared" si="7"/>
        <v>11</v>
      </c>
    </row>
    <row r="86" spans="1:21" x14ac:dyDescent="0.35">
      <c r="A86" s="1">
        <v>695</v>
      </c>
      <c r="B86" s="25">
        <v>40575</v>
      </c>
      <c r="C86" s="1">
        <v>1</v>
      </c>
      <c r="D86" s="1">
        <v>0</v>
      </c>
      <c r="E86" s="1">
        <v>2</v>
      </c>
      <c r="F86" s="1">
        <v>7</v>
      </c>
      <c r="G86" s="1" t="b">
        <v>0</v>
      </c>
      <c r="H86" s="1">
        <v>2</v>
      </c>
      <c r="I86" s="1">
        <v>3</v>
      </c>
      <c r="J86" s="26">
        <v>0.16</v>
      </c>
      <c r="K86" s="26">
        <v>0.2273</v>
      </c>
      <c r="L86" s="27">
        <v>0.93</v>
      </c>
      <c r="M86" s="27">
        <v>0</v>
      </c>
      <c r="N86" s="28">
        <v>0</v>
      </c>
      <c r="O86" s="1">
        <v>52</v>
      </c>
      <c r="P86" s="30">
        <v>52</v>
      </c>
      <c r="Q86" s="35"/>
      <c r="R86" s="32" t="str">
        <f t="shared" si="4"/>
        <v>01-Feb-2011</v>
      </c>
      <c r="S86" s="32" t="str">
        <f t="shared" si="5"/>
        <v>01</v>
      </c>
      <c r="T86" s="32" t="str">
        <f t="shared" si="6"/>
        <v>2011</v>
      </c>
      <c r="U86" s="32">
        <f t="shared" si="7"/>
        <v>11</v>
      </c>
    </row>
    <row r="87" spans="1:21" x14ac:dyDescent="0.35">
      <c r="A87" s="1">
        <v>696</v>
      </c>
      <c r="B87" s="25">
        <v>40575</v>
      </c>
      <c r="C87" s="1">
        <v>1</v>
      </c>
      <c r="D87" s="1">
        <v>0</v>
      </c>
      <c r="E87" s="1">
        <v>2</v>
      </c>
      <c r="F87" s="1">
        <v>8</v>
      </c>
      <c r="G87" s="1" t="b">
        <v>0</v>
      </c>
      <c r="H87" s="1">
        <v>2</v>
      </c>
      <c r="I87" s="1">
        <v>3</v>
      </c>
      <c r="J87" s="26">
        <v>0.16</v>
      </c>
      <c r="K87" s="26">
        <v>0.2273</v>
      </c>
      <c r="L87" s="27">
        <v>0.93</v>
      </c>
      <c r="M87" s="27">
        <v>0</v>
      </c>
      <c r="N87" s="28">
        <v>3</v>
      </c>
      <c r="O87" s="1">
        <v>132</v>
      </c>
      <c r="P87" s="30">
        <v>135</v>
      </c>
      <c r="Q87" s="35"/>
      <c r="R87" s="32" t="str">
        <f t="shared" si="4"/>
        <v>01-Feb-2011</v>
      </c>
      <c r="S87" s="32" t="str">
        <f t="shared" si="5"/>
        <v>01</v>
      </c>
      <c r="T87" s="32" t="str">
        <f t="shared" si="6"/>
        <v>2011</v>
      </c>
      <c r="U87" s="32">
        <f t="shared" si="7"/>
        <v>11</v>
      </c>
    </row>
    <row r="88" spans="1:21" x14ac:dyDescent="0.35">
      <c r="A88" s="1">
        <v>697</v>
      </c>
      <c r="B88" s="25">
        <v>40575</v>
      </c>
      <c r="C88" s="1">
        <v>1</v>
      </c>
      <c r="D88" s="1">
        <v>0</v>
      </c>
      <c r="E88" s="1">
        <v>2</v>
      </c>
      <c r="F88" s="1">
        <v>9</v>
      </c>
      <c r="G88" s="1" t="b">
        <v>0</v>
      </c>
      <c r="H88" s="1">
        <v>2</v>
      </c>
      <c r="I88" s="1">
        <v>2</v>
      </c>
      <c r="J88" s="26">
        <v>0.16</v>
      </c>
      <c r="K88" s="26">
        <v>0.2273</v>
      </c>
      <c r="L88" s="27">
        <v>0.93</v>
      </c>
      <c r="M88" s="27">
        <v>0</v>
      </c>
      <c r="N88" s="28">
        <v>2</v>
      </c>
      <c r="O88" s="1">
        <v>114</v>
      </c>
      <c r="P88" s="30">
        <v>116</v>
      </c>
      <c r="Q88" s="35"/>
      <c r="R88" s="32" t="str">
        <f t="shared" si="4"/>
        <v>01-Feb-2011</v>
      </c>
      <c r="S88" s="32" t="str">
        <f t="shared" si="5"/>
        <v>01</v>
      </c>
      <c r="T88" s="32" t="str">
        <f t="shared" si="6"/>
        <v>2011</v>
      </c>
      <c r="U88" s="32">
        <f t="shared" si="7"/>
        <v>11</v>
      </c>
    </row>
    <row r="89" spans="1:21" x14ac:dyDescent="0.35">
      <c r="A89" s="1">
        <v>698</v>
      </c>
      <c r="B89" s="25">
        <v>40575</v>
      </c>
      <c r="C89" s="1">
        <v>1</v>
      </c>
      <c r="D89" s="1">
        <v>0</v>
      </c>
      <c r="E89" s="1">
        <v>2</v>
      </c>
      <c r="F89" s="1">
        <v>10</v>
      </c>
      <c r="G89" s="1" t="b">
        <v>0</v>
      </c>
      <c r="H89" s="1">
        <v>2</v>
      </c>
      <c r="I89" s="1">
        <v>2</v>
      </c>
      <c r="J89" s="26">
        <v>0.16</v>
      </c>
      <c r="K89" s="26">
        <v>0.2273</v>
      </c>
      <c r="L89" s="27">
        <v>0.93</v>
      </c>
      <c r="M89" s="27">
        <v>0</v>
      </c>
      <c r="N89" s="28">
        <v>0</v>
      </c>
      <c r="O89" s="1">
        <v>47</v>
      </c>
      <c r="P89" s="30">
        <v>47</v>
      </c>
      <c r="Q89" s="35"/>
      <c r="R89" s="32" t="str">
        <f t="shared" si="4"/>
        <v>01-Feb-2011</v>
      </c>
      <c r="S89" s="32" t="str">
        <f t="shared" si="5"/>
        <v>01</v>
      </c>
      <c r="T89" s="32" t="str">
        <f t="shared" si="6"/>
        <v>2011</v>
      </c>
      <c r="U89" s="32">
        <f t="shared" si="7"/>
        <v>11</v>
      </c>
    </row>
    <row r="90" spans="1:21" x14ac:dyDescent="0.35">
      <c r="A90" s="1">
        <v>699</v>
      </c>
      <c r="B90" s="25">
        <v>40575</v>
      </c>
      <c r="C90" s="1">
        <v>1</v>
      </c>
      <c r="D90" s="1">
        <v>0</v>
      </c>
      <c r="E90" s="1">
        <v>2</v>
      </c>
      <c r="F90" s="1">
        <v>11</v>
      </c>
      <c r="G90" s="1" t="b">
        <v>0</v>
      </c>
      <c r="H90" s="1">
        <v>2</v>
      </c>
      <c r="I90" s="1">
        <v>2</v>
      </c>
      <c r="J90" s="26">
        <v>0.18</v>
      </c>
      <c r="K90" s="26">
        <v>0.2424</v>
      </c>
      <c r="L90" s="27">
        <v>0.86</v>
      </c>
      <c r="M90" s="27">
        <v>0</v>
      </c>
      <c r="N90" s="28">
        <v>2</v>
      </c>
      <c r="O90" s="1">
        <v>49</v>
      </c>
      <c r="P90" s="30">
        <v>51</v>
      </c>
      <c r="Q90" s="35"/>
      <c r="R90" s="32" t="str">
        <f t="shared" si="4"/>
        <v>01-Feb-2011</v>
      </c>
      <c r="S90" s="32" t="str">
        <f t="shared" si="5"/>
        <v>01</v>
      </c>
      <c r="T90" s="32" t="str">
        <f t="shared" si="6"/>
        <v>2011</v>
      </c>
      <c r="U90" s="32">
        <f t="shared" si="7"/>
        <v>11</v>
      </c>
    </row>
    <row r="91" spans="1:21" x14ac:dyDescent="0.35">
      <c r="A91" s="1">
        <v>700</v>
      </c>
      <c r="B91" s="25">
        <v>40575</v>
      </c>
      <c r="C91" s="1">
        <v>1</v>
      </c>
      <c r="D91" s="1">
        <v>0</v>
      </c>
      <c r="E91" s="1">
        <v>2</v>
      </c>
      <c r="F91" s="1">
        <v>12</v>
      </c>
      <c r="G91" s="1" t="b">
        <v>0</v>
      </c>
      <c r="H91" s="1">
        <v>2</v>
      </c>
      <c r="I91" s="1">
        <v>2</v>
      </c>
      <c r="J91" s="26">
        <v>0.2</v>
      </c>
      <c r="K91" s="26">
        <v>0.2576</v>
      </c>
      <c r="L91" s="27">
        <v>0.86</v>
      </c>
      <c r="M91" s="27">
        <v>0</v>
      </c>
      <c r="N91" s="28">
        <v>2</v>
      </c>
      <c r="O91" s="1">
        <v>53</v>
      </c>
      <c r="P91" s="30">
        <v>55</v>
      </c>
      <c r="Q91" s="35"/>
      <c r="R91" s="32" t="str">
        <f t="shared" si="4"/>
        <v>01-Feb-2011</v>
      </c>
      <c r="S91" s="32" t="str">
        <f t="shared" si="5"/>
        <v>01</v>
      </c>
      <c r="T91" s="32" t="str">
        <f t="shared" si="6"/>
        <v>2011</v>
      </c>
      <c r="U91" s="32">
        <f t="shared" si="7"/>
        <v>11</v>
      </c>
    </row>
    <row r="92" spans="1:21" x14ac:dyDescent="0.35">
      <c r="A92" s="1">
        <v>701</v>
      </c>
      <c r="B92" s="25">
        <v>40575</v>
      </c>
      <c r="C92" s="1">
        <v>1</v>
      </c>
      <c r="D92" s="1">
        <v>0</v>
      </c>
      <c r="E92" s="1">
        <v>2</v>
      </c>
      <c r="F92" s="1">
        <v>13</v>
      </c>
      <c r="G92" s="1" t="b">
        <v>0</v>
      </c>
      <c r="H92" s="1">
        <v>2</v>
      </c>
      <c r="I92" s="1">
        <v>2</v>
      </c>
      <c r="J92" s="26">
        <v>0.2</v>
      </c>
      <c r="K92" s="26">
        <v>0.2576</v>
      </c>
      <c r="L92" s="27">
        <v>0.86</v>
      </c>
      <c r="M92" s="27">
        <v>0</v>
      </c>
      <c r="N92" s="28">
        <v>3</v>
      </c>
      <c r="O92" s="1">
        <v>49</v>
      </c>
      <c r="P92" s="30">
        <v>52</v>
      </c>
      <c r="Q92" s="35"/>
      <c r="R92" s="32" t="str">
        <f t="shared" si="4"/>
        <v>01-Feb-2011</v>
      </c>
      <c r="S92" s="32" t="str">
        <f t="shared" si="5"/>
        <v>01</v>
      </c>
      <c r="T92" s="32" t="str">
        <f t="shared" si="6"/>
        <v>2011</v>
      </c>
      <c r="U92" s="32">
        <f t="shared" si="7"/>
        <v>11</v>
      </c>
    </row>
    <row r="93" spans="1:21" x14ac:dyDescent="0.35">
      <c r="A93" s="1">
        <v>702</v>
      </c>
      <c r="B93" s="25">
        <v>40575</v>
      </c>
      <c r="C93" s="1">
        <v>1</v>
      </c>
      <c r="D93" s="1">
        <v>0</v>
      </c>
      <c r="E93" s="1">
        <v>2</v>
      </c>
      <c r="F93" s="1">
        <v>14</v>
      </c>
      <c r="G93" s="1" t="b">
        <v>0</v>
      </c>
      <c r="H93" s="1">
        <v>2</v>
      </c>
      <c r="I93" s="1">
        <v>2</v>
      </c>
      <c r="J93" s="26">
        <v>0.22</v>
      </c>
      <c r="K93" s="26">
        <v>0.2576</v>
      </c>
      <c r="L93" s="27">
        <v>0.8</v>
      </c>
      <c r="M93" s="27">
        <v>8.9599999999999999E-2</v>
      </c>
      <c r="N93" s="28">
        <v>5</v>
      </c>
      <c r="O93" s="1">
        <v>49</v>
      </c>
      <c r="P93" s="30">
        <v>54</v>
      </c>
      <c r="Q93" s="35"/>
      <c r="R93" s="32" t="str">
        <f t="shared" si="4"/>
        <v>01-Feb-2011</v>
      </c>
      <c r="S93" s="32" t="str">
        <f t="shared" si="5"/>
        <v>01</v>
      </c>
      <c r="T93" s="32" t="str">
        <f t="shared" si="6"/>
        <v>2011</v>
      </c>
      <c r="U93" s="32">
        <f t="shared" si="7"/>
        <v>11</v>
      </c>
    </row>
    <row r="94" spans="1:21" x14ac:dyDescent="0.35">
      <c r="A94" s="1">
        <v>703</v>
      </c>
      <c r="B94" s="25">
        <v>40575</v>
      </c>
      <c r="C94" s="1">
        <v>1</v>
      </c>
      <c r="D94" s="1">
        <v>0</v>
      </c>
      <c r="E94" s="1">
        <v>2</v>
      </c>
      <c r="F94" s="1">
        <v>15</v>
      </c>
      <c r="G94" s="1" t="b">
        <v>0</v>
      </c>
      <c r="H94" s="1">
        <v>2</v>
      </c>
      <c r="I94" s="1">
        <v>2</v>
      </c>
      <c r="J94" s="26">
        <v>0.24</v>
      </c>
      <c r="K94" s="26">
        <v>0.28789999999999999</v>
      </c>
      <c r="L94" s="27">
        <v>0.75</v>
      </c>
      <c r="M94" s="27">
        <v>0</v>
      </c>
      <c r="N94" s="28">
        <v>7</v>
      </c>
      <c r="O94" s="1">
        <v>45</v>
      </c>
      <c r="P94" s="30">
        <v>52</v>
      </c>
      <c r="Q94" s="35"/>
      <c r="R94" s="32" t="str">
        <f t="shared" si="4"/>
        <v>01-Feb-2011</v>
      </c>
      <c r="S94" s="32" t="str">
        <f t="shared" si="5"/>
        <v>01</v>
      </c>
      <c r="T94" s="32" t="str">
        <f t="shared" si="6"/>
        <v>2011</v>
      </c>
      <c r="U94" s="32">
        <f t="shared" si="7"/>
        <v>11</v>
      </c>
    </row>
    <row r="95" spans="1:21" x14ac:dyDescent="0.35">
      <c r="A95" s="1">
        <v>704</v>
      </c>
      <c r="B95" s="25">
        <v>40575</v>
      </c>
      <c r="C95" s="1">
        <v>1</v>
      </c>
      <c r="D95" s="1">
        <v>0</v>
      </c>
      <c r="E95" s="1">
        <v>2</v>
      </c>
      <c r="F95" s="1">
        <v>16</v>
      </c>
      <c r="G95" s="1" t="b">
        <v>0</v>
      </c>
      <c r="H95" s="1">
        <v>2</v>
      </c>
      <c r="I95" s="1">
        <v>2</v>
      </c>
      <c r="J95" s="26">
        <v>0.24</v>
      </c>
      <c r="K95" s="26">
        <v>0.2424</v>
      </c>
      <c r="L95" s="27">
        <v>0.75</v>
      </c>
      <c r="M95" s="27">
        <v>0.1343</v>
      </c>
      <c r="N95" s="28">
        <v>3</v>
      </c>
      <c r="O95" s="1">
        <v>61</v>
      </c>
      <c r="P95" s="30">
        <v>64</v>
      </c>
      <c r="Q95" s="35"/>
      <c r="R95" s="32" t="str">
        <f t="shared" si="4"/>
        <v>01-Feb-2011</v>
      </c>
      <c r="S95" s="32" t="str">
        <f t="shared" si="5"/>
        <v>01</v>
      </c>
      <c r="T95" s="32" t="str">
        <f t="shared" si="6"/>
        <v>2011</v>
      </c>
      <c r="U95" s="32">
        <f t="shared" si="7"/>
        <v>11</v>
      </c>
    </row>
    <row r="96" spans="1:21" x14ac:dyDescent="0.35">
      <c r="A96" s="1">
        <v>705</v>
      </c>
      <c r="B96" s="25">
        <v>40575</v>
      </c>
      <c r="C96" s="1">
        <v>1</v>
      </c>
      <c r="D96" s="1">
        <v>0</v>
      </c>
      <c r="E96" s="1">
        <v>2</v>
      </c>
      <c r="F96" s="1">
        <v>17</v>
      </c>
      <c r="G96" s="1" t="b">
        <v>0</v>
      </c>
      <c r="H96" s="1">
        <v>2</v>
      </c>
      <c r="I96" s="1">
        <v>2</v>
      </c>
      <c r="J96" s="26">
        <v>0.24</v>
      </c>
      <c r="K96" s="26">
        <v>0.28789999999999999</v>
      </c>
      <c r="L96" s="27">
        <v>0.75</v>
      </c>
      <c r="M96" s="27">
        <v>0</v>
      </c>
      <c r="N96" s="28">
        <v>4</v>
      </c>
      <c r="O96" s="1">
        <v>172</v>
      </c>
      <c r="P96" s="30">
        <v>176</v>
      </c>
      <c r="Q96" s="35"/>
      <c r="R96" s="32" t="str">
        <f t="shared" si="4"/>
        <v>01-Feb-2011</v>
      </c>
      <c r="S96" s="32" t="str">
        <f t="shared" si="5"/>
        <v>01</v>
      </c>
      <c r="T96" s="32" t="str">
        <f t="shared" si="6"/>
        <v>2011</v>
      </c>
      <c r="U96" s="32">
        <f t="shared" si="7"/>
        <v>11</v>
      </c>
    </row>
    <row r="97" spans="1:21" x14ac:dyDescent="0.35">
      <c r="A97" s="1">
        <v>706</v>
      </c>
      <c r="B97" s="25">
        <v>40575</v>
      </c>
      <c r="C97" s="1">
        <v>1</v>
      </c>
      <c r="D97" s="1">
        <v>0</v>
      </c>
      <c r="E97" s="1">
        <v>2</v>
      </c>
      <c r="F97" s="1">
        <v>18</v>
      </c>
      <c r="G97" s="1" t="b">
        <v>0</v>
      </c>
      <c r="H97" s="1">
        <v>2</v>
      </c>
      <c r="I97" s="1">
        <v>2</v>
      </c>
      <c r="J97" s="26">
        <v>0.24</v>
      </c>
      <c r="K97" s="26">
        <v>0.2576</v>
      </c>
      <c r="L97" s="27">
        <v>0.81</v>
      </c>
      <c r="M97" s="27">
        <v>0.1045</v>
      </c>
      <c r="N97" s="28">
        <v>3</v>
      </c>
      <c r="O97" s="1">
        <v>165</v>
      </c>
      <c r="P97" s="30">
        <v>168</v>
      </c>
      <c r="Q97" s="35"/>
      <c r="R97" s="32" t="str">
        <f t="shared" si="4"/>
        <v>01-Feb-2011</v>
      </c>
      <c r="S97" s="32" t="str">
        <f t="shared" si="5"/>
        <v>01</v>
      </c>
      <c r="T97" s="32" t="str">
        <f t="shared" si="6"/>
        <v>2011</v>
      </c>
      <c r="U97" s="32">
        <f t="shared" si="7"/>
        <v>11</v>
      </c>
    </row>
    <row r="98" spans="1:21" x14ac:dyDescent="0.35">
      <c r="A98" s="1">
        <v>707</v>
      </c>
      <c r="B98" s="25">
        <v>40575</v>
      </c>
      <c r="C98" s="1">
        <v>1</v>
      </c>
      <c r="D98" s="1">
        <v>0</v>
      </c>
      <c r="E98" s="1">
        <v>2</v>
      </c>
      <c r="F98" s="1">
        <v>19</v>
      </c>
      <c r="G98" s="1" t="b">
        <v>0</v>
      </c>
      <c r="H98" s="1">
        <v>2</v>
      </c>
      <c r="I98" s="1">
        <v>2</v>
      </c>
      <c r="J98" s="26">
        <v>0.24</v>
      </c>
      <c r="K98" s="26">
        <v>0.2424</v>
      </c>
      <c r="L98" s="27">
        <v>0.81</v>
      </c>
      <c r="M98" s="27">
        <v>0.1343</v>
      </c>
      <c r="N98" s="28">
        <v>3</v>
      </c>
      <c r="O98" s="1">
        <v>105</v>
      </c>
      <c r="P98" s="30">
        <v>108</v>
      </c>
      <c r="Q98" s="35"/>
      <c r="R98" s="32" t="str">
        <f t="shared" si="4"/>
        <v>01-Feb-2011</v>
      </c>
      <c r="S98" s="32" t="str">
        <f t="shared" si="5"/>
        <v>01</v>
      </c>
      <c r="T98" s="32" t="str">
        <f t="shared" si="6"/>
        <v>2011</v>
      </c>
      <c r="U98" s="32">
        <f t="shared" si="7"/>
        <v>11</v>
      </c>
    </row>
    <row r="99" spans="1:21" x14ac:dyDescent="0.35">
      <c r="A99" s="1">
        <v>708</v>
      </c>
      <c r="B99" s="25">
        <v>40575</v>
      </c>
      <c r="C99" s="1">
        <v>1</v>
      </c>
      <c r="D99" s="1">
        <v>0</v>
      </c>
      <c r="E99" s="1">
        <v>2</v>
      </c>
      <c r="F99" s="1">
        <v>20</v>
      </c>
      <c r="G99" s="1" t="b">
        <v>0</v>
      </c>
      <c r="H99" s="1">
        <v>2</v>
      </c>
      <c r="I99" s="1">
        <v>2</v>
      </c>
      <c r="J99" s="26">
        <v>0.22</v>
      </c>
      <c r="K99" s="26">
        <v>0.2273</v>
      </c>
      <c r="L99" s="27">
        <v>0.87</v>
      </c>
      <c r="M99" s="27">
        <v>0.1343</v>
      </c>
      <c r="N99" s="28">
        <v>5</v>
      </c>
      <c r="O99" s="1">
        <v>69</v>
      </c>
      <c r="P99" s="30">
        <v>74</v>
      </c>
      <c r="Q99" s="35"/>
      <c r="R99" s="32" t="str">
        <f t="shared" si="4"/>
        <v>01-Feb-2011</v>
      </c>
      <c r="S99" s="32" t="str">
        <f t="shared" si="5"/>
        <v>01</v>
      </c>
      <c r="T99" s="32" t="str">
        <f t="shared" si="6"/>
        <v>2011</v>
      </c>
      <c r="U99" s="32">
        <f t="shared" si="7"/>
        <v>11</v>
      </c>
    </row>
    <row r="100" spans="1:21" x14ac:dyDescent="0.35">
      <c r="A100" s="1">
        <v>709</v>
      </c>
      <c r="B100" s="25">
        <v>40575</v>
      </c>
      <c r="C100" s="1">
        <v>1</v>
      </c>
      <c r="D100" s="1">
        <v>0</v>
      </c>
      <c r="E100" s="1">
        <v>2</v>
      </c>
      <c r="F100" s="1">
        <v>21</v>
      </c>
      <c r="G100" s="1" t="b">
        <v>0</v>
      </c>
      <c r="H100" s="1">
        <v>2</v>
      </c>
      <c r="I100" s="1">
        <v>2</v>
      </c>
      <c r="J100" s="26">
        <v>0.22</v>
      </c>
      <c r="K100" s="26">
        <v>0.2273</v>
      </c>
      <c r="L100" s="27">
        <v>0.87</v>
      </c>
      <c r="M100" s="27">
        <v>0.1343</v>
      </c>
      <c r="N100" s="28">
        <v>0</v>
      </c>
      <c r="O100" s="1">
        <v>64</v>
      </c>
      <c r="P100" s="30">
        <v>64</v>
      </c>
      <c r="Q100" s="35"/>
      <c r="R100" s="32" t="str">
        <f t="shared" si="4"/>
        <v>01-Feb-2011</v>
      </c>
      <c r="S100" s="32" t="str">
        <f t="shared" si="5"/>
        <v>01</v>
      </c>
      <c r="T100" s="32" t="str">
        <f t="shared" si="6"/>
        <v>2011</v>
      </c>
      <c r="U100" s="32">
        <f t="shared" si="7"/>
        <v>11</v>
      </c>
    </row>
    <row r="101" spans="1:21" x14ac:dyDescent="0.35">
      <c r="A101" s="1">
        <v>710</v>
      </c>
      <c r="B101" s="25">
        <v>40575</v>
      </c>
      <c r="C101" s="1">
        <v>1</v>
      </c>
      <c r="D101" s="1">
        <v>0</v>
      </c>
      <c r="E101" s="1">
        <v>2</v>
      </c>
      <c r="F101" s="1">
        <v>22</v>
      </c>
      <c r="G101" s="1" t="b">
        <v>0</v>
      </c>
      <c r="H101" s="1">
        <v>2</v>
      </c>
      <c r="I101" s="1">
        <v>2</v>
      </c>
      <c r="J101" s="26">
        <v>0.22</v>
      </c>
      <c r="K101" s="26">
        <v>0.2576</v>
      </c>
      <c r="L101" s="27">
        <v>0.87</v>
      </c>
      <c r="M101" s="27">
        <v>8.9599999999999999E-2</v>
      </c>
      <c r="N101" s="28">
        <v>2</v>
      </c>
      <c r="O101" s="1">
        <v>34</v>
      </c>
      <c r="P101" s="30">
        <v>36</v>
      </c>
      <c r="Q101" s="35"/>
      <c r="R101" s="32" t="str">
        <f t="shared" si="4"/>
        <v>01-Feb-2011</v>
      </c>
      <c r="S101" s="32" t="str">
        <f t="shared" si="5"/>
        <v>01</v>
      </c>
      <c r="T101" s="32" t="str">
        <f t="shared" si="6"/>
        <v>2011</v>
      </c>
      <c r="U101" s="32">
        <f t="shared" si="7"/>
        <v>11</v>
      </c>
    </row>
    <row r="102" spans="1:21" x14ac:dyDescent="0.35">
      <c r="A102" s="1">
        <v>711</v>
      </c>
      <c r="B102" s="25">
        <v>40575</v>
      </c>
      <c r="C102" s="1">
        <v>1</v>
      </c>
      <c r="D102" s="1">
        <v>0</v>
      </c>
      <c r="E102" s="1">
        <v>2</v>
      </c>
      <c r="F102" s="1">
        <v>23</v>
      </c>
      <c r="G102" s="1" t="b">
        <v>0</v>
      </c>
      <c r="H102" s="1">
        <v>2</v>
      </c>
      <c r="I102" s="1">
        <v>3</v>
      </c>
      <c r="J102" s="26">
        <v>0.2</v>
      </c>
      <c r="K102" s="26">
        <v>0.19700000000000001</v>
      </c>
      <c r="L102" s="27">
        <v>0.93</v>
      </c>
      <c r="M102" s="27">
        <v>0.19400000000000001</v>
      </c>
      <c r="N102" s="28">
        <v>1</v>
      </c>
      <c r="O102" s="1">
        <v>15</v>
      </c>
      <c r="P102" s="30">
        <v>16</v>
      </c>
      <c r="Q102" s="35"/>
      <c r="R102" s="32" t="str">
        <f t="shared" si="4"/>
        <v>01-Feb-2011</v>
      </c>
      <c r="S102" s="32" t="str">
        <f t="shared" si="5"/>
        <v>01</v>
      </c>
      <c r="T102" s="32" t="str">
        <f t="shared" si="6"/>
        <v>2011</v>
      </c>
      <c r="U102" s="32">
        <f t="shared" si="7"/>
        <v>11</v>
      </c>
    </row>
    <row r="103" spans="1:21" x14ac:dyDescent="0.35">
      <c r="A103" s="1">
        <v>712</v>
      </c>
      <c r="B103" s="25">
        <v>40576</v>
      </c>
      <c r="C103" s="1">
        <v>1</v>
      </c>
      <c r="D103" s="1">
        <v>0</v>
      </c>
      <c r="E103" s="1">
        <v>2</v>
      </c>
      <c r="F103" s="1">
        <v>0</v>
      </c>
      <c r="G103" s="1" t="b">
        <v>0</v>
      </c>
      <c r="H103" s="1">
        <v>3</v>
      </c>
      <c r="I103" s="1">
        <v>3</v>
      </c>
      <c r="J103" s="26">
        <v>0.22</v>
      </c>
      <c r="K103" s="26">
        <v>0.2424</v>
      </c>
      <c r="L103" s="27">
        <v>0.93</v>
      </c>
      <c r="M103" s="27">
        <v>0.1045</v>
      </c>
      <c r="N103" s="28">
        <v>0</v>
      </c>
      <c r="O103" s="1">
        <v>2</v>
      </c>
      <c r="P103" s="30">
        <v>2</v>
      </c>
      <c r="Q103" s="35"/>
      <c r="R103" s="32" t="str">
        <f t="shared" si="4"/>
        <v>02-Feb-2011</v>
      </c>
      <c r="S103" s="32" t="str">
        <f t="shared" si="5"/>
        <v>02</v>
      </c>
      <c r="T103" s="32" t="str">
        <f t="shared" si="6"/>
        <v>2011</v>
      </c>
      <c r="U103" s="32">
        <f t="shared" si="7"/>
        <v>11</v>
      </c>
    </row>
    <row r="104" spans="1:21" x14ac:dyDescent="0.35">
      <c r="A104" s="1">
        <v>713</v>
      </c>
      <c r="B104" s="25">
        <v>40576</v>
      </c>
      <c r="C104" s="1">
        <v>1</v>
      </c>
      <c r="D104" s="1">
        <v>0</v>
      </c>
      <c r="E104" s="1">
        <v>2</v>
      </c>
      <c r="F104" s="1">
        <v>1</v>
      </c>
      <c r="G104" s="1" t="b">
        <v>0</v>
      </c>
      <c r="H104" s="1">
        <v>3</v>
      </c>
      <c r="I104" s="1">
        <v>3</v>
      </c>
      <c r="J104" s="26">
        <v>0.22</v>
      </c>
      <c r="K104" s="26">
        <v>0.2273</v>
      </c>
      <c r="L104" s="27">
        <v>0.93</v>
      </c>
      <c r="M104" s="27">
        <v>0.19400000000000001</v>
      </c>
      <c r="N104" s="28">
        <v>0</v>
      </c>
      <c r="O104" s="1">
        <v>3</v>
      </c>
      <c r="P104" s="30">
        <v>3</v>
      </c>
      <c r="Q104" s="35"/>
      <c r="R104" s="32" t="str">
        <f t="shared" si="4"/>
        <v>02-Feb-2011</v>
      </c>
      <c r="S104" s="32" t="str">
        <f t="shared" si="5"/>
        <v>02</v>
      </c>
      <c r="T104" s="32" t="str">
        <f t="shared" si="6"/>
        <v>2011</v>
      </c>
      <c r="U104" s="32">
        <f t="shared" si="7"/>
        <v>11</v>
      </c>
    </row>
    <row r="105" spans="1:21" x14ac:dyDescent="0.35">
      <c r="A105" s="1">
        <v>714</v>
      </c>
      <c r="B105" s="25">
        <v>40576</v>
      </c>
      <c r="C105" s="1">
        <v>1</v>
      </c>
      <c r="D105" s="1">
        <v>0</v>
      </c>
      <c r="E105" s="1">
        <v>2</v>
      </c>
      <c r="F105" s="1">
        <v>2</v>
      </c>
      <c r="G105" s="1" t="b">
        <v>0</v>
      </c>
      <c r="H105" s="1">
        <v>3</v>
      </c>
      <c r="I105" s="1">
        <v>3</v>
      </c>
      <c r="J105" s="26">
        <v>0.22</v>
      </c>
      <c r="K105" s="26">
        <v>0.2273</v>
      </c>
      <c r="L105" s="27">
        <v>0.93</v>
      </c>
      <c r="M105" s="27">
        <v>0.1343</v>
      </c>
      <c r="N105" s="28">
        <v>4</v>
      </c>
      <c r="O105" s="1">
        <v>0</v>
      </c>
      <c r="P105" s="30">
        <v>4</v>
      </c>
      <c r="Q105" s="35"/>
      <c r="R105" s="32" t="str">
        <f t="shared" si="4"/>
        <v>02-Feb-2011</v>
      </c>
      <c r="S105" s="32" t="str">
        <f t="shared" si="5"/>
        <v>02</v>
      </c>
      <c r="T105" s="32" t="str">
        <f t="shared" si="6"/>
        <v>2011</v>
      </c>
      <c r="U105" s="32">
        <f t="shared" si="7"/>
        <v>11</v>
      </c>
    </row>
    <row r="106" spans="1:21" x14ac:dyDescent="0.35">
      <c r="A106" s="1">
        <v>715</v>
      </c>
      <c r="B106" s="25">
        <v>40576</v>
      </c>
      <c r="C106" s="1">
        <v>1</v>
      </c>
      <c r="D106" s="1">
        <v>0</v>
      </c>
      <c r="E106" s="1">
        <v>2</v>
      </c>
      <c r="F106" s="1">
        <v>3</v>
      </c>
      <c r="G106" s="1" t="b">
        <v>0</v>
      </c>
      <c r="H106" s="1">
        <v>3</v>
      </c>
      <c r="I106" s="1">
        <v>3</v>
      </c>
      <c r="J106" s="26">
        <v>0.22</v>
      </c>
      <c r="K106" s="26">
        <v>0.2273</v>
      </c>
      <c r="L106" s="27">
        <v>0.93</v>
      </c>
      <c r="M106" s="27">
        <v>0.1343</v>
      </c>
      <c r="N106" s="28">
        <v>0</v>
      </c>
      <c r="O106" s="1">
        <v>1</v>
      </c>
      <c r="P106" s="30">
        <v>1</v>
      </c>
      <c r="Q106" s="35"/>
      <c r="R106" s="32" t="str">
        <f t="shared" si="4"/>
        <v>02-Feb-2011</v>
      </c>
      <c r="S106" s="32" t="str">
        <f t="shared" si="5"/>
        <v>02</v>
      </c>
      <c r="T106" s="32" t="str">
        <f t="shared" si="6"/>
        <v>2011</v>
      </c>
      <c r="U106" s="32">
        <f t="shared" si="7"/>
        <v>11</v>
      </c>
    </row>
    <row r="107" spans="1:21" x14ac:dyDescent="0.35">
      <c r="A107" s="1">
        <v>716</v>
      </c>
      <c r="B107" s="25">
        <v>40576</v>
      </c>
      <c r="C107" s="1">
        <v>1</v>
      </c>
      <c r="D107" s="1">
        <v>0</v>
      </c>
      <c r="E107" s="1">
        <v>2</v>
      </c>
      <c r="F107" s="1">
        <v>4</v>
      </c>
      <c r="G107" s="1" t="b">
        <v>0</v>
      </c>
      <c r="H107" s="1">
        <v>3</v>
      </c>
      <c r="I107" s="1">
        <v>3</v>
      </c>
      <c r="J107" s="26">
        <v>0.22</v>
      </c>
      <c r="K107" s="26">
        <v>0.21210000000000001</v>
      </c>
      <c r="L107" s="27">
        <v>0.93</v>
      </c>
      <c r="M107" s="27">
        <v>0.28360000000000002</v>
      </c>
      <c r="N107" s="28">
        <v>0</v>
      </c>
      <c r="O107" s="1">
        <v>1</v>
      </c>
      <c r="P107" s="30">
        <v>1</v>
      </c>
      <c r="Q107" s="35"/>
      <c r="R107" s="32" t="str">
        <f t="shared" si="4"/>
        <v>02-Feb-2011</v>
      </c>
      <c r="S107" s="32" t="str">
        <f t="shared" si="5"/>
        <v>02</v>
      </c>
      <c r="T107" s="32" t="str">
        <f t="shared" si="6"/>
        <v>2011</v>
      </c>
      <c r="U107" s="32">
        <f t="shared" si="7"/>
        <v>11</v>
      </c>
    </row>
    <row r="108" spans="1:21" x14ac:dyDescent="0.35">
      <c r="A108" s="1">
        <v>717</v>
      </c>
      <c r="B108" s="25">
        <v>40576</v>
      </c>
      <c r="C108" s="1">
        <v>1</v>
      </c>
      <c r="D108" s="1">
        <v>0</v>
      </c>
      <c r="E108" s="1">
        <v>2</v>
      </c>
      <c r="F108" s="1">
        <v>5</v>
      </c>
      <c r="G108" s="1" t="b">
        <v>0</v>
      </c>
      <c r="H108" s="1">
        <v>3</v>
      </c>
      <c r="I108" s="1">
        <v>3</v>
      </c>
      <c r="J108" s="26">
        <v>0.22</v>
      </c>
      <c r="K108" s="26">
        <v>0.2424</v>
      </c>
      <c r="L108" s="27">
        <v>0.93</v>
      </c>
      <c r="M108" s="27">
        <v>0.1045</v>
      </c>
      <c r="N108" s="28">
        <v>0</v>
      </c>
      <c r="O108" s="1">
        <v>3</v>
      </c>
      <c r="P108" s="30">
        <v>3</v>
      </c>
      <c r="Q108" s="35"/>
      <c r="R108" s="32" t="str">
        <f t="shared" si="4"/>
        <v>02-Feb-2011</v>
      </c>
      <c r="S108" s="32" t="str">
        <f t="shared" si="5"/>
        <v>02</v>
      </c>
      <c r="T108" s="32" t="str">
        <f t="shared" si="6"/>
        <v>2011</v>
      </c>
      <c r="U108" s="32">
        <f t="shared" si="7"/>
        <v>11</v>
      </c>
    </row>
    <row r="109" spans="1:21" x14ac:dyDescent="0.35">
      <c r="A109" s="1">
        <v>718</v>
      </c>
      <c r="B109" s="25">
        <v>40576</v>
      </c>
      <c r="C109" s="1">
        <v>1</v>
      </c>
      <c r="D109" s="1">
        <v>0</v>
      </c>
      <c r="E109" s="1">
        <v>2</v>
      </c>
      <c r="F109" s="1">
        <v>6</v>
      </c>
      <c r="G109" s="1" t="b">
        <v>0</v>
      </c>
      <c r="H109" s="1">
        <v>3</v>
      </c>
      <c r="I109" s="1">
        <v>3</v>
      </c>
      <c r="J109" s="26">
        <v>0.22</v>
      </c>
      <c r="K109" s="26">
        <v>0.2424</v>
      </c>
      <c r="L109" s="27">
        <v>0.93</v>
      </c>
      <c r="M109" s="27">
        <v>0.1045</v>
      </c>
      <c r="N109" s="28">
        <v>1</v>
      </c>
      <c r="O109" s="1">
        <v>17</v>
      </c>
      <c r="P109" s="30">
        <v>18</v>
      </c>
      <c r="Q109" s="35"/>
      <c r="R109" s="32" t="str">
        <f t="shared" si="4"/>
        <v>02-Feb-2011</v>
      </c>
      <c r="S109" s="32" t="str">
        <f t="shared" si="5"/>
        <v>02</v>
      </c>
      <c r="T109" s="32" t="str">
        <f t="shared" si="6"/>
        <v>2011</v>
      </c>
      <c r="U109" s="32">
        <f t="shared" si="7"/>
        <v>11</v>
      </c>
    </row>
    <row r="110" spans="1:21" x14ac:dyDescent="0.35">
      <c r="A110" s="1">
        <v>719</v>
      </c>
      <c r="B110" s="25">
        <v>40576</v>
      </c>
      <c r="C110" s="1">
        <v>1</v>
      </c>
      <c r="D110" s="1">
        <v>0</v>
      </c>
      <c r="E110" s="1">
        <v>2</v>
      </c>
      <c r="F110" s="1">
        <v>7</v>
      </c>
      <c r="G110" s="1" t="b">
        <v>0</v>
      </c>
      <c r="H110" s="1">
        <v>3</v>
      </c>
      <c r="I110" s="1">
        <v>3</v>
      </c>
      <c r="J110" s="26">
        <v>0.22</v>
      </c>
      <c r="K110" s="26">
        <v>0.21210000000000001</v>
      </c>
      <c r="L110" s="27">
        <v>0.93</v>
      </c>
      <c r="M110" s="27">
        <v>0.22389999999999999</v>
      </c>
      <c r="N110" s="28">
        <v>1</v>
      </c>
      <c r="O110" s="1">
        <v>48</v>
      </c>
      <c r="P110" s="30">
        <v>49</v>
      </c>
      <c r="Q110" s="35"/>
      <c r="R110" s="32" t="str">
        <f t="shared" si="4"/>
        <v>02-Feb-2011</v>
      </c>
      <c r="S110" s="32" t="str">
        <f t="shared" si="5"/>
        <v>02</v>
      </c>
      <c r="T110" s="32" t="str">
        <f t="shared" si="6"/>
        <v>2011</v>
      </c>
      <c r="U110" s="32">
        <f t="shared" si="7"/>
        <v>11</v>
      </c>
    </row>
    <row r="111" spans="1:21" x14ac:dyDescent="0.35">
      <c r="A111" s="1">
        <v>720</v>
      </c>
      <c r="B111" s="25">
        <v>40576</v>
      </c>
      <c r="C111" s="1">
        <v>1</v>
      </c>
      <c r="D111" s="1">
        <v>0</v>
      </c>
      <c r="E111" s="1">
        <v>2</v>
      </c>
      <c r="F111" s="1">
        <v>8</v>
      </c>
      <c r="G111" s="1" t="b">
        <v>0</v>
      </c>
      <c r="H111" s="1">
        <v>3</v>
      </c>
      <c r="I111" s="1">
        <v>3</v>
      </c>
      <c r="J111" s="26">
        <v>0.22</v>
      </c>
      <c r="K111" s="26">
        <v>0.21210000000000001</v>
      </c>
      <c r="L111" s="27">
        <v>0.93</v>
      </c>
      <c r="M111" s="27">
        <v>0.22389999999999999</v>
      </c>
      <c r="N111" s="28">
        <v>1</v>
      </c>
      <c r="O111" s="1">
        <v>154</v>
      </c>
      <c r="P111" s="30">
        <v>155</v>
      </c>
      <c r="Q111" s="35"/>
      <c r="R111" s="32" t="str">
        <f t="shared" si="4"/>
        <v>02-Feb-2011</v>
      </c>
      <c r="S111" s="32" t="str">
        <f t="shared" si="5"/>
        <v>02</v>
      </c>
      <c r="T111" s="32" t="str">
        <f t="shared" si="6"/>
        <v>2011</v>
      </c>
      <c r="U111" s="32">
        <f t="shared" si="7"/>
        <v>11</v>
      </c>
    </row>
    <row r="112" spans="1:21" x14ac:dyDescent="0.35">
      <c r="A112" s="1">
        <v>721</v>
      </c>
      <c r="B112" s="25">
        <v>40576</v>
      </c>
      <c r="C112" s="1">
        <v>1</v>
      </c>
      <c r="D112" s="1">
        <v>0</v>
      </c>
      <c r="E112" s="1">
        <v>2</v>
      </c>
      <c r="F112" s="1">
        <v>9</v>
      </c>
      <c r="G112" s="1" t="b">
        <v>0</v>
      </c>
      <c r="H112" s="1">
        <v>3</v>
      </c>
      <c r="I112" s="1">
        <v>2</v>
      </c>
      <c r="J112" s="26">
        <v>0.24</v>
      </c>
      <c r="K112" s="26">
        <v>0.2576</v>
      </c>
      <c r="L112" s="27">
        <v>0.93</v>
      </c>
      <c r="M112" s="27">
        <v>8.9599999999999999E-2</v>
      </c>
      <c r="N112" s="28">
        <v>4</v>
      </c>
      <c r="O112" s="1">
        <v>119</v>
      </c>
      <c r="P112" s="30">
        <v>123</v>
      </c>
      <c r="Q112" s="35"/>
      <c r="R112" s="32" t="str">
        <f t="shared" si="4"/>
        <v>02-Feb-2011</v>
      </c>
      <c r="S112" s="32" t="str">
        <f t="shared" si="5"/>
        <v>02</v>
      </c>
      <c r="T112" s="32" t="str">
        <f t="shared" si="6"/>
        <v>2011</v>
      </c>
      <c r="U112" s="32">
        <f t="shared" si="7"/>
        <v>11</v>
      </c>
    </row>
    <row r="113" spans="1:21" x14ac:dyDescent="0.35">
      <c r="A113" s="1">
        <v>722</v>
      </c>
      <c r="B113" s="25">
        <v>40576</v>
      </c>
      <c r="C113" s="1">
        <v>1</v>
      </c>
      <c r="D113" s="1">
        <v>0</v>
      </c>
      <c r="E113" s="1">
        <v>2</v>
      </c>
      <c r="F113" s="1">
        <v>10</v>
      </c>
      <c r="G113" s="1" t="b">
        <v>0</v>
      </c>
      <c r="H113" s="1">
        <v>3</v>
      </c>
      <c r="I113" s="1">
        <v>2</v>
      </c>
      <c r="J113" s="26">
        <v>0.22</v>
      </c>
      <c r="K113" s="26">
        <v>0.2727</v>
      </c>
      <c r="L113" s="27">
        <v>1</v>
      </c>
      <c r="M113" s="27">
        <v>0</v>
      </c>
      <c r="N113" s="28">
        <v>2</v>
      </c>
      <c r="O113" s="1">
        <v>59</v>
      </c>
      <c r="P113" s="30">
        <v>61</v>
      </c>
      <c r="Q113" s="35"/>
      <c r="R113" s="32" t="str">
        <f t="shared" si="4"/>
        <v>02-Feb-2011</v>
      </c>
      <c r="S113" s="32" t="str">
        <f t="shared" si="5"/>
        <v>02</v>
      </c>
      <c r="T113" s="32" t="str">
        <f t="shared" si="6"/>
        <v>2011</v>
      </c>
      <c r="U113" s="32">
        <f t="shared" si="7"/>
        <v>11</v>
      </c>
    </row>
    <row r="114" spans="1:21" x14ac:dyDescent="0.35">
      <c r="A114" s="1">
        <v>723</v>
      </c>
      <c r="B114" s="25">
        <v>40576</v>
      </c>
      <c r="C114" s="1">
        <v>1</v>
      </c>
      <c r="D114" s="1">
        <v>0</v>
      </c>
      <c r="E114" s="1">
        <v>2</v>
      </c>
      <c r="F114" s="1">
        <v>11</v>
      </c>
      <c r="G114" s="1" t="b">
        <v>0</v>
      </c>
      <c r="H114" s="1">
        <v>3</v>
      </c>
      <c r="I114" s="1">
        <v>2</v>
      </c>
      <c r="J114" s="26">
        <v>0.24</v>
      </c>
      <c r="K114" s="26">
        <v>0.2273</v>
      </c>
      <c r="L114" s="27">
        <v>0.93</v>
      </c>
      <c r="M114" s="27">
        <v>0.19400000000000001</v>
      </c>
      <c r="N114" s="28">
        <v>5</v>
      </c>
      <c r="O114" s="1">
        <v>47</v>
      </c>
      <c r="P114" s="30">
        <v>52</v>
      </c>
      <c r="Q114" s="35"/>
      <c r="R114" s="32" t="str">
        <f t="shared" si="4"/>
        <v>02-Feb-2011</v>
      </c>
      <c r="S114" s="32" t="str">
        <f t="shared" si="5"/>
        <v>02</v>
      </c>
      <c r="T114" s="32" t="str">
        <f t="shared" si="6"/>
        <v>2011</v>
      </c>
      <c r="U114" s="32">
        <f t="shared" si="7"/>
        <v>11</v>
      </c>
    </row>
    <row r="115" spans="1:21" x14ac:dyDescent="0.35">
      <c r="A115" s="1">
        <v>724</v>
      </c>
      <c r="B115" s="25">
        <v>40576</v>
      </c>
      <c r="C115" s="1">
        <v>1</v>
      </c>
      <c r="D115" s="1">
        <v>0</v>
      </c>
      <c r="E115" s="1">
        <v>2</v>
      </c>
      <c r="F115" s="1">
        <v>12</v>
      </c>
      <c r="G115" s="1" t="b">
        <v>0</v>
      </c>
      <c r="H115" s="1">
        <v>3</v>
      </c>
      <c r="I115" s="1">
        <v>2</v>
      </c>
      <c r="J115" s="26">
        <v>0.24</v>
      </c>
      <c r="K115" s="26">
        <v>0.2273</v>
      </c>
      <c r="L115" s="27">
        <v>0.93</v>
      </c>
      <c r="M115" s="27">
        <v>0.22389999999999999</v>
      </c>
      <c r="N115" s="28">
        <v>3</v>
      </c>
      <c r="O115" s="1">
        <v>61</v>
      </c>
      <c r="P115" s="30">
        <v>64</v>
      </c>
      <c r="Q115" s="35"/>
      <c r="R115" s="32" t="str">
        <f t="shared" si="4"/>
        <v>02-Feb-2011</v>
      </c>
      <c r="S115" s="32" t="str">
        <f t="shared" si="5"/>
        <v>02</v>
      </c>
      <c r="T115" s="32" t="str">
        <f t="shared" si="6"/>
        <v>2011</v>
      </c>
      <c r="U115" s="32">
        <f t="shared" si="7"/>
        <v>11</v>
      </c>
    </row>
    <row r="116" spans="1:21" x14ac:dyDescent="0.35">
      <c r="A116" s="1">
        <v>725</v>
      </c>
      <c r="B116" s="25">
        <v>40576</v>
      </c>
      <c r="C116" s="1">
        <v>1</v>
      </c>
      <c r="D116" s="1">
        <v>0</v>
      </c>
      <c r="E116" s="1">
        <v>2</v>
      </c>
      <c r="F116" s="1">
        <v>13</v>
      </c>
      <c r="G116" s="1" t="b">
        <v>0</v>
      </c>
      <c r="H116" s="1">
        <v>3</v>
      </c>
      <c r="I116" s="1">
        <v>1</v>
      </c>
      <c r="J116" s="26">
        <v>0.34</v>
      </c>
      <c r="K116" s="26">
        <v>0.33329999999999999</v>
      </c>
      <c r="L116" s="27">
        <v>0.93</v>
      </c>
      <c r="M116" s="27">
        <v>0.16420000000000001</v>
      </c>
      <c r="N116" s="28">
        <v>1</v>
      </c>
      <c r="O116" s="1">
        <v>74</v>
      </c>
      <c r="P116" s="30">
        <v>75</v>
      </c>
      <c r="Q116" s="35"/>
      <c r="R116" s="32" t="str">
        <f t="shared" si="4"/>
        <v>02-Feb-2011</v>
      </c>
      <c r="S116" s="32" t="str">
        <f t="shared" si="5"/>
        <v>02</v>
      </c>
      <c r="T116" s="32" t="str">
        <f t="shared" si="6"/>
        <v>2011</v>
      </c>
      <c r="U116" s="32">
        <f t="shared" si="7"/>
        <v>11</v>
      </c>
    </row>
    <row r="117" spans="1:21" x14ac:dyDescent="0.35">
      <c r="A117" s="1">
        <v>726</v>
      </c>
      <c r="B117" s="25">
        <v>40576</v>
      </c>
      <c r="C117" s="1">
        <v>1</v>
      </c>
      <c r="D117" s="1">
        <v>0</v>
      </c>
      <c r="E117" s="1">
        <v>2</v>
      </c>
      <c r="F117" s="1">
        <v>14</v>
      </c>
      <c r="G117" s="1" t="b">
        <v>0</v>
      </c>
      <c r="H117" s="1">
        <v>3</v>
      </c>
      <c r="I117" s="1">
        <v>1</v>
      </c>
      <c r="J117" s="26">
        <v>0.38</v>
      </c>
      <c r="K117" s="26">
        <v>0.39389999999999997</v>
      </c>
      <c r="L117" s="27">
        <v>0.82</v>
      </c>
      <c r="M117" s="27">
        <v>0.3881</v>
      </c>
      <c r="N117" s="28">
        <v>2</v>
      </c>
      <c r="O117" s="1">
        <v>61</v>
      </c>
      <c r="P117" s="30">
        <v>63</v>
      </c>
      <c r="Q117" s="35"/>
      <c r="R117" s="32" t="str">
        <f t="shared" si="4"/>
        <v>02-Feb-2011</v>
      </c>
      <c r="S117" s="32" t="str">
        <f t="shared" si="5"/>
        <v>02</v>
      </c>
      <c r="T117" s="32" t="str">
        <f t="shared" si="6"/>
        <v>2011</v>
      </c>
      <c r="U117" s="32">
        <f t="shared" si="7"/>
        <v>11</v>
      </c>
    </row>
    <row r="118" spans="1:21" x14ac:dyDescent="0.35">
      <c r="A118" s="1">
        <v>727</v>
      </c>
      <c r="B118" s="25">
        <v>40576</v>
      </c>
      <c r="C118" s="1">
        <v>1</v>
      </c>
      <c r="D118" s="1">
        <v>0</v>
      </c>
      <c r="E118" s="1">
        <v>2</v>
      </c>
      <c r="F118" s="1">
        <v>15</v>
      </c>
      <c r="G118" s="1" t="b">
        <v>0</v>
      </c>
      <c r="H118" s="1">
        <v>3</v>
      </c>
      <c r="I118" s="1">
        <v>1</v>
      </c>
      <c r="J118" s="26">
        <v>0.38</v>
      </c>
      <c r="K118" s="26">
        <v>0.39389999999999997</v>
      </c>
      <c r="L118" s="27">
        <v>0.76</v>
      </c>
      <c r="M118" s="27">
        <v>0.32840000000000003</v>
      </c>
      <c r="N118" s="28">
        <v>10</v>
      </c>
      <c r="O118" s="1">
        <v>66</v>
      </c>
      <c r="P118" s="30">
        <v>76</v>
      </c>
      <c r="Q118" s="35"/>
      <c r="R118" s="32" t="str">
        <f t="shared" si="4"/>
        <v>02-Feb-2011</v>
      </c>
      <c r="S118" s="32" t="str">
        <f t="shared" si="5"/>
        <v>02</v>
      </c>
      <c r="T118" s="32" t="str">
        <f t="shared" si="6"/>
        <v>2011</v>
      </c>
      <c r="U118" s="32">
        <f t="shared" si="7"/>
        <v>11</v>
      </c>
    </row>
    <row r="119" spans="1:21" x14ac:dyDescent="0.35">
      <c r="A119" s="1">
        <v>728</v>
      </c>
      <c r="B119" s="25">
        <v>40576</v>
      </c>
      <c r="C119" s="1">
        <v>1</v>
      </c>
      <c r="D119" s="1">
        <v>0</v>
      </c>
      <c r="E119" s="1">
        <v>2</v>
      </c>
      <c r="F119" s="1">
        <v>16</v>
      </c>
      <c r="G119" s="1" t="b">
        <v>0</v>
      </c>
      <c r="H119" s="1">
        <v>3</v>
      </c>
      <c r="I119" s="1">
        <v>1</v>
      </c>
      <c r="J119" s="26">
        <v>0.36</v>
      </c>
      <c r="K119" s="26">
        <v>0.33329999999999999</v>
      </c>
      <c r="L119" s="27">
        <v>0.71</v>
      </c>
      <c r="M119" s="27">
        <v>0.29849999999999999</v>
      </c>
      <c r="N119" s="28">
        <v>8</v>
      </c>
      <c r="O119" s="1">
        <v>95</v>
      </c>
      <c r="P119" s="30">
        <v>103</v>
      </c>
      <c r="Q119" s="35"/>
      <c r="R119" s="32" t="str">
        <f t="shared" si="4"/>
        <v>02-Feb-2011</v>
      </c>
      <c r="S119" s="32" t="str">
        <f t="shared" si="5"/>
        <v>02</v>
      </c>
      <c r="T119" s="32" t="str">
        <f t="shared" si="6"/>
        <v>2011</v>
      </c>
      <c r="U119" s="32">
        <f t="shared" si="7"/>
        <v>11</v>
      </c>
    </row>
    <row r="120" spans="1:21" x14ac:dyDescent="0.35">
      <c r="A120" s="1">
        <v>729</v>
      </c>
      <c r="B120" s="25">
        <v>40576</v>
      </c>
      <c r="C120" s="1">
        <v>1</v>
      </c>
      <c r="D120" s="1">
        <v>0</v>
      </c>
      <c r="E120" s="1">
        <v>2</v>
      </c>
      <c r="F120" s="1">
        <v>17</v>
      </c>
      <c r="G120" s="1" t="b">
        <v>0</v>
      </c>
      <c r="H120" s="1">
        <v>3</v>
      </c>
      <c r="I120" s="1">
        <v>1</v>
      </c>
      <c r="J120" s="26">
        <v>0.36</v>
      </c>
      <c r="K120" s="26">
        <v>0.31819999999999998</v>
      </c>
      <c r="L120" s="27">
        <v>0.53</v>
      </c>
      <c r="M120" s="27">
        <v>0.52239999999999998</v>
      </c>
      <c r="N120" s="28">
        <v>7</v>
      </c>
      <c r="O120" s="1">
        <v>183</v>
      </c>
      <c r="P120" s="30">
        <v>190</v>
      </c>
      <c r="Q120" s="35"/>
      <c r="R120" s="32" t="str">
        <f t="shared" si="4"/>
        <v>02-Feb-2011</v>
      </c>
      <c r="S120" s="32" t="str">
        <f t="shared" si="5"/>
        <v>02</v>
      </c>
      <c r="T120" s="32" t="str">
        <f t="shared" si="6"/>
        <v>2011</v>
      </c>
      <c r="U120" s="32">
        <f t="shared" si="7"/>
        <v>11</v>
      </c>
    </row>
    <row r="121" spans="1:21" x14ac:dyDescent="0.35">
      <c r="A121" s="1">
        <v>730</v>
      </c>
      <c r="B121" s="25">
        <v>40576</v>
      </c>
      <c r="C121" s="1">
        <v>1</v>
      </c>
      <c r="D121" s="1">
        <v>0</v>
      </c>
      <c r="E121" s="1">
        <v>2</v>
      </c>
      <c r="F121" s="1">
        <v>18</v>
      </c>
      <c r="G121" s="1" t="b">
        <v>0</v>
      </c>
      <c r="H121" s="1">
        <v>3</v>
      </c>
      <c r="I121" s="1">
        <v>1</v>
      </c>
      <c r="J121" s="26">
        <v>0.34</v>
      </c>
      <c r="K121" s="26">
        <v>0.28789999999999999</v>
      </c>
      <c r="L121" s="27">
        <v>0.42</v>
      </c>
      <c r="M121" s="27">
        <v>0.55220000000000002</v>
      </c>
      <c r="N121" s="28">
        <v>7</v>
      </c>
      <c r="O121" s="1">
        <v>175</v>
      </c>
      <c r="P121" s="30">
        <v>182</v>
      </c>
      <c r="Q121" s="35"/>
      <c r="R121" s="32" t="str">
        <f t="shared" si="4"/>
        <v>02-Feb-2011</v>
      </c>
      <c r="S121" s="32" t="str">
        <f t="shared" si="5"/>
        <v>02</v>
      </c>
      <c r="T121" s="32" t="str">
        <f t="shared" si="6"/>
        <v>2011</v>
      </c>
      <c r="U121" s="32">
        <f t="shared" si="7"/>
        <v>11</v>
      </c>
    </row>
    <row r="122" spans="1:21" x14ac:dyDescent="0.35">
      <c r="A122" s="1">
        <v>731</v>
      </c>
      <c r="B122" s="25">
        <v>40576</v>
      </c>
      <c r="C122" s="1">
        <v>1</v>
      </c>
      <c r="D122" s="1">
        <v>0</v>
      </c>
      <c r="E122" s="1">
        <v>2</v>
      </c>
      <c r="F122" s="1">
        <v>19</v>
      </c>
      <c r="G122" s="1" t="b">
        <v>0</v>
      </c>
      <c r="H122" s="1">
        <v>3</v>
      </c>
      <c r="I122" s="1">
        <v>1</v>
      </c>
      <c r="J122" s="26">
        <v>0.28000000000000003</v>
      </c>
      <c r="K122" s="26">
        <v>0.2424</v>
      </c>
      <c r="L122" s="27">
        <v>0.45</v>
      </c>
      <c r="M122" s="27">
        <v>0.49249999999999999</v>
      </c>
      <c r="N122" s="28">
        <v>3</v>
      </c>
      <c r="O122" s="1">
        <v>88</v>
      </c>
      <c r="P122" s="30">
        <v>91</v>
      </c>
      <c r="Q122" s="35"/>
      <c r="R122" s="32" t="str">
        <f t="shared" si="4"/>
        <v>02-Feb-2011</v>
      </c>
      <c r="S122" s="32" t="str">
        <f t="shared" si="5"/>
        <v>02</v>
      </c>
      <c r="T122" s="32" t="str">
        <f t="shared" si="6"/>
        <v>2011</v>
      </c>
      <c r="U122" s="32">
        <f t="shared" si="7"/>
        <v>11</v>
      </c>
    </row>
    <row r="123" spans="1:21" x14ac:dyDescent="0.35">
      <c r="A123" s="1">
        <v>732</v>
      </c>
      <c r="B123" s="25">
        <v>40576</v>
      </c>
      <c r="C123" s="1">
        <v>1</v>
      </c>
      <c r="D123" s="1">
        <v>0</v>
      </c>
      <c r="E123" s="1">
        <v>2</v>
      </c>
      <c r="F123" s="1">
        <v>20</v>
      </c>
      <c r="G123" s="1" t="b">
        <v>0</v>
      </c>
      <c r="H123" s="1">
        <v>3</v>
      </c>
      <c r="I123" s="1">
        <v>1</v>
      </c>
      <c r="J123" s="26">
        <v>0.24</v>
      </c>
      <c r="K123" s="26">
        <v>0.19700000000000001</v>
      </c>
      <c r="L123" s="27">
        <v>0.48</v>
      </c>
      <c r="M123" s="27">
        <v>0.55220000000000002</v>
      </c>
      <c r="N123" s="28">
        <v>4</v>
      </c>
      <c r="O123" s="1">
        <v>71</v>
      </c>
      <c r="P123" s="30">
        <v>75</v>
      </c>
      <c r="Q123" s="35"/>
      <c r="R123" s="32" t="str">
        <f t="shared" si="4"/>
        <v>02-Feb-2011</v>
      </c>
      <c r="S123" s="32" t="str">
        <f t="shared" si="5"/>
        <v>02</v>
      </c>
      <c r="T123" s="32" t="str">
        <f t="shared" si="6"/>
        <v>2011</v>
      </c>
      <c r="U123" s="32">
        <f t="shared" si="7"/>
        <v>11</v>
      </c>
    </row>
    <row r="124" spans="1:21" x14ac:dyDescent="0.35">
      <c r="A124" s="1">
        <v>733</v>
      </c>
      <c r="B124" s="25">
        <v>40576</v>
      </c>
      <c r="C124" s="1">
        <v>1</v>
      </c>
      <c r="D124" s="1">
        <v>0</v>
      </c>
      <c r="E124" s="1">
        <v>2</v>
      </c>
      <c r="F124" s="1">
        <v>21</v>
      </c>
      <c r="G124" s="1" t="b">
        <v>0</v>
      </c>
      <c r="H124" s="1">
        <v>3</v>
      </c>
      <c r="I124" s="1">
        <v>1</v>
      </c>
      <c r="J124" s="26">
        <v>0.22</v>
      </c>
      <c r="K124" s="26">
        <v>0.19700000000000001</v>
      </c>
      <c r="L124" s="27">
        <v>0.47</v>
      </c>
      <c r="M124" s="27">
        <v>0.32840000000000003</v>
      </c>
      <c r="N124" s="28">
        <v>1</v>
      </c>
      <c r="O124" s="1">
        <v>62</v>
      </c>
      <c r="P124" s="30">
        <v>63</v>
      </c>
      <c r="Q124" s="35"/>
      <c r="R124" s="32" t="str">
        <f t="shared" si="4"/>
        <v>02-Feb-2011</v>
      </c>
      <c r="S124" s="32" t="str">
        <f t="shared" si="5"/>
        <v>02</v>
      </c>
      <c r="T124" s="32" t="str">
        <f t="shared" si="6"/>
        <v>2011</v>
      </c>
      <c r="U124" s="32">
        <f t="shared" si="7"/>
        <v>11</v>
      </c>
    </row>
    <row r="125" spans="1:21" x14ac:dyDescent="0.35">
      <c r="A125" s="1">
        <v>734</v>
      </c>
      <c r="B125" s="25">
        <v>40576</v>
      </c>
      <c r="C125" s="1">
        <v>1</v>
      </c>
      <c r="D125" s="1">
        <v>0</v>
      </c>
      <c r="E125" s="1">
        <v>2</v>
      </c>
      <c r="F125" s="1">
        <v>22</v>
      </c>
      <c r="G125" s="1" t="b">
        <v>0</v>
      </c>
      <c r="H125" s="1">
        <v>3</v>
      </c>
      <c r="I125" s="1">
        <v>1</v>
      </c>
      <c r="J125" s="26">
        <v>0.22</v>
      </c>
      <c r="K125" s="26">
        <v>0.21210000000000001</v>
      </c>
      <c r="L125" s="27">
        <v>0.44</v>
      </c>
      <c r="M125" s="27">
        <v>0.25369999999999998</v>
      </c>
      <c r="N125" s="28">
        <v>5</v>
      </c>
      <c r="O125" s="1">
        <v>35</v>
      </c>
      <c r="P125" s="30">
        <v>40</v>
      </c>
      <c r="Q125" s="35"/>
      <c r="R125" s="32" t="str">
        <f t="shared" si="4"/>
        <v>02-Feb-2011</v>
      </c>
      <c r="S125" s="32" t="str">
        <f t="shared" si="5"/>
        <v>02</v>
      </c>
      <c r="T125" s="32" t="str">
        <f t="shared" si="6"/>
        <v>2011</v>
      </c>
      <c r="U125" s="32">
        <f t="shared" si="7"/>
        <v>11</v>
      </c>
    </row>
    <row r="126" spans="1:21" x14ac:dyDescent="0.35">
      <c r="A126" s="1">
        <v>735</v>
      </c>
      <c r="B126" s="25">
        <v>40576</v>
      </c>
      <c r="C126" s="1">
        <v>1</v>
      </c>
      <c r="D126" s="1">
        <v>0</v>
      </c>
      <c r="E126" s="1">
        <v>2</v>
      </c>
      <c r="F126" s="1">
        <v>23</v>
      </c>
      <c r="G126" s="1" t="b">
        <v>0</v>
      </c>
      <c r="H126" s="1">
        <v>3</v>
      </c>
      <c r="I126" s="1">
        <v>1</v>
      </c>
      <c r="J126" s="26">
        <v>0.2</v>
      </c>
      <c r="K126" s="26">
        <v>0.16669999999999999</v>
      </c>
      <c r="L126" s="27">
        <v>0.44</v>
      </c>
      <c r="M126" s="27">
        <v>0.44779999999999998</v>
      </c>
      <c r="N126" s="28">
        <v>3</v>
      </c>
      <c r="O126" s="1">
        <v>29</v>
      </c>
      <c r="P126" s="30">
        <v>32</v>
      </c>
      <c r="Q126" s="35"/>
      <c r="R126" s="32" t="str">
        <f t="shared" si="4"/>
        <v>02-Feb-2011</v>
      </c>
      <c r="S126" s="32" t="str">
        <f t="shared" si="5"/>
        <v>02</v>
      </c>
      <c r="T126" s="32" t="str">
        <f t="shared" si="6"/>
        <v>2011</v>
      </c>
      <c r="U126" s="32">
        <f t="shared" si="7"/>
        <v>11</v>
      </c>
    </row>
    <row r="127" spans="1:21" x14ac:dyDescent="0.35">
      <c r="A127" s="1">
        <v>736</v>
      </c>
      <c r="B127" s="25">
        <v>40577</v>
      </c>
      <c r="C127" s="1">
        <v>1</v>
      </c>
      <c r="D127" s="1">
        <v>0</v>
      </c>
      <c r="E127" s="1">
        <v>2</v>
      </c>
      <c r="F127" s="1">
        <v>0</v>
      </c>
      <c r="G127" s="1" t="b">
        <v>0</v>
      </c>
      <c r="H127" s="1">
        <v>4</v>
      </c>
      <c r="I127" s="1">
        <v>1</v>
      </c>
      <c r="J127" s="26">
        <v>0.2</v>
      </c>
      <c r="K127" s="26">
        <v>0.16669999999999999</v>
      </c>
      <c r="L127" s="27">
        <v>0.4</v>
      </c>
      <c r="M127" s="27">
        <v>0.44779999999999998</v>
      </c>
      <c r="N127" s="28">
        <v>1</v>
      </c>
      <c r="O127" s="1">
        <v>11</v>
      </c>
      <c r="P127" s="30">
        <v>12</v>
      </c>
      <c r="Q127" s="35"/>
      <c r="R127" s="32" t="str">
        <f t="shared" si="4"/>
        <v>03-Feb-2011</v>
      </c>
      <c r="S127" s="32" t="str">
        <f t="shared" si="5"/>
        <v>03</v>
      </c>
      <c r="T127" s="32" t="str">
        <f t="shared" si="6"/>
        <v>2011</v>
      </c>
      <c r="U127" s="32">
        <f t="shared" si="7"/>
        <v>11</v>
      </c>
    </row>
    <row r="128" spans="1:21" x14ac:dyDescent="0.35">
      <c r="A128" s="1">
        <v>737</v>
      </c>
      <c r="B128" s="25">
        <v>40577</v>
      </c>
      <c r="C128" s="1">
        <v>1</v>
      </c>
      <c r="D128" s="1">
        <v>0</v>
      </c>
      <c r="E128" s="1">
        <v>2</v>
      </c>
      <c r="F128" s="1">
        <v>1</v>
      </c>
      <c r="G128" s="1" t="b">
        <v>0</v>
      </c>
      <c r="H128" s="1">
        <v>4</v>
      </c>
      <c r="I128" s="1">
        <v>1</v>
      </c>
      <c r="J128" s="26">
        <v>0.2</v>
      </c>
      <c r="K128" s="26">
        <v>0.1515</v>
      </c>
      <c r="L128" s="27">
        <v>0.44</v>
      </c>
      <c r="M128" s="27">
        <v>0.52239999999999998</v>
      </c>
      <c r="N128" s="28">
        <v>0</v>
      </c>
      <c r="O128" s="1">
        <v>5</v>
      </c>
      <c r="P128" s="30">
        <v>5</v>
      </c>
      <c r="Q128" s="35"/>
      <c r="R128" s="32" t="str">
        <f t="shared" si="4"/>
        <v>03-Feb-2011</v>
      </c>
      <c r="S128" s="32" t="str">
        <f t="shared" si="5"/>
        <v>03</v>
      </c>
      <c r="T128" s="32" t="str">
        <f t="shared" si="6"/>
        <v>2011</v>
      </c>
      <c r="U128" s="32">
        <f t="shared" si="7"/>
        <v>11</v>
      </c>
    </row>
    <row r="129" spans="1:21" x14ac:dyDescent="0.35">
      <c r="A129" s="1">
        <v>738</v>
      </c>
      <c r="B129" s="25">
        <v>40577</v>
      </c>
      <c r="C129" s="1">
        <v>1</v>
      </c>
      <c r="D129" s="1">
        <v>0</v>
      </c>
      <c r="E129" s="1">
        <v>2</v>
      </c>
      <c r="F129" s="1">
        <v>2</v>
      </c>
      <c r="G129" s="1" t="b">
        <v>0</v>
      </c>
      <c r="H129" s="1">
        <v>4</v>
      </c>
      <c r="I129" s="1">
        <v>1</v>
      </c>
      <c r="J129" s="26">
        <v>0.18</v>
      </c>
      <c r="K129" s="26">
        <v>0.16669999999999999</v>
      </c>
      <c r="L129" s="27">
        <v>0.43</v>
      </c>
      <c r="M129" s="27">
        <v>0.25369999999999998</v>
      </c>
      <c r="N129" s="28">
        <v>0</v>
      </c>
      <c r="O129" s="1">
        <v>2</v>
      </c>
      <c r="P129" s="30">
        <v>2</v>
      </c>
      <c r="Q129" s="35"/>
      <c r="R129" s="32" t="str">
        <f t="shared" si="4"/>
        <v>03-Feb-2011</v>
      </c>
      <c r="S129" s="32" t="str">
        <f t="shared" si="5"/>
        <v>03</v>
      </c>
      <c r="T129" s="32" t="str">
        <f t="shared" si="6"/>
        <v>2011</v>
      </c>
      <c r="U129" s="32">
        <f t="shared" si="7"/>
        <v>11</v>
      </c>
    </row>
    <row r="130" spans="1:21" x14ac:dyDescent="0.35">
      <c r="A130" s="1">
        <v>739</v>
      </c>
      <c r="B130" s="25">
        <v>40577</v>
      </c>
      <c r="C130" s="1">
        <v>1</v>
      </c>
      <c r="D130" s="1">
        <v>0</v>
      </c>
      <c r="E130" s="1">
        <v>2</v>
      </c>
      <c r="F130" s="1">
        <v>3</v>
      </c>
      <c r="G130" s="1" t="b">
        <v>0</v>
      </c>
      <c r="H130" s="1">
        <v>4</v>
      </c>
      <c r="I130" s="1">
        <v>1</v>
      </c>
      <c r="J130" s="26">
        <v>0.18</v>
      </c>
      <c r="K130" s="26">
        <v>0.16669999999999999</v>
      </c>
      <c r="L130" s="27">
        <v>0.43</v>
      </c>
      <c r="M130" s="27">
        <v>0.25369999999999998</v>
      </c>
      <c r="N130" s="28">
        <v>0</v>
      </c>
      <c r="O130" s="1">
        <v>1</v>
      </c>
      <c r="P130" s="30">
        <v>1</v>
      </c>
      <c r="Q130" s="35"/>
      <c r="R130" s="32" t="str">
        <f t="shared" ref="R130:R193" si="8">TEXT(B130,"dd-mmm-yyyy")</f>
        <v>03-Feb-2011</v>
      </c>
      <c r="S130" s="32" t="str">
        <f t="shared" si="5"/>
        <v>03</v>
      </c>
      <c r="T130" s="32" t="str">
        <f t="shared" si="6"/>
        <v>2011</v>
      </c>
      <c r="U130" s="32">
        <f t="shared" si="7"/>
        <v>11</v>
      </c>
    </row>
    <row r="131" spans="1:21" x14ac:dyDescent="0.35">
      <c r="A131" s="1">
        <v>740</v>
      </c>
      <c r="B131" s="25">
        <v>40577</v>
      </c>
      <c r="C131" s="1">
        <v>1</v>
      </c>
      <c r="D131" s="1">
        <v>0</v>
      </c>
      <c r="E131" s="1">
        <v>2</v>
      </c>
      <c r="F131" s="1">
        <v>5</v>
      </c>
      <c r="G131" s="1" t="b">
        <v>0</v>
      </c>
      <c r="H131" s="1">
        <v>4</v>
      </c>
      <c r="I131" s="1">
        <v>1</v>
      </c>
      <c r="J131" s="26">
        <v>0.16</v>
      </c>
      <c r="K131" s="26">
        <v>0.13639999999999999</v>
      </c>
      <c r="L131" s="27">
        <v>0.5</v>
      </c>
      <c r="M131" s="27">
        <v>0.29849999999999999</v>
      </c>
      <c r="N131" s="28">
        <v>0</v>
      </c>
      <c r="O131" s="1">
        <v>2</v>
      </c>
      <c r="P131" s="30">
        <v>2</v>
      </c>
      <c r="Q131" s="35"/>
      <c r="R131" s="32" t="str">
        <f t="shared" si="8"/>
        <v>03-Feb-2011</v>
      </c>
      <c r="S131" s="32" t="str">
        <f t="shared" ref="S131:S194" si="9">LEFT(R131,2)</f>
        <v>03</v>
      </c>
      <c r="T131" s="32" t="str">
        <f t="shared" ref="T131:T194" si="10">RIGHT(R131,4)</f>
        <v>2011</v>
      </c>
      <c r="U131" s="32">
        <f t="shared" ref="U131:U194" si="11">LEN(R131)</f>
        <v>11</v>
      </c>
    </row>
    <row r="132" spans="1:21" x14ac:dyDescent="0.35">
      <c r="A132" s="1">
        <v>741</v>
      </c>
      <c r="B132" s="25">
        <v>40577</v>
      </c>
      <c r="C132" s="1">
        <v>1</v>
      </c>
      <c r="D132" s="1">
        <v>0</v>
      </c>
      <c r="E132" s="1">
        <v>2</v>
      </c>
      <c r="F132" s="1">
        <v>6</v>
      </c>
      <c r="G132" s="1" t="b">
        <v>0</v>
      </c>
      <c r="H132" s="1">
        <v>4</v>
      </c>
      <c r="I132" s="1">
        <v>1</v>
      </c>
      <c r="J132" s="26">
        <v>0.16</v>
      </c>
      <c r="K132" s="26">
        <v>0.13639999999999999</v>
      </c>
      <c r="L132" s="27">
        <v>0.43</v>
      </c>
      <c r="M132" s="27">
        <v>0.35820000000000002</v>
      </c>
      <c r="N132" s="28">
        <v>0</v>
      </c>
      <c r="O132" s="1">
        <v>39</v>
      </c>
      <c r="P132" s="30">
        <v>39</v>
      </c>
      <c r="Q132" s="35"/>
      <c r="R132" s="32" t="str">
        <f t="shared" si="8"/>
        <v>03-Feb-2011</v>
      </c>
      <c r="S132" s="32" t="str">
        <f t="shared" si="9"/>
        <v>03</v>
      </c>
      <c r="T132" s="32" t="str">
        <f t="shared" si="10"/>
        <v>2011</v>
      </c>
      <c r="U132" s="32">
        <f t="shared" si="11"/>
        <v>11</v>
      </c>
    </row>
    <row r="133" spans="1:21" x14ac:dyDescent="0.35">
      <c r="A133" s="1">
        <v>742</v>
      </c>
      <c r="B133" s="25">
        <v>40577</v>
      </c>
      <c r="C133" s="1">
        <v>1</v>
      </c>
      <c r="D133" s="1">
        <v>0</v>
      </c>
      <c r="E133" s="1">
        <v>2</v>
      </c>
      <c r="F133" s="1">
        <v>7</v>
      </c>
      <c r="G133" s="1" t="b">
        <v>0</v>
      </c>
      <c r="H133" s="1">
        <v>4</v>
      </c>
      <c r="I133" s="1">
        <v>1</v>
      </c>
      <c r="J133" s="26">
        <v>0.14000000000000001</v>
      </c>
      <c r="K133" s="26">
        <v>0.1212</v>
      </c>
      <c r="L133" s="27">
        <v>0.5</v>
      </c>
      <c r="M133" s="27">
        <v>0.32840000000000003</v>
      </c>
      <c r="N133" s="28">
        <v>1</v>
      </c>
      <c r="O133" s="1">
        <v>86</v>
      </c>
      <c r="P133" s="30">
        <v>87</v>
      </c>
      <c r="Q133" s="35"/>
      <c r="R133" s="32" t="str">
        <f t="shared" si="8"/>
        <v>03-Feb-2011</v>
      </c>
      <c r="S133" s="32" t="str">
        <f t="shared" si="9"/>
        <v>03</v>
      </c>
      <c r="T133" s="32" t="str">
        <f t="shared" si="10"/>
        <v>2011</v>
      </c>
      <c r="U133" s="32">
        <f t="shared" si="11"/>
        <v>11</v>
      </c>
    </row>
    <row r="134" spans="1:21" x14ac:dyDescent="0.35">
      <c r="A134" s="1">
        <v>743</v>
      </c>
      <c r="B134" s="25">
        <v>40577</v>
      </c>
      <c r="C134" s="1">
        <v>1</v>
      </c>
      <c r="D134" s="1">
        <v>0</v>
      </c>
      <c r="E134" s="1">
        <v>2</v>
      </c>
      <c r="F134" s="1">
        <v>8</v>
      </c>
      <c r="G134" s="1" t="b">
        <v>0</v>
      </c>
      <c r="H134" s="1">
        <v>4</v>
      </c>
      <c r="I134" s="1">
        <v>1</v>
      </c>
      <c r="J134" s="26">
        <v>0.14000000000000001</v>
      </c>
      <c r="K134" s="26">
        <v>0.1212</v>
      </c>
      <c r="L134" s="27">
        <v>0.5</v>
      </c>
      <c r="M134" s="27">
        <v>0.35820000000000002</v>
      </c>
      <c r="N134" s="28">
        <v>4</v>
      </c>
      <c r="O134" s="1">
        <v>184</v>
      </c>
      <c r="P134" s="30">
        <v>188</v>
      </c>
      <c r="Q134" s="35"/>
      <c r="R134" s="32" t="str">
        <f t="shared" si="8"/>
        <v>03-Feb-2011</v>
      </c>
      <c r="S134" s="32" t="str">
        <f t="shared" si="9"/>
        <v>03</v>
      </c>
      <c r="T134" s="32" t="str">
        <f t="shared" si="10"/>
        <v>2011</v>
      </c>
      <c r="U134" s="32">
        <f t="shared" si="11"/>
        <v>11</v>
      </c>
    </row>
    <row r="135" spans="1:21" x14ac:dyDescent="0.35">
      <c r="A135" s="1">
        <v>744</v>
      </c>
      <c r="B135" s="25">
        <v>40577</v>
      </c>
      <c r="C135" s="1">
        <v>1</v>
      </c>
      <c r="D135" s="1">
        <v>0</v>
      </c>
      <c r="E135" s="1">
        <v>2</v>
      </c>
      <c r="F135" s="1">
        <v>9</v>
      </c>
      <c r="G135" s="1" t="b">
        <v>0</v>
      </c>
      <c r="H135" s="1">
        <v>4</v>
      </c>
      <c r="I135" s="1">
        <v>1</v>
      </c>
      <c r="J135" s="26">
        <v>0.16</v>
      </c>
      <c r="K135" s="26">
        <v>0.13639999999999999</v>
      </c>
      <c r="L135" s="27">
        <v>0.47</v>
      </c>
      <c r="M135" s="27">
        <v>0.29849999999999999</v>
      </c>
      <c r="N135" s="28">
        <v>6</v>
      </c>
      <c r="O135" s="1">
        <v>127</v>
      </c>
      <c r="P135" s="30">
        <v>133</v>
      </c>
      <c r="Q135" s="35"/>
      <c r="R135" s="32" t="str">
        <f t="shared" si="8"/>
        <v>03-Feb-2011</v>
      </c>
      <c r="S135" s="32" t="str">
        <f t="shared" si="9"/>
        <v>03</v>
      </c>
      <c r="T135" s="32" t="str">
        <f t="shared" si="10"/>
        <v>2011</v>
      </c>
      <c r="U135" s="32">
        <f t="shared" si="11"/>
        <v>11</v>
      </c>
    </row>
    <row r="136" spans="1:21" x14ac:dyDescent="0.35">
      <c r="A136" s="1">
        <v>745</v>
      </c>
      <c r="B136" s="25">
        <v>40577</v>
      </c>
      <c r="C136" s="1">
        <v>1</v>
      </c>
      <c r="D136" s="1">
        <v>0</v>
      </c>
      <c r="E136" s="1">
        <v>2</v>
      </c>
      <c r="F136" s="1">
        <v>10</v>
      </c>
      <c r="G136" s="1" t="b">
        <v>0</v>
      </c>
      <c r="H136" s="1">
        <v>4</v>
      </c>
      <c r="I136" s="1">
        <v>1</v>
      </c>
      <c r="J136" s="26">
        <v>0.18</v>
      </c>
      <c r="K136" s="26">
        <v>0.1515</v>
      </c>
      <c r="L136" s="27">
        <v>0.43</v>
      </c>
      <c r="M136" s="27">
        <v>0.32840000000000003</v>
      </c>
      <c r="N136" s="28">
        <v>2</v>
      </c>
      <c r="O136" s="1">
        <v>50</v>
      </c>
      <c r="P136" s="30">
        <v>52</v>
      </c>
      <c r="Q136" s="35"/>
      <c r="R136" s="32" t="str">
        <f t="shared" si="8"/>
        <v>03-Feb-2011</v>
      </c>
      <c r="S136" s="32" t="str">
        <f t="shared" si="9"/>
        <v>03</v>
      </c>
      <c r="T136" s="32" t="str">
        <f t="shared" si="10"/>
        <v>2011</v>
      </c>
      <c r="U136" s="32">
        <f t="shared" si="11"/>
        <v>11</v>
      </c>
    </row>
    <row r="137" spans="1:21" x14ac:dyDescent="0.35">
      <c r="A137" s="1">
        <v>746</v>
      </c>
      <c r="B137" s="25">
        <v>40577</v>
      </c>
      <c r="C137" s="1">
        <v>1</v>
      </c>
      <c r="D137" s="1">
        <v>0</v>
      </c>
      <c r="E137" s="1">
        <v>2</v>
      </c>
      <c r="F137" s="1">
        <v>11</v>
      </c>
      <c r="G137" s="1" t="b">
        <v>0</v>
      </c>
      <c r="H137" s="1">
        <v>4</v>
      </c>
      <c r="I137" s="1">
        <v>1</v>
      </c>
      <c r="J137" s="26">
        <v>0.18</v>
      </c>
      <c r="K137" s="26">
        <v>0.13639999999999999</v>
      </c>
      <c r="L137" s="27">
        <v>0.43</v>
      </c>
      <c r="M137" s="27">
        <v>0.44779999999999998</v>
      </c>
      <c r="N137" s="28">
        <v>9</v>
      </c>
      <c r="O137" s="1">
        <v>55</v>
      </c>
      <c r="P137" s="30">
        <v>64</v>
      </c>
      <c r="Q137" s="35"/>
      <c r="R137" s="32" t="str">
        <f t="shared" si="8"/>
        <v>03-Feb-2011</v>
      </c>
      <c r="S137" s="32" t="str">
        <f t="shared" si="9"/>
        <v>03</v>
      </c>
      <c r="T137" s="32" t="str">
        <f t="shared" si="10"/>
        <v>2011</v>
      </c>
      <c r="U137" s="32">
        <f t="shared" si="11"/>
        <v>11</v>
      </c>
    </row>
    <row r="138" spans="1:21" x14ac:dyDescent="0.35">
      <c r="A138" s="1">
        <v>747</v>
      </c>
      <c r="B138" s="25">
        <v>40577</v>
      </c>
      <c r="C138" s="1">
        <v>1</v>
      </c>
      <c r="D138" s="1">
        <v>0</v>
      </c>
      <c r="E138" s="1">
        <v>2</v>
      </c>
      <c r="F138" s="1">
        <v>12</v>
      </c>
      <c r="G138" s="1" t="b">
        <v>0</v>
      </c>
      <c r="H138" s="1">
        <v>4</v>
      </c>
      <c r="I138" s="1">
        <v>1</v>
      </c>
      <c r="J138" s="26">
        <v>0.2</v>
      </c>
      <c r="K138" s="26">
        <v>0.18179999999999999</v>
      </c>
      <c r="L138" s="27">
        <v>0.4</v>
      </c>
      <c r="M138" s="27">
        <v>0.35820000000000002</v>
      </c>
      <c r="N138" s="28">
        <v>2</v>
      </c>
      <c r="O138" s="1">
        <v>67</v>
      </c>
      <c r="P138" s="30">
        <v>69</v>
      </c>
      <c r="Q138" s="35"/>
      <c r="R138" s="32" t="str">
        <f t="shared" si="8"/>
        <v>03-Feb-2011</v>
      </c>
      <c r="S138" s="32" t="str">
        <f t="shared" si="9"/>
        <v>03</v>
      </c>
      <c r="T138" s="32" t="str">
        <f t="shared" si="10"/>
        <v>2011</v>
      </c>
      <c r="U138" s="32">
        <f t="shared" si="11"/>
        <v>11</v>
      </c>
    </row>
    <row r="139" spans="1:21" x14ac:dyDescent="0.35">
      <c r="A139" s="1">
        <v>748</v>
      </c>
      <c r="B139" s="25">
        <v>40577</v>
      </c>
      <c r="C139" s="1">
        <v>1</v>
      </c>
      <c r="D139" s="1">
        <v>0</v>
      </c>
      <c r="E139" s="1">
        <v>2</v>
      </c>
      <c r="F139" s="1">
        <v>13</v>
      </c>
      <c r="G139" s="1" t="b">
        <v>0</v>
      </c>
      <c r="H139" s="1">
        <v>4</v>
      </c>
      <c r="I139" s="1">
        <v>1</v>
      </c>
      <c r="J139" s="26">
        <v>0.2</v>
      </c>
      <c r="K139" s="26">
        <v>0.16669999999999999</v>
      </c>
      <c r="L139" s="27">
        <v>0.4</v>
      </c>
      <c r="M139" s="27">
        <v>0.41789999999999999</v>
      </c>
      <c r="N139" s="28">
        <v>4</v>
      </c>
      <c r="O139" s="1">
        <v>47</v>
      </c>
      <c r="P139" s="30">
        <v>51</v>
      </c>
      <c r="Q139" s="35"/>
      <c r="R139" s="32" t="str">
        <f t="shared" si="8"/>
        <v>03-Feb-2011</v>
      </c>
      <c r="S139" s="32" t="str">
        <f t="shared" si="9"/>
        <v>03</v>
      </c>
      <c r="T139" s="32" t="str">
        <f t="shared" si="10"/>
        <v>2011</v>
      </c>
      <c r="U139" s="32">
        <f t="shared" si="11"/>
        <v>11</v>
      </c>
    </row>
    <row r="140" spans="1:21" x14ac:dyDescent="0.35">
      <c r="A140" s="1">
        <v>749</v>
      </c>
      <c r="B140" s="25">
        <v>40577</v>
      </c>
      <c r="C140" s="1">
        <v>1</v>
      </c>
      <c r="D140" s="1">
        <v>0</v>
      </c>
      <c r="E140" s="1">
        <v>2</v>
      </c>
      <c r="F140" s="1">
        <v>14</v>
      </c>
      <c r="G140" s="1" t="b">
        <v>0</v>
      </c>
      <c r="H140" s="1">
        <v>4</v>
      </c>
      <c r="I140" s="1">
        <v>1</v>
      </c>
      <c r="J140" s="26">
        <v>0.22</v>
      </c>
      <c r="K140" s="26">
        <v>0.19700000000000001</v>
      </c>
      <c r="L140" s="27">
        <v>0.37</v>
      </c>
      <c r="M140" s="27">
        <v>0.3881</v>
      </c>
      <c r="N140" s="28">
        <v>4</v>
      </c>
      <c r="O140" s="1">
        <v>43</v>
      </c>
      <c r="P140" s="30">
        <v>47</v>
      </c>
      <c r="Q140" s="35"/>
      <c r="R140" s="32" t="str">
        <f t="shared" si="8"/>
        <v>03-Feb-2011</v>
      </c>
      <c r="S140" s="32" t="str">
        <f t="shared" si="9"/>
        <v>03</v>
      </c>
      <c r="T140" s="32" t="str">
        <f t="shared" si="10"/>
        <v>2011</v>
      </c>
      <c r="U140" s="32">
        <f t="shared" si="11"/>
        <v>11</v>
      </c>
    </row>
    <row r="141" spans="1:21" x14ac:dyDescent="0.35">
      <c r="A141" s="1">
        <v>750</v>
      </c>
      <c r="B141" s="25">
        <v>40577</v>
      </c>
      <c r="C141" s="1">
        <v>1</v>
      </c>
      <c r="D141" s="1">
        <v>0</v>
      </c>
      <c r="E141" s="1">
        <v>2</v>
      </c>
      <c r="F141" s="1">
        <v>15</v>
      </c>
      <c r="G141" s="1" t="b">
        <v>0</v>
      </c>
      <c r="H141" s="1">
        <v>4</v>
      </c>
      <c r="I141" s="1">
        <v>1</v>
      </c>
      <c r="J141" s="26">
        <v>0.22</v>
      </c>
      <c r="K141" s="26">
        <v>0.19700000000000001</v>
      </c>
      <c r="L141" s="27">
        <v>0.37</v>
      </c>
      <c r="M141" s="27">
        <v>0.32840000000000003</v>
      </c>
      <c r="N141" s="28">
        <v>4</v>
      </c>
      <c r="O141" s="1">
        <v>56</v>
      </c>
      <c r="P141" s="30">
        <v>60</v>
      </c>
      <c r="Q141" s="35"/>
      <c r="R141" s="32" t="str">
        <f t="shared" si="8"/>
        <v>03-Feb-2011</v>
      </c>
      <c r="S141" s="32" t="str">
        <f t="shared" si="9"/>
        <v>03</v>
      </c>
      <c r="T141" s="32" t="str">
        <f t="shared" si="10"/>
        <v>2011</v>
      </c>
      <c r="U141" s="32">
        <f t="shared" si="11"/>
        <v>11</v>
      </c>
    </row>
    <row r="142" spans="1:21" x14ac:dyDescent="0.35">
      <c r="A142" s="1">
        <v>751</v>
      </c>
      <c r="B142" s="25">
        <v>40577</v>
      </c>
      <c r="C142" s="1">
        <v>1</v>
      </c>
      <c r="D142" s="1">
        <v>0</v>
      </c>
      <c r="E142" s="1">
        <v>2</v>
      </c>
      <c r="F142" s="1">
        <v>16</v>
      </c>
      <c r="G142" s="1" t="b">
        <v>0</v>
      </c>
      <c r="H142" s="1">
        <v>4</v>
      </c>
      <c r="I142" s="1">
        <v>1</v>
      </c>
      <c r="J142" s="26">
        <v>0.22</v>
      </c>
      <c r="K142" s="26">
        <v>0.21210000000000001</v>
      </c>
      <c r="L142" s="27">
        <v>0.37</v>
      </c>
      <c r="M142" s="27">
        <v>0.25369999999999998</v>
      </c>
      <c r="N142" s="28">
        <v>5</v>
      </c>
      <c r="O142" s="1">
        <v>73</v>
      </c>
      <c r="P142" s="30">
        <v>78</v>
      </c>
      <c r="Q142" s="35"/>
      <c r="R142" s="32" t="str">
        <f t="shared" si="8"/>
        <v>03-Feb-2011</v>
      </c>
      <c r="S142" s="32" t="str">
        <f t="shared" si="9"/>
        <v>03</v>
      </c>
      <c r="T142" s="32" t="str">
        <f t="shared" si="10"/>
        <v>2011</v>
      </c>
      <c r="U142" s="32">
        <f t="shared" si="11"/>
        <v>11</v>
      </c>
    </row>
    <row r="143" spans="1:21" x14ac:dyDescent="0.35">
      <c r="A143" s="1">
        <v>752</v>
      </c>
      <c r="B143" s="25">
        <v>40577</v>
      </c>
      <c r="C143" s="1">
        <v>1</v>
      </c>
      <c r="D143" s="1">
        <v>0</v>
      </c>
      <c r="E143" s="1">
        <v>2</v>
      </c>
      <c r="F143" s="1">
        <v>17</v>
      </c>
      <c r="G143" s="1" t="b">
        <v>0</v>
      </c>
      <c r="H143" s="1">
        <v>4</v>
      </c>
      <c r="I143" s="1">
        <v>1</v>
      </c>
      <c r="J143" s="26">
        <v>0.2</v>
      </c>
      <c r="K143" s="26">
        <v>0.19700000000000001</v>
      </c>
      <c r="L143" s="27">
        <v>0.4</v>
      </c>
      <c r="M143" s="27">
        <v>0.19400000000000001</v>
      </c>
      <c r="N143" s="28">
        <v>5</v>
      </c>
      <c r="O143" s="1">
        <v>170</v>
      </c>
      <c r="P143" s="30">
        <v>175</v>
      </c>
      <c r="Q143" s="35"/>
      <c r="R143" s="32" t="str">
        <f t="shared" si="8"/>
        <v>03-Feb-2011</v>
      </c>
      <c r="S143" s="32" t="str">
        <f t="shared" si="9"/>
        <v>03</v>
      </c>
      <c r="T143" s="32" t="str">
        <f t="shared" si="10"/>
        <v>2011</v>
      </c>
      <c r="U143" s="32">
        <f t="shared" si="11"/>
        <v>11</v>
      </c>
    </row>
    <row r="144" spans="1:21" x14ac:dyDescent="0.35">
      <c r="A144" s="1">
        <v>753</v>
      </c>
      <c r="B144" s="25">
        <v>40577</v>
      </c>
      <c r="C144" s="1">
        <v>1</v>
      </c>
      <c r="D144" s="1">
        <v>0</v>
      </c>
      <c r="E144" s="1">
        <v>2</v>
      </c>
      <c r="F144" s="1">
        <v>18</v>
      </c>
      <c r="G144" s="1" t="b">
        <v>0</v>
      </c>
      <c r="H144" s="1">
        <v>4</v>
      </c>
      <c r="I144" s="1">
        <v>1</v>
      </c>
      <c r="J144" s="26">
        <v>0.2</v>
      </c>
      <c r="K144" s="26">
        <v>0.21210000000000001</v>
      </c>
      <c r="L144" s="27">
        <v>0.4</v>
      </c>
      <c r="M144" s="27">
        <v>0.16420000000000001</v>
      </c>
      <c r="N144" s="28">
        <v>2</v>
      </c>
      <c r="O144" s="1">
        <v>145</v>
      </c>
      <c r="P144" s="30">
        <v>147</v>
      </c>
      <c r="Q144" s="35"/>
      <c r="R144" s="32" t="str">
        <f t="shared" si="8"/>
        <v>03-Feb-2011</v>
      </c>
      <c r="S144" s="32" t="str">
        <f t="shared" si="9"/>
        <v>03</v>
      </c>
      <c r="T144" s="32" t="str">
        <f t="shared" si="10"/>
        <v>2011</v>
      </c>
      <c r="U144" s="32">
        <f t="shared" si="11"/>
        <v>11</v>
      </c>
    </row>
    <row r="145" spans="1:21" x14ac:dyDescent="0.35">
      <c r="A145" s="1">
        <v>754</v>
      </c>
      <c r="B145" s="25">
        <v>40577</v>
      </c>
      <c r="C145" s="1">
        <v>1</v>
      </c>
      <c r="D145" s="1">
        <v>0</v>
      </c>
      <c r="E145" s="1">
        <v>2</v>
      </c>
      <c r="F145" s="1">
        <v>19</v>
      </c>
      <c r="G145" s="1" t="b">
        <v>0</v>
      </c>
      <c r="H145" s="1">
        <v>4</v>
      </c>
      <c r="I145" s="1">
        <v>1</v>
      </c>
      <c r="J145" s="26">
        <v>0.2</v>
      </c>
      <c r="K145" s="26">
        <v>0.2576</v>
      </c>
      <c r="L145" s="27">
        <v>0.4</v>
      </c>
      <c r="M145" s="27">
        <v>0</v>
      </c>
      <c r="N145" s="28">
        <v>4</v>
      </c>
      <c r="O145" s="1">
        <v>92</v>
      </c>
      <c r="P145" s="30">
        <v>96</v>
      </c>
      <c r="Q145" s="35"/>
      <c r="R145" s="32" t="str">
        <f t="shared" si="8"/>
        <v>03-Feb-2011</v>
      </c>
      <c r="S145" s="32" t="str">
        <f t="shared" si="9"/>
        <v>03</v>
      </c>
      <c r="T145" s="32" t="str">
        <f t="shared" si="10"/>
        <v>2011</v>
      </c>
      <c r="U145" s="32">
        <f t="shared" si="11"/>
        <v>11</v>
      </c>
    </row>
    <row r="146" spans="1:21" x14ac:dyDescent="0.35">
      <c r="A146" s="1">
        <v>755</v>
      </c>
      <c r="B146" s="25">
        <v>40577</v>
      </c>
      <c r="C146" s="1">
        <v>1</v>
      </c>
      <c r="D146" s="1">
        <v>0</v>
      </c>
      <c r="E146" s="1">
        <v>2</v>
      </c>
      <c r="F146" s="1">
        <v>20</v>
      </c>
      <c r="G146" s="1" t="b">
        <v>0</v>
      </c>
      <c r="H146" s="1">
        <v>4</v>
      </c>
      <c r="I146" s="1">
        <v>1</v>
      </c>
      <c r="J146" s="26">
        <v>0.2</v>
      </c>
      <c r="K146" s="26">
        <v>0.2273</v>
      </c>
      <c r="L146" s="27">
        <v>0.47</v>
      </c>
      <c r="M146" s="27">
        <v>8.9599999999999999E-2</v>
      </c>
      <c r="N146" s="28">
        <v>1</v>
      </c>
      <c r="O146" s="1">
        <v>108</v>
      </c>
      <c r="P146" s="30">
        <v>109</v>
      </c>
      <c r="Q146" s="35"/>
      <c r="R146" s="32" t="str">
        <f t="shared" si="8"/>
        <v>03-Feb-2011</v>
      </c>
      <c r="S146" s="32" t="str">
        <f t="shared" si="9"/>
        <v>03</v>
      </c>
      <c r="T146" s="32" t="str">
        <f t="shared" si="10"/>
        <v>2011</v>
      </c>
      <c r="U146" s="32">
        <f t="shared" si="11"/>
        <v>11</v>
      </c>
    </row>
    <row r="147" spans="1:21" x14ac:dyDescent="0.35">
      <c r="A147" s="1">
        <v>756</v>
      </c>
      <c r="B147" s="25">
        <v>40577</v>
      </c>
      <c r="C147" s="1">
        <v>1</v>
      </c>
      <c r="D147" s="1">
        <v>0</v>
      </c>
      <c r="E147" s="1">
        <v>2</v>
      </c>
      <c r="F147" s="1">
        <v>21</v>
      </c>
      <c r="G147" s="1" t="b">
        <v>0</v>
      </c>
      <c r="H147" s="1">
        <v>4</v>
      </c>
      <c r="I147" s="1">
        <v>1</v>
      </c>
      <c r="J147" s="26">
        <v>0.18</v>
      </c>
      <c r="K147" s="26">
        <v>0.21210000000000001</v>
      </c>
      <c r="L147" s="27">
        <v>0.55000000000000004</v>
      </c>
      <c r="M147" s="27">
        <v>0.1045</v>
      </c>
      <c r="N147" s="28">
        <v>1</v>
      </c>
      <c r="O147" s="1">
        <v>53</v>
      </c>
      <c r="P147" s="30">
        <v>54</v>
      </c>
      <c r="Q147" s="35"/>
      <c r="R147" s="32" t="str">
        <f t="shared" si="8"/>
        <v>03-Feb-2011</v>
      </c>
      <c r="S147" s="32" t="str">
        <f t="shared" si="9"/>
        <v>03</v>
      </c>
      <c r="T147" s="32" t="str">
        <f t="shared" si="10"/>
        <v>2011</v>
      </c>
      <c r="U147" s="32">
        <f t="shared" si="11"/>
        <v>11</v>
      </c>
    </row>
    <row r="148" spans="1:21" x14ac:dyDescent="0.35">
      <c r="A148" s="1">
        <v>757</v>
      </c>
      <c r="B148" s="25">
        <v>40577</v>
      </c>
      <c r="C148" s="1">
        <v>1</v>
      </c>
      <c r="D148" s="1">
        <v>0</v>
      </c>
      <c r="E148" s="1">
        <v>2</v>
      </c>
      <c r="F148" s="1">
        <v>22</v>
      </c>
      <c r="G148" s="1" t="b">
        <v>0</v>
      </c>
      <c r="H148" s="1">
        <v>4</v>
      </c>
      <c r="I148" s="1">
        <v>1</v>
      </c>
      <c r="J148" s="26">
        <v>0.18</v>
      </c>
      <c r="K148" s="26">
        <v>0.21210000000000001</v>
      </c>
      <c r="L148" s="27">
        <v>0.51</v>
      </c>
      <c r="M148" s="27">
        <v>8.9599999999999999E-2</v>
      </c>
      <c r="N148" s="28">
        <v>2</v>
      </c>
      <c r="O148" s="1">
        <v>39</v>
      </c>
      <c r="P148" s="30">
        <v>41</v>
      </c>
      <c r="Q148" s="35"/>
      <c r="R148" s="32" t="str">
        <f t="shared" si="8"/>
        <v>03-Feb-2011</v>
      </c>
      <c r="S148" s="32" t="str">
        <f t="shared" si="9"/>
        <v>03</v>
      </c>
      <c r="T148" s="32" t="str">
        <f t="shared" si="10"/>
        <v>2011</v>
      </c>
      <c r="U148" s="32">
        <f t="shared" si="11"/>
        <v>11</v>
      </c>
    </row>
    <row r="149" spans="1:21" x14ac:dyDescent="0.35">
      <c r="A149" s="1">
        <v>758</v>
      </c>
      <c r="B149" s="25">
        <v>40577</v>
      </c>
      <c r="C149" s="1">
        <v>1</v>
      </c>
      <c r="D149" s="1">
        <v>0</v>
      </c>
      <c r="E149" s="1">
        <v>2</v>
      </c>
      <c r="F149" s="1">
        <v>23</v>
      </c>
      <c r="G149" s="1" t="b">
        <v>0</v>
      </c>
      <c r="H149" s="1">
        <v>4</v>
      </c>
      <c r="I149" s="1">
        <v>1</v>
      </c>
      <c r="J149" s="26">
        <v>0.2</v>
      </c>
      <c r="K149" s="26">
        <v>0.2273</v>
      </c>
      <c r="L149" s="27">
        <v>0.47</v>
      </c>
      <c r="M149" s="27">
        <v>0.1045</v>
      </c>
      <c r="N149" s="28">
        <v>4</v>
      </c>
      <c r="O149" s="1">
        <v>34</v>
      </c>
      <c r="P149" s="30">
        <v>38</v>
      </c>
      <c r="Q149" s="35"/>
      <c r="R149" s="32" t="str">
        <f t="shared" si="8"/>
        <v>03-Feb-2011</v>
      </c>
      <c r="S149" s="32" t="str">
        <f t="shared" si="9"/>
        <v>03</v>
      </c>
      <c r="T149" s="32" t="str">
        <f t="shared" si="10"/>
        <v>2011</v>
      </c>
      <c r="U149" s="32">
        <f t="shared" si="11"/>
        <v>11</v>
      </c>
    </row>
    <row r="150" spans="1:21" x14ac:dyDescent="0.35">
      <c r="A150" s="1">
        <v>759</v>
      </c>
      <c r="B150" s="25">
        <v>40578</v>
      </c>
      <c r="C150" s="1">
        <v>1</v>
      </c>
      <c r="D150" s="1">
        <v>0</v>
      </c>
      <c r="E150" s="1">
        <v>2</v>
      </c>
      <c r="F150" s="1">
        <v>0</v>
      </c>
      <c r="G150" s="1" t="b">
        <v>0</v>
      </c>
      <c r="H150" s="1">
        <v>5</v>
      </c>
      <c r="I150" s="1">
        <v>2</v>
      </c>
      <c r="J150" s="26">
        <v>0.2</v>
      </c>
      <c r="K150" s="26">
        <v>0.2576</v>
      </c>
      <c r="L150" s="27">
        <v>0.44</v>
      </c>
      <c r="M150" s="27">
        <v>0</v>
      </c>
      <c r="N150" s="28">
        <v>3</v>
      </c>
      <c r="O150" s="1">
        <v>10</v>
      </c>
      <c r="P150" s="30">
        <v>13</v>
      </c>
      <c r="Q150" s="35"/>
      <c r="R150" s="32" t="str">
        <f t="shared" si="8"/>
        <v>04-Feb-2011</v>
      </c>
      <c r="S150" s="32" t="str">
        <f t="shared" si="9"/>
        <v>04</v>
      </c>
      <c r="T150" s="32" t="str">
        <f t="shared" si="10"/>
        <v>2011</v>
      </c>
      <c r="U150" s="32">
        <f t="shared" si="11"/>
        <v>11</v>
      </c>
    </row>
    <row r="151" spans="1:21" x14ac:dyDescent="0.35">
      <c r="A151" s="1">
        <v>760</v>
      </c>
      <c r="B151" s="25">
        <v>40578</v>
      </c>
      <c r="C151" s="1">
        <v>1</v>
      </c>
      <c r="D151" s="1">
        <v>0</v>
      </c>
      <c r="E151" s="1">
        <v>2</v>
      </c>
      <c r="F151" s="1">
        <v>1</v>
      </c>
      <c r="G151" s="1" t="b">
        <v>0</v>
      </c>
      <c r="H151" s="1">
        <v>5</v>
      </c>
      <c r="I151" s="1">
        <v>2</v>
      </c>
      <c r="J151" s="26">
        <v>0.16</v>
      </c>
      <c r="K151" s="26">
        <v>0.2273</v>
      </c>
      <c r="L151" s="27">
        <v>0.59</v>
      </c>
      <c r="M151" s="27">
        <v>0</v>
      </c>
      <c r="N151" s="28">
        <v>0</v>
      </c>
      <c r="O151" s="1">
        <v>7</v>
      </c>
      <c r="P151" s="30">
        <v>7</v>
      </c>
      <c r="Q151" s="35"/>
      <c r="R151" s="32" t="str">
        <f t="shared" si="8"/>
        <v>04-Feb-2011</v>
      </c>
      <c r="S151" s="32" t="str">
        <f t="shared" si="9"/>
        <v>04</v>
      </c>
      <c r="T151" s="32" t="str">
        <f t="shared" si="10"/>
        <v>2011</v>
      </c>
      <c r="U151" s="32">
        <f t="shared" si="11"/>
        <v>11</v>
      </c>
    </row>
    <row r="152" spans="1:21" x14ac:dyDescent="0.35">
      <c r="A152" s="1">
        <v>761</v>
      </c>
      <c r="B152" s="25">
        <v>40578</v>
      </c>
      <c r="C152" s="1">
        <v>1</v>
      </c>
      <c r="D152" s="1">
        <v>0</v>
      </c>
      <c r="E152" s="1">
        <v>2</v>
      </c>
      <c r="F152" s="1">
        <v>2</v>
      </c>
      <c r="G152" s="1" t="b">
        <v>0</v>
      </c>
      <c r="H152" s="1">
        <v>5</v>
      </c>
      <c r="I152" s="1">
        <v>2</v>
      </c>
      <c r="J152" s="26">
        <v>0.14000000000000001</v>
      </c>
      <c r="K152" s="26">
        <v>0.16669999999999999</v>
      </c>
      <c r="L152" s="27">
        <v>0.63</v>
      </c>
      <c r="M152" s="27">
        <v>0.1045</v>
      </c>
      <c r="N152" s="28">
        <v>0</v>
      </c>
      <c r="O152" s="1">
        <v>1</v>
      </c>
      <c r="P152" s="30">
        <v>1</v>
      </c>
      <c r="Q152" s="35"/>
      <c r="R152" s="32" t="str">
        <f t="shared" si="8"/>
        <v>04-Feb-2011</v>
      </c>
      <c r="S152" s="32" t="str">
        <f t="shared" si="9"/>
        <v>04</v>
      </c>
      <c r="T152" s="32" t="str">
        <f t="shared" si="10"/>
        <v>2011</v>
      </c>
      <c r="U152" s="32">
        <f t="shared" si="11"/>
        <v>11</v>
      </c>
    </row>
    <row r="153" spans="1:21" x14ac:dyDescent="0.35">
      <c r="A153" s="1">
        <v>762</v>
      </c>
      <c r="B153" s="25">
        <v>40578</v>
      </c>
      <c r="C153" s="1">
        <v>1</v>
      </c>
      <c r="D153" s="1">
        <v>0</v>
      </c>
      <c r="E153" s="1">
        <v>2</v>
      </c>
      <c r="F153" s="1">
        <v>3</v>
      </c>
      <c r="G153" s="1" t="b">
        <v>0</v>
      </c>
      <c r="H153" s="1">
        <v>5</v>
      </c>
      <c r="I153" s="1">
        <v>2</v>
      </c>
      <c r="J153" s="26">
        <v>0.14000000000000001</v>
      </c>
      <c r="K153" s="26">
        <v>0.16669999999999999</v>
      </c>
      <c r="L153" s="27">
        <v>0.63</v>
      </c>
      <c r="M153" s="27">
        <v>0.1045</v>
      </c>
      <c r="N153" s="28">
        <v>0</v>
      </c>
      <c r="O153" s="1">
        <v>1</v>
      </c>
      <c r="P153" s="30">
        <v>1</v>
      </c>
      <c r="Q153" s="35"/>
      <c r="R153" s="32" t="str">
        <f t="shared" si="8"/>
        <v>04-Feb-2011</v>
      </c>
      <c r="S153" s="32" t="str">
        <f t="shared" si="9"/>
        <v>04</v>
      </c>
      <c r="T153" s="32" t="str">
        <f t="shared" si="10"/>
        <v>2011</v>
      </c>
      <c r="U153" s="32">
        <f t="shared" si="11"/>
        <v>11</v>
      </c>
    </row>
    <row r="154" spans="1:21" x14ac:dyDescent="0.35">
      <c r="A154" s="1">
        <v>763</v>
      </c>
      <c r="B154" s="25">
        <v>40578</v>
      </c>
      <c r="C154" s="1">
        <v>1</v>
      </c>
      <c r="D154" s="1">
        <v>0</v>
      </c>
      <c r="E154" s="1">
        <v>2</v>
      </c>
      <c r="F154" s="1">
        <v>5</v>
      </c>
      <c r="G154" s="1" t="b">
        <v>0</v>
      </c>
      <c r="H154" s="1">
        <v>5</v>
      </c>
      <c r="I154" s="1">
        <v>2</v>
      </c>
      <c r="J154" s="26">
        <v>0.14000000000000001</v>
      </c>
      <c r="K154" s="26">
        <v>0.1515</v>
      </c>
      <c r="L154" s="27">
        <v>0.63</v>
      </c>
      <c r="M154" s="27">
        <v>0.1343</v>
      </c>
      <c r="N154" s="28">
        <v>0</v>
      </c>
      <c r="O154" s="1">
        <v>7</v>
      </c>
      <c r="P154" s="30">
        <v>7</v>
      </c>
      <c r="Q154" s="35"/>
      <c r="R154" s="32" t="str">
        <f t="shared" si="8"/>
        <v>04-Feb-2011</v>
      </c>
      <c r="S154" s="32" t="str">
        <f t="shared" si="9"/>
        <v>04</v>
      </c>
      <c r="T154" s="32" t="str">
        <f t="shared" si="10"/>
        <v>2011</v>
      </c>
      <c r="U154" s="32">
        <f t="shared" si="11"/>
        <v>11</v>
      </c>
    </row>
    <row r="155" spans="1:21" x14ac:dyDescent="0.35">
      <c r="A155" s="1">
        <v>764</v>
      </c>
      <c r="B155" s="25">
        <v>40578</v>
      </c>
      <c r="C155" s="1">
        <v>1</v>
      </c>
      <c r="D155" s="1">
        <v>0</v>
      </c>
      <c r="E155" s="1">
        <v>2</v>
      </c>
      <c r="F155" s="1">
        <v>6</v>
      </c>
      <c r="G155" s="1" t="b">
        <v>0</v>
      </c>
      <c r="H155" s="1">
        <v>5</v>
      </c>
      <c r="I155" s="1">
        <v>2</v>
      </c>
      <c r="J155" s="26">
        <v>0.16</v>
      </c>
      <c r="K155" s="26">
        <v>0.2273</v>
      </c>
      <c r="L155" s="27">
        <v>0.55000000000000004</v>
      </c>
      <c r="M155" s="27">
        <v>0</v>
      </c>
      <c r="N155" s="28">
        <v>2</v>
      </c>
      <c r="O155" s="1">
        <v>26</v>
      </c>
      <c r="P155" s="30">
        <v>28</v>
      </c>
      <c r="Q155" s="35"/>
      <c r="R155" s="32" t="str">
        <f t="shared" si="8"/>
        <v>04-Feb-2011</v>
      </c>
      <c r="S155" s="32" t="str">
        <f t="shared" si="9"/>
        <v>04</v>
      </c>
      <c r="T155" s="32" t="str">
        <f t="shared" si="10"/>
        <v>2011</v>
      </c>
      <c r="U155" s="32">
        <f t="shared" si="11"/>
        <v>11</v>
      </c>
    </row>
    <row r="156" spans="1:21" x14ac:dyDescent="0.35">
      <c r="A156" s="1">
        <v>765</v>
      </c>
      <c r="B156" s="25">
        <v>40578</v>
      </c>
      <c r="C156" s="1">
        <v>1</v>
      </c>
      <c r="D156" s="1">
        <v>0</v>
      </c>
      <c r="E156" s="1">
        <v>2</v>
      </c>
      <c r="F156" s="1">
        <v>7</v>
      </c>
      <c r="G156" s="1" t="b">
        <v>0</v>
      </c>
      <c r="H156" s="1">
        <v>5</v>
      </c>
      <c r="I156" s="1">
        <v>1</v>
      </c>
      <c r="J156" s="26">
        <v>0.14000000000000001</v>
      </c>
      <c r="K156" s="26">
        <v>0.21210000000000001</v>
      </c>
      <c r="L156" s="27">
        <v>0.59</v>
      </c>
      <c r="M156" s="27">
        <v>0</v>
      </c>
      <c r="N156" s="28">
        <v>0</v>
      </c>
      <c r="O156" s="1">
        <v>87</v>
      </c>
      <c r="P156" s="30">
        <v>87</v>
      </c>
      <c r="Q156" s="35"/>
      <c r="R156" s="32" t="str">
        <f t="shared" si="8"/>
        <v>04-Feb-2011</v>
      </c>
      <c r="S156" s="32" t="str">
        <f t="shared" si="9"/>
        <v>04</v>
      </c>
      <c r="T156" s="32" t="str">
        <f t="shared" si="10"/>
        <v>2011</v>
      </c>
      <c r="U156" s="32">
        <f t="shared" si="11"/>
        <v>11</v>
      </c>
    </row>
    <row r="157" spans="1:21" x14ac:dyDescent="0.35">
      <c r="A157" s="1">
        <v>766</v>
      </c>
      <c r="B157" s="25">
        <v>40578</v>
      </c>
      <c r="C157" s="1">
        <v>1</v>
      </c>
      <c r="D157" s="1">
        <v>0</v>
      </c>
      <c r="E157" s="1">
        <v>2</v>
      </c>
      <c r="F157" s="1">
        <v>8</v>
      </c>
      <c r="G157" s="1" t="b">
        <v>0</v>
      </c>
      <c r="H157" s="1">
        <v>5</v>
      </c>
      <c r="I157" s="1">
        <v>1</v>
      </c>
      <c r="J157" s="26">
        <v>0.14000000000000001</v>
      </c>
      <c r="K157" s="26">
        <v>0.1515</v>
      </c>
      <c r="L157" s="27">
        <v>0.74</v>
      </c>
      <c r="M157" s="27">
        <v>0.1343</v>
      </c>
      <c r="N157" s="28">
        <v>3</v>
      </c>
      <c r="O157" s="1">
        <v>217</v>
      </c>
      <c r="P157" s="30">
        <v>220</v>
      </c>
      <c r="Q157" s="35"/>
      <c r="R157" s="32" t="str">
        <f t="shared" si="8"/>
        <v>04-Feb-2011</v>
      </c>
      <c r="S157" s="32" t="str">
        <f t="shared" si="9"/>
        <v>04</v>
      </c>
      <c r="T157" s="32" t="str">
        <f t="shared" si="10"/>
        <v>2011</v>
      </c>
      <c r="U157" s="32">
        <f t="shared" si="11"/>
        <v>11</v>
      </c>
    </row>
    <row r="158" spans="1:21" x14ac:dyDescent="0.35">
      <c r="A158" s="1">
        <v>767</v>
      </c>
      <c r="B158" s="25">
        <v>40578</v>
      </c>
      <c r="C158" s="1">
        <v>1</v>
      </c>
      <c r="D158" s="1">
        <v>0</v>
      </c>
      <c r="E158" s="1">
        <v>2</v>
      </c>
      <c r="F158" s="1">
        <v>9</v>
      </c>
      <c r="G158" s="1" t="b">
        <v>0</v>
      </c>
      <c r="H158" s="1">
        <v>5</v>
      </c>
      <c r="I158" s="1">
        <v>2</v>
      </c>
      <c r="J158" s="26">
        <v>0.16</v>
      </c>
      <c r="K158" s="26">
        <v>0.18179999999999999</v>
      </c>
      <c r="L158" s="27">
        <v>0.8</v>
      </c>
      <c r="M158" s="27">
        <v>0.1343</v>
      </c>
      <c r="N158" s="28">
        <v>3</v>
      </c>
      <c r="O158" s="1">
        <v>124</v>
      </c>
      <c r="P158" s="30">
        <v>127</v>
      </c>
      <c r="Q158" s="35"/>
      <c r="R158" s="32" t="str">
        <f t="shared" si="8"/>
        <v>04-Feb-2011</v>
      </c>
      <c r="S158" s="32" t="str">
        <f t="shared" si="9"/>
        <v>04</v>
      </c>
      <c r="T158" s="32" t="str">
        <f t="shared" si="10"/>
        <v>2011</v>
      </c>
      <c r="U158" s="32">
        <f t="shared" si="11"/>
        <v>11</v>
      </c>
    </row>
    <row r="159" spans="1:21" x14ac:dyDescent="0.35">
      <c r="A159" s="1">
        <v>768</v>
      </c>
      <c r="B159" s="25">
        <v>40578</v>
      </c>
      <c r="C159" s="1">
        <v>1</v>
      </c>
      <c r="D159" s="1">
        <v>0</v>
      </c>
      <c r="E159" s="1">
        <v>2</v>
      </c>
      <c r="F159" s="1">
        <v>10</v>
      </c>
      <c r="G159" s="1" t="b">
        <v>0</v>
      </c>
      <c r="H159" s="1">
        <v>5</v>
      </c>
      <c r="I159" s="1">
        <v>2</v>
      </c>
      <c r="J159" s="26">
        <v>0.2</v>
      </c>
      <c r="K159" s="26">
        <v>0.21210000000000001</v>
      </c>
      <c r="L159" s="27">
        <v>0.51</v>
      </c>
      <c r="M159" s="27">
        <v>0.1343</v>
      </c>
      <c r="N159" s="28">
        <v>5</v>
      </c>
      <c r="O159" s="1">
        <v>46</v>
      </c>
      <c r="P159" s="30">
        <v>51</v>
      </c>
      <c r="Q159" s="35"/>
      <c r="R159" s="32" t="str">
        <f t="shared" si="8"/>
        <v>04-Feb-2011</v>
      </c>
      <c r="S159" s="32" t="str">
        <f t="shared" si="9"/>
        <v>04</v>
      </c>
      <c r="T159" s="32" t="str">
        <f t="shared" si="10"/>
        <v>2011</v>
      </c>
      <c r="U159" s="32">
        <f t="shared" si="11"/>
        <v>11</v>
      </c>
    </row>
    <row r="160" spans="1:21" x14ac:dyDescent="0.35">
      <c r="A160" s="1">
        <v>769</v>
      </c>
      <c r="B160" s="25">
        <v>40578</v>
      </c>
      <c r="C160" s="1">
        <v>1</v>
      </c>
      <c r="D160" s="1">
        <v>0</v>
      </c>
      <c r="E160" s="1">
        <v>2</v>
      </c>
      <c r="F160" s="1">
        <v>11</v>
      </c>
      <c r="G160" s="1" t="b">
        <v>0</v>
      </c>
      <c r="H160" s="1">
        <v>5</v>
      </c>
      <c r="I160" s="1">
        <v>1</v>
      </c>
      <c r="J160" s="26">
        <v>0.22</v>
      </c>
      <c r="K160" s="26">
        <v>0.2273</v>
      </c>
      <c r="L160" s="27">
        <v>0.51</v>
      </c>
      <c r="M160" s="27">
        <v>0.16420000000000001</v>
      </c>
      <c r="N160" s="28">
        <v>3</v>
      </c>
      <c r="O160" s="1">
        <v>61</v>
      </c>
      <c r="P160" s="30">
        <v>64</v>
      </c>
      <c r="Q160" s="35"/>
      <c r="R160" s="32" t="str">
        <f t="shared" si="8"/>
        <v>04-Feb-2011</v>
      </c>
      <c r="S160" s="32" t="str">
        <f t="shared" si="9"/>
        <v>04</v>
      </c>
      <c r="T160" s="32" t="str">
        <f t="shared" si="10"/>
        <v>2011</v>
      </c>
      <c r="U160" s="32">
        <f t="shared" si="11"/>
        <v>11</v>
      </c>
    </row>
    <row r="161" spans="1:21" x14ac:dyDescent="0.35">
      <c r="A161" s="1">
        <v>770</v>
      </c>
      <c r="B161" s="25">
        <v>40578</v>
      </c>
      <c r="C161" s="1">
        <v>1</v>
      </c>
      <c r="D161" s="1">
        <v>0</v>
      </c>
      <c r="E161" s="1">
        <v>2</v>
      </c>
      <c r="F161" s="1">
        <v>12</v>
      </c>
      <c r="G161" s="1" t="b">
        <v>0</v>
      </c>
      <c r="H161" s="1">
        <v>5</v>
      </c>
      <c r="I161" s="1">
        <v>2</v>
      </c>
      <c r="J161" s="26">
        <v>0.24</v>
      </c>
      <c r="K161" s="26">
        <v>0.2424</v>
      </c>
      <c r="L161" s="27">
        <v>0.48</v>
      </c>
      <c r="M161" s="27">
        <v>0.16420000000000001</v>
      </c>
      <c r="N161" s="28">
        <v>8</v>
      </c>
      <c r="O161" s="1">
        <v>78</v>
      </c>
      <c r="P161" s="30">
        <v>86</v>
      </c>
      <c r="Q161" s="35"/>
      <c r="R161" s="32" t="str">
        <f t="shared" si="8"/>
        <v>04-Feb-2011</v>
      </c>
      <c r="S161" s="32" t="str">
        <f t="shared" si="9"/>
        <v>04</v>
      </c>
      <c r="T161" s="32" t="str">
        <f t="shared" si="10"/>
        <v>2011</v>
      </c>
      <c r="U161" s="32">
        <f t="shared" si="11"/>
        <v>11</v>
      </c>
    </row>
    <row r="162" spans="1:21" x14ac:dyDescent="0.35">
      <c r="A162" s="1">
        <v>771</v>
      </c>
      <c r="B162" s="25">
        <v>40578</v>
      </c>
      <c r="C162" s="1">
        <v>1</v>
      </c>
      <c r="D162" s="1">
        <v>0</v>
      </c>
      <c r="E162" s="1">
        <v>2</v>
      </c>
      <c r="F162" s="1">
        <v>13</v>
      </c>
      <c r="G162" s="1" t="b">
        <v>0</v>
      </c>
      <c r="H162" s="1">
        <v>5</v>
      </c>
      <c r="I162" s="1">
        <v>2</v>
      </c>
      <c r="J162" s="26">
        <v>0.26</v>
      </c>
      <c r="K162" s="26">
        <v>0.2576</v>
      </c>
      <c r="L162" s="27">
        <v>0.5</v>
      </c>
      <c r="M162" s="27">
        <v>0.22389999999999999</v>
      </c>
      <c r="N162" s="28">
        <v>9</v>
      </c>
      <c r="O162" s="1">
        <v>73</v>
      </c>
      <c r="P162" s="30">
        <v>82</v>
      </c>
      <c r="Q162" s="35"/>
      <c r="R162" s="32" t="str">
        <f t="shared" si="8"/>
        <v>04-Feb-2011</v>
      </c>
      <c r="S162" s="32" t="str">
        <f t="shared" si="9"/>
        <v>04</v>
      </c>
      <c r="T162" s="32" t="str">
        <f t="shared" si="10"/>
        <v>2011</v>
      </c>
      <c r="U162" s="32">
        <f t="shared" si="11"/>
        <v>11</v>
      </c>
    </row>
    <row r="163" spans="1:21" x14ac:dyDescent="0.35">
      <c r="A163" s="1">
        <v>772</v>
      </c>
      <c r="B163" s="25">
        <v>40578</v>
      </c>
      <c r="C163" s="1">
        <v>1</v>
      </c>
      <c r="D163" s="1">
        <v>0</v>
      </c>
      <c r="E163" s="1">
        <v>2</v>
      </c>
      <c r="F163" s="1">
        <v>14</v>
      </c>
      <c r="G163" s="1" t="b">
        <v>0</v>
      </c>
      <c r="H163" s="1">
        <v>5</v>
      </c>
      <c r="I163" s="1">
        <v>2</v>
      </c>
      <c r="J163" s="26">
        <v>0.28000000000000003</v>
      </c>
      <c r="K163" s="26">
        <v>0.2727</v>
      </c>
      <c r="L163" s="27">
        <v>0.45</v>
      </c>
      <c r="M163" s="27">
        <v>0.16420000000000001</v>
      </c>
      <c r="N163" s="28">
        <v>15</v>
      </c>
      <c r="O163" s="1">
        <v>76</v>
      </c>
      <c r="P163" s="30">
        <v>91</v>
      </c>
      <c r="Q163" s="35"/>
      <c r="R163" s="32" t="str">
        <f t="shared" si="8"/>
        <v>04-Feb-2011</v>
      </c>
      <c r="S163" s="32" t="str">
        <f t="shared" si="9"/>
        <v>04</v>
      </c>
      <c r="T163" s="32" t="str">
        <f t="shared" si="10"/>
        <v>2011</v>
      </c>
      <c r="U163" s="32">
        <f t="shared" si="11"/>
        <v>11</v>
      </c>
    </row>
    <row r="164" spans="1:21" x14ac:dyDescent="0.35">
      <c r="A164" s="1">
        <v>773</v>
      </c>
      <c r="B164" s="25">
        <v>40578</v>
      </c>
      <c r="C164" s="1">
        <v>1</v>
      </c>
      <c r="D164" s="1">
        <v>0</v>
      </c>
      <c r="E164" s="1">
        <v>2</v>
      </c>
      <c r="F164" s="1">
        <v>15</v>
      </c>
      <c r="G164" s="1" t="b">
        <v>0</v>
      </c>
      <c r="H164" s="1">
        <v>5</v>
      </c>
      <c r="I164" s="1">
        <v>2</v>
      </c>
      <c r="J164" s="26">
        <v>0.28000000000000003</v>
      </c>
      <c r="K164" s="26">
        <v>0.2727</v>
      </c>
      <c r="L164" s="27">
        <v>0.48</v>
      </c>
      <c r="M164" s="27">
        <v>0.25369999999999998</v>
      </c>
      <c r="N164" s="28">
        <v>9</v>
      </c>
      <c r="O164" s="1">
        <v>81</v>
      </c>
      <c r="P164" s="30">
        <v>90</v>
      </c>
      <c r="Q164" s="35"/>
      <c r="R164" s="32" t="str">
        <f t="shared" si="8"/>
        <v>04-Feb-2011</v>
      </c>
      <c r="S164" s="32" t="str">
        <f t="shared" si="9"/>
        <v>04</v>
      </c>
      <c r="T164" s="32" t="str">
        <f t="shared" si="10"/>
        <v>2011</v>
      </c>
      <c r="U164" s="32">
        <f t="shared" si="11"/>
        <v>11</v>
      </c>
    </row>
    <row r="165" spans="1:21" x14ac:dyDescent="0.35">
      <c r="A165" s="1">
        <v>774</v>
      </c>
      <c r="B165" s="25">
        <v>40578</v>
      </c>
      <c r="C165" s="1">
        <v>1</v>
      </c>
      <c r="D165" s="1">
        <v>0</v>
      </c>
      <c r="E165" s="1">
        <v>2</v>
      </c>
      <c r="F165" s="1">
        <v>16</v>
      </c>
      <c r="G165" s="1" t="b">
        <v>0</v>
      </c>
      <c r="H165" s="1">
        <v>5</v>
      </c>
      <c r="I165" s="1">
        <v>2</v>
      </c>
      <c r="J165" s="26">
        <v>0.3</v>
      </c>
      <c r="K165" s="26">
        <v>0.28789999999999999</v>
      </c>
      <c r="L165" s="27">
        <v>0.42</v>
      </c>
      <c r="M165" s="27">
        <v>0.22389999999999999</v>
      </c>
      <c r="N165" s="28">
        <v>8</v>
      </c>
      <c r="O165" s="1">
        <v>91</v>
      </c>
      <c r="P165" s="30">
        <v>99</v>
      </c>
      <c r="Q165" s="35"/>
      <c r="R165" s="32" t="str">
        <f t="shared" si="8"/>
        <v>04-Feb-2011</v>
      </c>
      <c r="S165" s="32" t="str">
        <f t="shared" si="9"/>
        <v>04</v>
      </c>
      <c r="T165" s="32" t="str">
        <f t="shared" si="10"/>
        <v>2011</v>
      </c>
      <c r="U165" s="32">
        <f t="shared" si="11"/>
        <v>11</v>
      </c>
    </row>
    <row r="166" spans="1:21" x14ac:dyDescent="0.35">
      <c r="A166" s="1">
        <v>775</v>
      </c>
      <c r="B166" s="25">
        <v>40578</v>
      </c>
      <c r="C166" s="1">
        <v>1</v>
      </c>
      <c r="D166" s="1">
        <v>0</v>
      </c>
      <c r="E166" s="1">
        <v>2</v>
      </c>
      <c r="F166" s="1">
        <v>17</v>
      </c>
      <c r="G166" s="1" t="b">
        <v>0</v>
      </c>
      <c r="H166" s="1">
        <v>5</v>
      </c>
      <c r="I166" s="1">
        <v>2</v>
      </c>
      <c r="J166" s="26">
        <v>0.26</v>
      </c>
      <c r="K166" s="26">
        <v>0.2727</v>
      </c>
      <c r="L166" s="27">
        <v>0.56000000000000005</v>
      </c>
      <c r="M166" s="27">
        <v>0.1343</v>
      </c>
      <c r="N166" s="28">
        <v>10</v>
      </c>
      <c r="O166" s="1">
        <v>195</v>
      </c>
      <c r="P166" s="30">
        <v>205</v>
      </c>
      <c r="Q166" s="35"/>
      <c r="R166" s="32" t="str">
        <f t="shared" si="8"/>
        <v>04-Feb-2011</v>
      </c>
      <c r="S166" s="32" t="str">
        <f t="shared" si="9"/>
        <v>04</v>
      </c>
      <c r="T166" s="32" t="str">
        <f t="shared" si="10"/>
        <v>2011</v>
      </c>
      <c r="U166" s="32">
        <f t="shared" si="11"/>
        <v>11</v>
      </c>
    </row>
    <row r="167" spans="1:21" x14ac:dyDescent="0.35">
      <c r="A167" s="1">
        <v>776</v>
      </c>
      <c r="B167" s="25">
        <v>40578</v>
      </c>
      <c r="C167" s="1">
        <v>1</v>
      </c>
      <c r="D167" s="1">
        <v>0</v>
      </c>
      <c r="E167" s="1">
        <v>2</v>
      </c>
      <c r="F167" s="1">
        <v>18</v>
      </c>
      <c r="G167" s="1" t="b">
        <v>0</v>
      </c>
      <c r="H167" s="1">
        <v>5</v>
      </c>
      <c r="I167" s="1">
        <v>2</v>
      </c>
      <c r="J167" s="26">
        <v>0.24</v>
      </c>
      <c r="K167" s="26">
        <v>0.2576</v>
      </c>
      <c r="L167" s="27">
        <v>0.6</v>
      </c>
      <c r="M167" s="27">
        <v>0.1045</v>
      </c>
      <c r="N167" s="28">
        <v>3</v>
      </c>
      <c r="O167" s="1">
        <v>152</v>
      </c>
      <c r="P167" s="30">
        <v>155</v>
      </c>
      <c r="Q167" s="35"/>
      <c r="R167" s="32" t="str">
        <f t="shared" si="8"/>
        <v>04-Feb-2011</v>
      </c>
      <c r="S167" s="32" t="str">
        <f t="shared" si="9"/>
        <v>04</v>
      </c>
      <c r="T167" s="32" t="str">
        <f t="shared" si="10"/>
        <v>2011</v>
      </c>
      <c r="U167" s="32">
        <f t="shared" si="11"/>
        <v>11</v>
      </c>
    </row>
    <row r="168" spans="1:21" x14ac:dyDescent="0.35">
      <c r="A168" s="1">
        <v>777</v>
      </c>
      <c r="B168" s="25">
        <v>40578</v>
      </c>
      <c r="C168" s="1">
        <v>1</v>
      </c>
      <c r="D168" s="1">
        <v>0</v>
      </c>
      <c r="E168" s="1">
        <v>2</v>
      </c>
      <c r="F168" s="1">
        <v>19</v>
      </c>
      <c r="G168" s="1" t="b">
        <v>0</v>
      </c>
      <c r="H168" s="1">
        <v>5</v>
      </c>
      <c r="I168" s="1">
        <v>2</v>
      </c>
      <c r="J168" s="26">
        <v>0.24</v>
      </c>
      <c r="K168" s="26">
        <v>0.2424</v>
      </c>
      <c r="L168" s="27">
        <v>0.65</v>
      </c>
      <c r="M168" s="27">
        <v>0.1343</v>
      </c>
      <c r="N168" s="28">
        <v>1</v>
      </c>
      <c r="O168" s="1">
        <v>102</v>
      </c>
      <c r="P168" s="30">
        <v>103</v>
      </c>
      <c r="Q168" s="35"/>
      <c r="R168" s="32" t="str">
        <f t="shared" si="8"/>
        <v>04-Feb-2011</v>
      </c>
      <c r="S168" s="32" t="str">
        <f t="shared" si="9"/>
        <v>04</v>
      </c>
      <c r="T168" s="32" t="str">
        <f t="shared" si="10"/>
        <v>2011</v>
      </c>
      <c r="U168" s="32">
        <f t="shared" si="11"/>
        <v>11</v>
      </c>
    </row>
    <row r="169" spans="1:21" x14ac:dyDescent="0.35">
      <c r="A169" s="1">
        <v>778</v>
      </c>
      <c r="B169" s="25">
        <v>40578</v>
      </c>
      <c r="C169" s="1">
        <v>1</v>
      </c>
      <c r="D169" s="1">
        <v>0</v>
      </c>
      <c r="E169" s="1">
        <v>2</v>
      </c>
      <c r="F169" s="1">
        <v>20</v>
      </c>
      <c r="G169" s="1" t="b">
        <v>0</v>
      </c>
      <c r="H169" s="1">
        <v>5</v>
      </c>
      <c r="I169" s="1">
        <v>2</v>
      </c>
      <c r="J169" s="26">
        <v>0.24</v>
      </c>
      <c r="K169" s="26">
        <v>0.2424</v>
      </c>
      <c r="L169" s="27">
        <v>0.65</v>
      </c>
      <c r="M169" s="27">
        <v>0.16420000000000001</v>
      </c>
      <c r="N169" s="28">
        <v>2</v>
      </c>
      <c r="O169" s="1">
        <v>69</v>
      </c>
      <c r="P169" s="30">
        <v>71</v>
      </c>
      <c r="Q169" s="35"/>
      <c r="R169" s="32" t="str">
        <f t="shared" si="8"/>
        <v>04-Feb-2011</v>
      </c>
      <c r="S169" s="32" t="str">
        <f t="shared" si="9"/>
        <v>04</v>
      </c>
      <c r="T169" s="32" t="str">
        <f t="shared" si="10"/>
        <v>2011</v>
      </c>
      <c r="U169" s="32">
        <f t="shared" si="11"/>
        <v>11</v>
      </c>
    </row>
    <row r="170" spans="1:21" x14ac:dyDescent="0.35">
      <c r="A170" s="1">
        <v>779</v>
      </c>
      <c r="B170" s="25">
        <v>40578</v>
      </c>
      <c r="C170" s="1">
        <v>1</v>
      </c>
      <c r="D170" s="1">
        <v>0</v>
      </c>
      <c r="E170" s="1">
        <v>2</v>
      </c>
      <c r="F170" s="1">
        <v>21</v>
      </c>
      <c r="G170" s="1" t="b">
        <v>0</v>
      </c>
      <c r="H170" s="1">
        <v>5</v>
      </c>
      <c r="I170" s="1">
        <v>2</v>
      </c>
      <c r="J170" s="26">
        <v>0.24</v>
      </c>
      <c r="K170" s="26">
        <v>0.2424</v>
      </c>
      <c r="L170" s="27">
        <v>0.7</v>
      </c>
      <c r="M170" s="27">
        <v>0.16420000000000001</v>
      </c>
      <c r="N170" s="28">
        <v>2</v>
      </c>
      <c r="O170" s="1">
        <v>41</v>
      </c>
      <c r="P170" s="30">
        <v>43</v>
      </c>
      <c r="Q170" s="35"/>
      <c r="R170" s="32" t="str">
        <f t="shared" si="8"/>
        <v>04-Feb-2011</v>
      </c>
      <c r="S170" s="32" t="str">
        <f t="shared" si="9"/>
        <v>04</v>
      </c>
      <c r="T170" s="32" t="str">
        <f t="shared" si="10"/>
        <v>2011</v>
      </c>
      <c r="U170" s="32">
        <f t="shared" si="11"/>
        <v>11</v>
      </c>
    </row>
    <row r="171" spans="1:21" x14ac:dyDescent="0.35">
      <c r="A171" s="1">
        <v>780</v>
      </c>
      <c r="B171" s="25">
        <v>40578</v>
      </c>
      <c r="C171" s="1">
        <v>1</v>
      </c>
      <c r="D171" s="1">
        <v>0</v>
      </c>
      <c r="E171" s="1">
        <v>2</v>
      </c>
      <c r="F171" s="1">
        <v>22</v>
      </c>
      <c r="G171" s="1" t="b">
        <v>0</v>
      </c>
      <c r="H171" s="1">
        <v>5</v>
      </c>
      <c r="I171" s="1">
        <v>2</v>
      </c>
      <c r="J171" s="26">
        <v>0.24</v>
      </c>
      <c r="K171" s="26">
        <v>0.2424</v>
      </c>
      <c r="L171" s="27">
        <v>0.65</v>
      </c>
      <c r="M171" s="27">
        <v>0.16420000000000001</v>
      </c>
      <c r="N171" s="28">
        <v>1</v>
      </c>
      <c r="O171" s="1">
        <v>45</v>
      </c>
      <c r="P171" s="30">
        <v>46</v>
      </c>
      <c r="Q171" s="35"/>
      <c r="R171" s="32" t="str">
        <f t="shared" si="8"/>
        <v>04-Feb-2011</v>
      </c>
      <c r="S171" s="32" t="str">
        <f t="shared" si="9"/>
        <v>04</v>
      </c>
      <c r="T171" s="32" t="str">
        <f t="shared" si="10"/>
        <v>2011</v>
      </c>
      <c r="U171" s="32">
        <f t="shared" si="11"/>
        <v>11</v>
      </c>
    </row>
    <row r="172" spans="1:21" x14ac:dyDescent="0.35">
      <c r="A172" s="1">
        <v>781</v>
      </c>
      <c r="B172" s="25">
        <v>40578</v>
      </c>
      <c r="C172" s="1">
        <v>1</v>
      </c>
      <c r="D172" s="1">
        <v>0</v>
      </c>
      <c r="E172" s="1">
        <v>2</v>
      </c>
      <c r="F172" s="1">
        <v>23</v>
      </c>
      <c r="G172" s="1" t="b">
        <v>0</v>
      </c>
      <c r="H172" s="1">
        <v>5</v>
      </c>
      <c r="I172" s="1">
        <v>2</v>
      </c>
      <c r="J172" s="26">
        <v>0.24</v>
      </c>
      <c r="K172" s="26">
        <v>0.2424</v>
      </c>
      <c r="L172" s="27">
        <v>0.7</v>
      </c>
      <c r="M172" s="27">
        <v>0.1343</v>
      </c>
      <c r="N172" s="28">
        <v>1</v>
      </c>
      <c r="O172" s="1">
        <v>30</v>
      </c>
      <c r="P172" s="30">
        <v>31</v>
      </c>
      <c r="Q172" s="35"/>
      <c r="R172" s="32" t="str">
        <f t="shared" si="8"/>
        <v>04-Feb-2011</v>
      </c>
      <c r="S172" s="32" t="str">
        <f t="shared" si="9"/>
        <v>04</v>
      </c>
      <c r="T172" s="32" t="str">
        <f t="shared" si="10"/>
        <v>2011</v>
      </c>
      <c r="U172" s="32">
        <f t="shared" si="11"/>
        <v>11</v>
      </c>
    </row>
    <row r="173" spans="1:21" x14ac:dyDescent="0.35">
      <c r="A173" s="1">
        <v>782</v>
      </c>
      <c r="B173" s="25">
        <v>40579</v>
      </c>
      <c r="C173" s="1">
        <v>1</v>
      </c>
      <c r="D173" s="1">
        <v>0</v>
      </c>
      <c r="E173" s="1">
        <v>2</v>
      </c>
      <c r="F173" s="1">
        <v>0</v>
      </c>
      <c r="G173" s="1" t="b">
        <v>0</v>
      </c>
      <c r="H173" s="1">
        <v>6</v>
      </c>
      <c r="I173" s="1">
        <v>2</v>
      </c>
      <c r="J173" s="26">
        <v>0.24</v>
      </c>
      <c r="K173" s="26">
        <v>0.2424</v>
      </c>
      <c r="L173" s="27">
        <v>0.7</v>
      </c>
      <c r="M173" s="27">
        <v>0.16420000000000001</v>
      </c>
      <c r="N173" s="28">
        <v>3</v>
      </c>
      <c r="O173" s="1">
        <v>36</v>
      </c>
      <c r="P173" s="30">
        <v>39</v>
      </c>
      <c r="Q173" s="35"/>
      <c r="R173" s="32" t="str">
        <f t="shared" si="8"/>
        <v>05-Feb-2011</v>
      </c>
      <c r="S173" s="32" t="str">
        <f t="shared" si="9"/>
        <v>05</v>
      </c>
      <c r="T173" s="32" t="str">
        <f t="shared" si="10"/>
        <v>2011</v>
      </c>
      <c r="U173" s="32">
        <f t="shared" si="11"/>
        <v>11</v>
      </c>
    </row>
    <row r="174" spans="1:21" x14ac:dyDescent="0.35">
      <c r="A174" s="1">
        <v>783</v>
      </c>
      <c r="B174" s="25">
        <v>40579</v>
      </c>
      <c r="C174" s="1">
        <v>1</v>
      </c>
      <c r="D174" s="1">
        <v>0</v>
      </c>
      <c r="E174" s="1">
        <v>2</v>
      </c>
      <c r="F174" s="1">
        <v>1</v>
      </c>
      <c r="G174" s="1" t="b">
        <v>0</v>
      </c>
      <c r="H174" s="1">
        <v>6</v>
      </c>
      <c r="I174" s="1">
        <v>2</v>
      </c>
      <c r="J174" s="26">
        <v>0.24</v>
      </c>
      <c r="K174" s="26">
        <v>0.2424</v>
      </c>
      <c r="L174" s="27">
        <v>0.65</v>
      </c>
      <c r="M174" s="27">
        <v>0.16420000000000001</v>
      </c>
      <c r="N174" s="28">
        <v>1</v>
      </c>
      <c r="O174" s="1">
        <v>17</v>
      </c>
      <c r="P174" s="30">
        <v>18</v>
      </c>
      <c r="Q174" s="35"/>
      <c r="R174" s="32" t="str">
        <f t="shared" si="8"/>
        <v>05-Feb-2011</v>
      </c>
      <c r="S174" s="32" t="str">
        <f t="shared" si="9"/>
        <v>05</v>
      </c>
      <c r="T174" s="32" t="str">
        <f t="shared" si="10"/>
        <v>2011</v>
      </c>
      <c r="U174" s="32">
        <f t="shared" si="11"/>
        <v>11</v>
      </c>
    </row>
    <row r="175" spans="1:21" x14ac:dyDescent="0.35">
      <c r="A175" s="1">
        <v>784</v>
      </c>
      <c r="B175" s="25">
        <v>40579</v>
      </c>
      <c r="C175" s="1">
        <v>1</v>
      </c>
      <c r="D175" s="1">
        <v>0</v>
      </c>
      <c r="E175" s="1">
        <v>2</v>
      </c>
      <c r="F175" s="1">
        <v>2</v>
      </c>
      <c r="G175" s="1" t="b">
        <v>0</v>
      </c>
      <c r="H175" s="1">
        <v>6</v>
      </c>
      <c r="I175" s="1">
        <v>2</v>
      </c>
      <c r="J175" s="26">
        <v>0.24</v>
      </c>
      <c r="K175" s="26">
        <v>0.2424</v>
      </c>
      <c r="L175" s="27">
        <v>0.75</v>
      </c>
      <c r="M175" s="27">
        <v>0.16420000000000001</v>
      </c>
      <c r="N175" s="28">
        <v>5</v>
      </c>
      <c r="O175" s="1">
        <v>12</v>
      </c>
      <c r="P175" s="30">
        <v>17</v>
      </c>
      <c r="Q175" s="35"/>
      <c r="R175" s="32" t="str">
        <f t="shared" si="8"/>
        <v>05-Feb-2011</v>
      </c>
      <c r="S175" s="32" t="str">
        <f t="shared" si="9"/>
        <v>05</v>
      </c>
      <c r="T175" s="32" t="str">
        <f t="shared" si="10"/>
        <v>2011</v>
      </c>
      <c r="U175" s="32">
        <f t="shared" si="11"/>
        <v>11</v>
      </c>
    </row>
    <row r="176" spans="1:21" x14ac:dyDescent="0.35">
      <c r="A176" s="1">
        <v>785</v>
      </c>
      <c r="B176" s="25">
        <v>40579</v>
      </c>
      <c r="C176" s="1">
        <v>1</v>
      </c>
      <c r="D176" s="1">
        <v>0</v>
      </c>
      <c r="E176" s="1">
        <v>2</v>
      </c>
      <c r="F176" s="1">
        <v>3</v>
      </c>
      <c r="G176" s="1" t="b">
        <v>0</v>
      </c>
      <c r="H176" s="1">
        <v>6</v>
      </c>
      <c r="I176" s="1">
        <v>2</v>
      </c>
      <c r="J176" s="26">
        <v>0.24</v>
      </c>
      <c r="K176" s="26">
        <v>0.2424</v>
      </c>
      <c r="L176" s="27">
        <v>0.75</v>
      </c>
      <c r="M176" s="27">
        <v>0.16420000000000001</v>
      </c>
      <c r="N176" s="28">
        <v>1</v>
      </c>
      <c r="O176" s="1">
        <v>10</v>
      </c>
      <c r="P176" s="30">
        <v>11</v>
      </c>
      <c r="Q176" s="35"/>
      <c r="R176" s="32" t="str">
        <f t="shared" si="8"/>
        <v>05-Feb-2011</v>
      </c>
      <c r="S176" s="32" t="str">
        <f t="shared" si="9"/>
        <v>05</v>
      </c>
      <c r="T176" s="32" t="str">
        <f t="shared" si="10"/>
        <v>2011</v>
      </c>
      <c r="U176" s="32">
        <f t="shared" si="11"/>
        <v>11</v>
      </c>
    </row>
    <row r="177" spans="1:21" x14ac:dyDescent="0.35">
      <c r="A177" s="1">
        <v>786</v>
      </c>
      <c r="B177" s="25">
        <v>40579</v>
      </c>
      <c r="C177" s="1">
        <v>1</v>
      </c>
      <c r="D177" s="1">
        <v>0</v>
      </c>
      <c r="E177" s="1">
        <v>2</v>
      </c>
      <c r="F177" s="1">
        <v>4</v>
      </c>
      <c r="G177" s="1" t="b">
        <v>0</v>
      </c>
      <c r="H177" s="1">
        <v>6</v>
      </c>
      <c r="I177" s="1">
        <v>3</v>
      </c>
      <c r="J177" s="26">
        <v>0.22</v>
      </c>
      <c r="K177" s="26">
        <v>0.2273</v>
      </c>
      <c r="L177" s="27">
        <v>0.93</v>
      </c>
      <c r="M177" s="27">
        <v>0.1343</v>
      </c>
      <c r="N177" s="28">
        <v>0</v>
      </c>
      <c r="O177" s="1">
        <v>8</v>
      </c>
      <c r="P177" s="30">
        <v>8</v>
      </c>
      <c r="Q177" s="35"/>
      <c r="R177" s="32" t="str">
        <f t="shared" si="8"/>
        <v>05-Feb-2011</v>
      </c>
      <c r="S177" s="32" t="str">
        <f t="shared" si="9"/>
        <v>05</v>
      </c>
      <c r="T177" s="32" t="str">
        <f t="shared" si="10"/>
        <v>2011</v>
      </c>
      <c r="U177" s="32">
        <f t="shared" si="11"/>
        <v>11</v>
      </c>
    </row>
    <row r="178" spans="1:21" x14ac:dyDescent="0.35">
      <c r="A178" s="1">
        <v>787</v>
      </c>
      <c r="B178" s="25">
        <v>40579</v>
      </c>
      <c r="C178" s="1">
        <v>1</v>
      </c>
      <c r="D178" s="1">
        <v>0</v>
      </c>
      <c r="E178" s="1">
        <v>2</v>
      </c>
      <c r="F178" s="1">
        <v>5</v>
      </c>
      <c r="G178" s="1" t="b">
        <v>0</v>
      </c>
      <c r="H178" s="1">
        <v>6</v>
      </c>
      <c r="I178" s="1">
        <v>3</v>
      </c>
      <c r="J178" s="26">
        <v>0.2</v>
      </c>
      <c r="K178" s="26">
        <v>0.2273</v>
      </c>
      <c r="L178" s="27">
        <v>1</v>
      </c>
      <c r="M178" s="27">
        <v>8.9599999999999999E-2</v>
      </c>
      <c r="N178" s="28">
        <v>0</v>
      </c>
      <c r="O178" s="1">
        <v>9</v>
      </c>
      <c r="P178" s="30">
        <v>9</v>
      </c>
      <c r="Q178" s="35"/>
      <c r="R178" s="32" t="str">
        <f t="shared" si="8"/>
        <v>05-Feb-2011</v>
      </c>
      <c r="S178" s="32" t="str">
        <f t="shared" si="9"/>
        <v>05</v>
      </c>
      <c r="T178" s="32" t="str">
        <f t="shared" si="10"/>
        <v>2011</v>
      </c>
      <c r="U178" s="32">
        <f t="shared" si="11"/>
        <v>11</v>
      </c>
    </row>
    <row r="179" spans="1:21" x14ac:dyDescent="0.35">
      <c r="A179" s="1">
        <v>788</v>
      </c>
      <c r="B179" s="25">
        <v>40579</v>
      </c>
      <c r="C179" s="1">
        <v>1</v>
      </c>
      <c r="D179" s="1">
        <v>0</v>
      </c>
      <c r="E179" s="1">
        <v>2</v>
      </c>
      <c r="F179" s="1">
        <v>6</v>
      </c>
      <c r="G179" s="1" t="b">
        <v>0</v>
      </c>
      <c r="H179" s="1">
        <v>6</v>
      </c>
      <c r="I179" s="1">
        <v>3</v>
      </c>
      <c r="J179" s="26">
        <v>0.2</v>
      </c>
      <c r="K179" s="26">
        <v>0.2576</v>
      </c>
      <c r="L179" s="27">
        <v>1</v>
      </c>
      <c r="M179" s="27">
        <v>0</v>
      </c>
      <c r="N179" s="28">
        <v>0</v>
      </c>
      <c r="O179" s="1">
        <v>4</v>
      </c>
      <c r="P179" s="30">
        <v>4</v>
      </c>
      <c r="Q179" s="35"/>
      <c r="R179" s="32" t="str">
        <f t="shared" si="8"/>
        <v>05-Feb-2011</v>
      </c>
      <c r="S179" s="32" t="str">
        <f t="shared" si="9"/>
        <v>05</v>
      </c>
      <c r="T179" s="32" t="str">
        <f t="shared" si="10"/>
        <v>2011</v>
      </c>
      <c r="U179" s="32">
        <f t="shared" si="11"/>
        <v>11</v>
      </c>
    </row>
    <row r="180" spans="1:21" x14ac:dyDescent="0.35">
      <c r="A180" s="1">
        <v>789</v>
      </c>
      <c r="B180" s="25">
        <v>40579</v>
      </c>
      <c r="C180" s="1">
        <v>1</v>
      </c>
      <c r="D180" s="1">
        <v>0</v>
      </c>
      <c r="E180" s="1">
        <v>2</v>
      </c>
      <c r="F180" s="1">
        <v>7</v>
      </c>
      <c r="G180" s="1" t="b">
        <v>0</v>
      </c>
      <c r="H180" s="1">
        <v>6</v>
      </c>
      <c r="I180" s="1">
        <v>3</v>
      </c>
      <c r="J180" s="26">
        <v>0.22</v>
      </c>
      <c r="K180" s="26">
        <v>0.2576</v>
      </c>
      <c r="L180" s="27">
        <v>0.93</v>
      </c>
      <c r="M180" s="27">
        <v>8.9599999999999999E-2</v>
      </c>
      <c r="N180" s="28">
        <v>0</v>
      </c>
      <c r="O180" s="1">
        <v>4</v>
      </c>
      <c r="P180" s="30">
        <v>4</v>
      </c>
      <c r="Q180" s="35"/>
      <c r="R180" s="32" t="str">
        <f t="shared" si="8"/>
        <v>05-Feb-2011</v>
      </c>
      <c r="S180" s="32" t="str">
        <f t="shared" si="9"/>
        <v>05</v>
      </c>
      <c r="T180" s="32" t="str">
        <f t="shared" si="10"/>
        <v>2011</v>
      </c>
      <c r="U180" s="32">
        <f t="shared" si="11"/>
        <v>11</v>
      </c>
    </row>
    <row r="181" spans="1:21" x14ac:dyDescent="0.35">
      <c r="A181" s="1">
        <v>790</v>
      </c>
      <c r="B181" s="25">
        <v>40579</v>
      </c>
      <c r="C181" s="1">
        <v>1</v>
      </c>
      <c r="D181" s="1">
        <v>0</v>
      </c>
      <c r="E181" s="1">
        <v>2</v>
      </c>
      <c r="F181" s="1">
        <v>8</v>
      </c>
      <c r="G181" s="1" t="b">
        <v>0</v>
      </c>
      <c r="H181" s="1">
        <v>6</v>
      </c>
      <c r="I181" s="1">
        <v>3</v>
      </c>
      <c r="J181" s="26">
        <v>0.2</v>
      </c>
      <c r="K181" s="26">
        <v>0.2273</v>
      </c>
      <c r="L181" s="27">
        <v>1</v>
      </c>
      <c r="M181" s="27">
        <v>8.9599999999999999E-2</v>
      </c>
      <c r="N181" s="28">
        <v>0</v>
      </c>
      <c r="O181" s="1">
        <v>10</v>
      </c>
      <c r="P181" s="30">
        <v>10</v>
      </c>
      <c r="Q181" s="35"/>
      <c r="R181" s="32" t="str">
        <f t="shared" si="8"/>
        <v>05-Feb-2011</v>
      </c>
      <c r="S181" s="32" t="str">
        <f t="shared" si="9"/>
        <v>05</v>
      </c>
      <c r="T181" s="32" t="str">
        <f t="shared" si="10"/>
        <v>2011</v>
      </c>
      <c r="U181" s="32">
        <f t="shared" si="11"/>
        <v>11</v>
      </c>
    </row>
    <row r="182" spans="1:21" x14ac:dyDescent="0.35">
      <c r="A182" s="1">
        <v>791</v>
      </c>
      <c r="B182" s="25">
        <v>40579</v>
      </c>
      <c r="C182" s="1">
        <v>1</v>
      </c>
      <c r="D182" s="1">
        <v>0</v>
      </c>
      <c r="E182" s="1">
        <v>2</v>
      </c>
      <c r="F182" s="1">
        <v>9</v>
      </c>
      <c r="G182" s="1" t="b">
        <v>0</v>
      </c>
      <c r="H182" s="1">
        <v>6</v>
      </c>
      <c r="I182" s="1">
        <v>3</v>
      </c>
      <c r="J182" s="26">
        <v>0.2</v>
      </c>
      <c r="K182" s="26">
        <v>0.2273</v>
      </c>
      <c r="L182" s="27">
        <v>1</v>
      </c>
      <c r="M182" s="27">
        <v>8.9599999999999999E-2</v>
      </c>
      <c r="N182" s="28">
        <v>3</v>
      </c>
      <c r="O182" s="1">
        <v>17</v>
      </c>
      <c r="P182" s="30">
        <v>20</v>
      </c>
      <c r="Q182" s="35"/>
      <c r="R182" s="32" t="str">
        <f t="shared" si="8"/>
        <v>05-Feb-2011</v>
      </c>
      <c r="S182" s="32" t="str">
        <f t="shared" si="9"/>
        <v>05</v>
      </c>
      <c r="T182" s="32" t="str">
        <f t="shared" si="10"/>
        <v>2011</v>
      </c>
      <c r="U182" s="32">
        <f t="shared" si="11"/>
        <v>11</v>
      </c>
    </row>
    <row r="183" spans="1:21" x14ac:dyDescent="0.35">
      <c r="A183" s="1">
        <v>792</v>
      </c>
      <c r="B183" s="25">
        <v>40579</v>
      </c>
      <c r="C183" s="1">
        <v>1</v>
      </c>
      <c r="D183" s="1">
        <v>0</v>
      </c>
      <c r="E183" s="1">
        <v>2</v>
      </c>
      <c r="F183" s="1">
        <v>10</v>
      </c>
      <c r="G183" s="1" t="b">
        <v>0</v>
      </c>
      <c r="H183" s="1">
        <v>6</v>
      </c>
      <c r="I183" s="1">
        <v>3</v>
      </c>
      <c r="J183" s="26">
        <v>0.2</v>
      </c>
      <c r="K183" s="26">
        <v>0.21210000000000001</v>
      </c>
      <c r="L183" s="27">
        <v>1</v>
      </c>
      <c r="M183" s="27">
        <v>0.1343</v>
      </c>
      <c r="N183" s="28">
        <v>3</v>
      </c>
      <c r="O183" s="1">
        <v>31</v>
      </c>
      <c r="P183" s="30">
        <v>34</v>
      </c>
      <c r="Q183" s="35"/>
      <c r="R183" s="32" t="str">
        <f t="shared" si="8"/>
        <v>05-Feb-2011</v>
      </c>
      <c r="S183" s="32" t="str">
        <f t="shared" si="9"/>
        <v>05</v>
      </c>
      <c r="T183" s="32" t="str">
        <f t="shared" si="10"/>
        <v>2011</v>
      </c>
      <c r="U183" s="32">
        <f t="shared" si="11"/>
        <v>11</v>
      </c>
    </row>
    <row r="184" spans="1:21" x14ac:dyDescent="0.35">
      <c r="A184" s="1">
        <v>793</v>
      </c>
      <c r="B184" s="25">
        <v>40579</v>
      </c>
      <c r="C184" s="1">
        <v>1</v>
      </c>
      <c r="D184" s="1">
        <v>0</v>
      </c>
      <c r="E184" s="1">
        <v>2</v>
      </c>
      <c r="F184" s="1">
        <v>11</v>
      </c>
      <c r="G184" s="1" t="b">
        <v>0</v>
      </c>
      <c r="H184" s="1">
        <v>6</v>
      </c>
      <c r="I184" s="1">
        <v>3</v>
      </c>
      <c r="J184" s="26">
        <v>0.22</v>
      </c>
      <c r="K184" s="26">
        <v>0.2273</v>
      </c>
      <c r="L184" s="27">
        <v>1</v>
      </c>
      <c r="M184" s="27">
        <v>0.1343</v>
      </c>
      <c r="N184" s="28">
        <v>1</v>
      </c>
      <c r="O184" s="1">
        <v>46</v>
      </c>
      <c r="P184" s="30">
        <v>47</v>
      </c>
      <c r="Q184" s="35"/>
      <c r="R184" s="32" t="str">
        <f t="shared" si="8"/>
        <v>05-Feb-2011</v>
      </c>
      <c r="S184" s="32" t="str">
        <f t="shared" si="9"/>
        <v>05</v>
      </c>
      <c r="T184" s="32" t="str">
        <f t="shared" si="10"/>
        <v>2011</v>
      </c>
      <c r="U184" s="32">
        <f t="shared" si="11"/>
        <v>11</v>
      </c>
    </row>
    <row r="185" spans="1:21" x14ac:dyDescent="0.35">
      <c r="A185" s="1">
        <v>794</v>
      </c>
      <c r="B185" s="25">
        <v>40579</v>
      </c>
      <c r="C185" s="1">
        <v>1</v>
      </c>
      <c r="D185" s="1">
        <v>0</v>
      </c>
      <c r="E185" s="1">
        <v>2</v>
      </c>
      <c r="F185" s="1">
        <v>12</v>
      </c>
      <c r="G185" s="1" t="b">
        <v>0</v>
      </c>
      <c r="H185" s="1">
        <v>6</v>
      </c>
      <c r="I185" s="1">
        <v>3</v>
      </c>
      <c r="J185" s="26">
        <v>0.22</v>
      </c>
      <c r="K185" s="26">
        <v>0.2273</v>
      </c>
      <c r="L185" s="27">
        <v>1</v>
      </c>
      <c r="M185" s="27">
        <v>0.16420000000000001</v>
      </c>
      <c r="N185" s="28">
        <v>10</v>
      </c>
      <c r="O185" s="1">
        <v>42</v>
      </c>
      <c r="P185" s="30">
        <v>52</v>
      </c>
      <c r="Q185" s="35"/>
      <c r="R185" s="32" t="str">
        <f t="shared" si="8"/>
        <v>05-Feb-2011</v>
      </c>
      <c r="S185" s="32" t="str">
        <f t="shared" si="9"/>
        <v>05</v>
      </c>
      <c r="T185" s="32" t="str">
        <f t="shared" si="10"/>
        <v>2011</v>
      </c>
      <c r="U185" s="32">
        <f t="shared" si="11"/>
        <v>11</v>
      </c>
    </row>
    <row r="186" spans="1:21" x14ac:dyDescent="0.35">
      <c r="A186" s="1">
        <v>795</v>
      </c>
      <c r="B186" s="25">
        <v>40579</v>
      </c>
      <c r="C186" s="1">
        <v>1</v>
      </c>
      <c r="D186" s="1">
        <v>0</v>
      </c>
      <c r="E186" s="1">
        <v>2</v>
      </c>
      <c r="F186" s="1">
        <v>13</v>
      </c>
      <c r="G186" s="1" t="b">
        <v>0</v>
      </c>
      <c r="H186" s="1">
        <v>6</v>
      </c>
      <c r="I186" s="1">
        <v>3</v>
      </c>
      <c r="J186" s="26">
        <v>0.22</v>
      </c>
      <c r="K186" s="26">
        <v>0.2273</v>
      </c>
      <c r="L186" s="27">
        <v>1</v>
      </c>
      <c r="M186" s="27">
        <v>0.16420000000000001</v>
      </c>
      <c r="N186" s="28">
        <v>10</v>
      </c>
      <c r="O186" s="1">
        <v>62</v>
      </c>
      <c r="P186" s="30">
        <v>72</v>
      </c>
      <c r="Q186" s="35"/>
      <c r="R186" s="32" t="str">
        <f t="shared" si="8"/>
        <v>05-Feb-2011</v>
      </c>
      <c r="S186" s="32" t="str">
        <f t="shared" si="9"/>
        <v>05</v>
      </c>
      <c r="T186" s="32" t="str">
        <f t="shared" si="10"/>
        <v>2011</v>
      </c>
      <c r="U186" s="32">
        <f t="shared" si="11"/>
        <v>11</v>
      </c>
    </row>
    <row r="187" spans="1:21" x14ac:dyDescent="0.35">
      <c r="A187" s="1">
        <v>796</v>
      </c>
      <c r="B187" s="25">
        <v>40579</v>
      </c>
      <c r="C187" s="1">
        <v>1</v>
      </c>
      <c r="D187" s="1">
        <v>0</v>
      </c>
      <c r="E187" s="1">
        <v>2</v>
      </c>
      <c r="F187" s="1">
        <v>14</v>
      </c>
      <c r="G187" s="1" t="b">
        <v>0</v>
      </c>
      <c r="H187" s="1">
        <v>6</v>
      </c>
      <c r="I187" s="1">
        <v>3</v>
      </c>
      <c r="J187" s="26">
        <v>0.22</v>
      </c>
      <c r="K187" s="26">
        <v>0.2727</v>
      </c>
      <c r="L187" s="27">
        <v>1</v>
      </c>
      <c r="M187" s="27">
        <v>0</v>
      </c>
      <c r="N187" s="28">
        <v>5</v>
      </c>
      <c r="O187" s="1">
        <v>50</v>
      </c>
      <c r="P187" s="30">
        <v>55</v>
      </c>
      <c r="Q187" s="35"/>
      <c r="R187" s="32" t="str">
        <f t="shared" si="8"/>
        <v>05-Feb-2011</v>
      </c>
      <c r="S187" s="32" t="str">
        <f t="shared" si="9"/>
        <v>05</v>
      </c>
      <c r="T187" s="32" t="str">
        <f t="shared" si="10"/>
        <v>2011</v>
      </c>
      <c r="U187" s="32">
        <f t="shared" si="11"/>
        <v>11</v>
      </c>
    </row>
    <row r="188" spans="1:21" x14ac:dyDescent="0.35">
      <c r="A188" s="1">
        <v>797</v>
      </c>
      <c r="B188" s="25">
        <v>40579</v>
      </c>
      <c r="C188" s="1">
        <v>1</v>
      </c>
      <c r="D188" s="1">
        <v>0</v>
      </c>
      <c r="E188" s="1">
        <v>2</v>
      </c>
      <c r="F188" s="1">
        <v>15</v>
      </c>
      <c r="G188" s="1" t="b">
        <v>0</v>
      </c>
      <c r="H188" s="1">
        <v>6</v>
      </c>
      <c r="I188" s="1">
        <v>3</v>
      </c>
      <c r="J188" s="26">
        <v>0.22</v>
      </c>
      <c r="K188" s="26">
        <v>0.2727</v>
      </c>
      <c r="L188" s="27">
        <v>1</v>
      </c>
      <c r="M188" s="27">
        <v>0</v>
      </c>
      <c r="N188" s="28">
        <v>11</v>
      </c>
      <c r="O188" s="1">
        <v>49</v>
      </c>
      <c r="P188" s="30">
        <v>60</v>
      </c>
      <c r="Q188" s="35"/>
      <c r="R188" s="32" t="str">
        <f t="shared" si="8"/>
        <v>05-Feb-2011</v>
      </c>
      <c r="S188" s="32" t="str">
        <f t="shared" si="9"/>
        <v>05</v>
      </c>
      <c r="T188" s="32" t="str">
        <f t="shared" si="10"/>
        <v>2011</v>
      </c>
      <c r="U188" s="32">
        <f t="shared" si="11"/>
        <v>11</v>
      </c>
    </row>
    <row r="189" spans="1:21" x14ac:dyDescent="0.35">
      <c r="A189" s="1">
        <v>798</v>
      </c>
      <c r="B189" s="25">
        <v>40579</v>
      </c>
      <c r="C189" s="1">
        <v>1</v>
      </c>
      <c r="D189" s="1">
        <v>0</v>
      </c>
      <c r="E189" s="1">
        <v>2</v>
      </c>
      <c r="F189" s="1">
        <v>16</v>
      </c>
      <c r="G189" s="1" t="b">
        <v>0</v>
      </c>
      <c r="H189" s="1">
        <v>6</v>
      </c>
      <c r="I189" s="1">
        <v>3</v>
      </c>
      <c r="J189" s="26">
        <v>0.22</v>
      </c>
      <c r="K189" s="26">
        <v>0.2273</v>
      </c>
      <c r="L189" s="27">
        <v>1</v>
      </c>
      <c r="M189" s="27">
        <v>0.1343</v>
      </c>
      <c r="N189" s="28">
        <v>8</v>
      </c>
      <c r="O189" s="1">
        <v>63</v>
      </c>
      <c r="P189" s="30">
        <v>71</v>
      </c>
      <c r="Q189" s="35"/>
      <c r="R189" s="32" t="str">
        <f t="shared" si="8"/>
        <v>05-Feb-2011</v>
      </c>
      <c r="S189" s="32" t="str">
        <f t="shared" si="9"/>
        <v>05</v>
      </c>
      <c r="T189" s="32" t="str">
        <f t="shared" si="10"/>
        <v>2011</v>
      </c>
      <c r="U189" s="32">
        <f t="shared" si="11"/>
        <v>11</v>
      </c>
    </row>
    <row r="190" spans="1:21" x14ac:dyDescent="0.35">
      <c r="A190" s="1">
        <v>799</v>
      </c>
      <c r="B190" s="25">
        <v>40579</v>
      </c>
      <c r="C190" s="1">
        <v>1</v>
      </c>
      <c r="D190" s="1">
        <v>0</v>
      </c>
      <c r="E190" s="1">
        <v>2</v>
      </c>
      <c r="F190" s="1">
        <v>17</v>
      </c>
      <c r="G190" s="1" t="b">
        <v>0</v>
      </c>
      <c r="H190" s="1">
        <v>6</v>
      </c>
      <c r="I190" s="1">
        <v>2</v>
      </c>
      <c r="J190" s="26">
        <v>0.24</v>
      </c>
      <c r="K190" s="26">
        <v>0.21210000000000001</v>
      </c>
      <c r="L190" s="27">
        <v>1</v>
      </c>
      <c r="M190" s="27">
        <v>0.28360000000000002</v>
      </c>
      <c r="N190" s="28">
        <v>14</v>
      </c>
      <c r="O190" s="1">
        <v>64</v>
      </c>
      <c r="P190" s="30">
        <v>78</v>
      </c>
      <c r="Q190" s="35"/>
      <c r="R190" s="32" t="str">
        <f t="shared" si="8"/>
        <v>05-Feb-2011</v>
      </c>
      <c r="S190" s="32" t="str">
        <f t="shared" si="9"/>
        <v>05</v>
      </c>
      <c r="T190" s="32" t="str">
        <f t="shared" si="10"/>
        <v>2011</v>
      </c>
      <c r="U190" s="32">
        <f t="shared" si="11"/>
        <v>11</v>
      </c>
    </row>
    <row r="191" spans="1:21" x14ac:dyDescent="0.35">
      <c r="A191" s="1">
        <v>800</v>
      </c>
      <c r="B191" s="25">
        <v>40579</v>
      </c>
      <c r="C191" s="1">
        <v>1</v>
      </c>
      <c r="D191" s="1">
        <v>0</v>
      </c>
      <c r="E191" s="1">
        <v>2</v>
      </c>
      <c r="F191" s="1">
        <v>18</v>
      </c>
      <c r="G191" s="1" t="b">
        <v>0</v>
      </c>
      <c r="H191" s="1">
        <v>6</v>
      </c>
      <c r="I191" s="1">
        <v>2</v>
      </c>
      <c r="J191" s="26">
        <v>0.28000000000000003</v>
      </c>
      <c r="K191" s="26">
        <v>0.2424</v>
      </c>
      <c r="L191" s="27">
        <v>0.93</v>
      </c>
      <c r="M191" s="27">
        <v>0.44779999999999998</v>
      </c>
      <c r="N191" s="28">
        <v>2</v>
      </c>
      <c r="O191" s="1">
        <v>81</v>
      </c>
      <c r="P191" s="30">
        <v>83</v>
      </c>
      <c r="Q191" s="35"/>
      <c r="R191" s="32" t="str">
        <f t="shared" si="8"/>
        <v>05-Feb-2011</v>
      </c>
      <c r="S191" s="32" t="str">
        <f t="shared" si="9"/>
        <v>05</v>
      </c>
      <c r="T191" s="32" t="str">
        <f t="shared" si="10"/>
        <v>2011</v>
      </c>
      <c r="U191" s="32">
        <f t="shared" si="11"/>
        <v>11</v>
      </c>
    </row>
    <row r="192" spans="1:21" x14ac:dyDescent="0.35">
      <c r="A192" s="1">
        <v>801</v>
      </c>
      <c r="B192" s="25">
        <v>40579</v>
      </c>
      <c r="C192" s="1">
        <v>1</v>
      </c>
      <c r="D192" s="1">
        <v>0</v>
      </c>
      <c r="E192" s="1">
        <v>2</v>
      </c>
      <c r="F192" s="1">
        <v>19</v>
      </c>
      <c r="G192" s="1" t="b">
        <v>0</v>
      </c>
      <c r="H192" s="1">
        <v>6</v>
      </c>
      <c r="I192" s="1">
        <v>2</v>
      </c>
      <c r="J192" s="26">
        <v>0.28000000000000003</v>
      </c>
      <c r="K192" s="26">
        <v>0.2424</v>
      </c>
      <c r="L192" s="27">
        <v>0.93</v>
      </c>
      <c r="M192" s="27">
        <v>0.44779999999999998</v>
      </c>
      <c r="N192" s="28">
        <v>6</v>
      </c>
      <c r="O192" s="1">
        <v>78</v>
      </c>
      <c r="P192" s="30">
        <v>84</v>
      </c>
      <c r="Q192" s="35"/>
      <c r="R192" s="32" t="str">
        <f t="shared" si="8"/>
        <v>05-Feb-2011</v>
      </c>
      <c r="S192" s="32" t="str">
        <f t="shared" si="9"/>
        <v>05</v>
      </c>
      <c r="T192" s="32" t="str">
        <f t="shared" si="10"/>
        <v>2011</v>
      </c>
      <c r="U192" s="32">
        <f t="shared" si="11"/>
        <v>11</v>
      </c>
    </row>
    <row r="193" spans="1:21" x14ac:dyDescent="0.35">
      <c r="A193" s="1">
        <v>802</v>
      </c>
      <c r="B193" s="25">
        <v>40579</v>
      </c>
      <c r="C193" s="1">
        <v>1</v>
      </c>
      <c r="D193" s="1">
        <v>0</v>
      </c>
      <c r="E193" s="1">
        <v>2</v>
      </c>
      <c r="F193" s="1">
        <v>20</v>
      </c>
      <c r="G193" s="1" t="b">
        <v>0</v>
      </c>
      <c r="H193" s="1">
        <v>6</v>
      </c>
      <c r="I193" s="1">
        <v>1</v>
      </c>
      <c r="J193" s="26">
        <v>0.3</v>
      </c>
      <c r="K193" s="26">
        <v>0.28789999999999999</v>
      </c>
      <c r="L193" s="27">
        <v>0.87</v>
      </c>
      <c r="M193" s="27">
        <v>0.25369999999999998</v>
      </c>
      <c r="N193" s="28">
        <v>5</v>
      </c>
      <c r="O193" s="1">
        <v>64</v>
      </c>
      <c r="P193" s="30">
        <v>69</v>
      </c>
      <c r="Q193" s="35"/>
      <c r="R193" s="32" t="str">
        <f t="shared" si="8"/>
        <v>05-Feb-2011</v>
      </c>
      <c r="S193" s="32" t="str">
        <f t="shared" si="9"/>
        <v>05</v>
      </c>
      <c r="T193" s="32" t="str">
        <f t="shared" si="10"/>
        <v>2011</v>
      </c>
      <c r="U193" s="32">
        <f t="shared" si="11"/>
        <v>11</v>
      </c>
    </row>
    <row r="194" spans="1:21" x14ac:dyDescent="0.35">
      <c r="A194" s="1">
        <v>803</v>
      </c>
      <c r="B194" s="25">
        <v>40579</v>
      </c>
      <c r="C194" s="1">
        <v>1</v>
      </c>
      <c r="D194" s="1">
        <v>0</v>
      </c>
      <c r="E194" s="1">
        <v>2</v>
      </c>
      <c r="F194" s="1">
        <v>21</v>
      </c>
      <c r="G194" s="1" t="b">
        <v>0</v>
      </c>
      <c r="H194" s="1">
        <v>6</v>
      </c>
      <c r="I194" s="1">
        <v>1</v>
      </c>
      <c r="J194" s="26">
        <v>0.26</v>
      </c>
      <c r="K194" s="26">
        <v>0.2576</v>
      </c>
      <c r="L194" s="27">
        <v>1</v>
      </c>
      <c r="M194" s="27">
        <v>0.19400000000000001</v>
      </c>
      <c r="N194" s="28">
        <v>3</v>
      </c>
      <c r="O194" s="1">
        <v>53</v>
      </c>
      <c r="P194" s="30">
        <v>56</v>
      </c>
      <c r="Q194" s="35"/>
      <c r="R194" s="32" t="str">
        <f t="shared" ref="R194:R257" si="12">TEXT(B194,"dd-mmm-yyyy")</f>
        <v>05-Feb-2011</v>
      </c>
      <c r="S194" s="32" t="str">
        <f t="shared" si="9"/>
        <v>05</v>
      </c>
      <c r="T194" s="32" t="str">
        <f t="shared" si="10"/>
        <v>2011</v>
      </c>
      <c r="U194" s="32">
        <f t="shared" si="11"/>
        <v>11</v>
      </c>
    </row>
    <row r="195" spans="1:21" x14ac:dyDescent="0.35">
      <c r="A195" s="1">
        <v>804</v>
      </c>
      <c r="B195" s="25">
        <v>40579</v>
      </c>
      <c r="C195" s="1">
        <v>1</v>
      </c>
      <c r="D195" s="1">
        <v>0</v>
      </c>
      <c r="E195" s="1">
        <v>2</v>
      </c>
      <c r="F195" s="1">
        <v>22</v>
      </c>
      <c r="G195" s="1" t="b">
        <v>0</v>
      </c>
      <c r="H195" s="1">
        <v>6</v>
      </c>
      <c r="I195" s="1">
        <v>1</v>
      </c>
      <c r="J195" s="26">
        <v>0.26</v>
      </c>
      <c r="K195" s="26">
        <v>0.2727</v>
      </c>
      <c r="L195" s="27">
        <v>0.93</v>
      </c>
      <c r="M195" s="27">
        <v>0.1343</v>
      </c>
      <c r="N195" s="28">
        <v>2</v>
      </c>
      <c r="O195" s="1">
        <v>43</v>
      </c>
      <c r="P195" s="30">
        <v>45</v>
      </c>
      <c r="Q195" s="35"/>
      <c r="R195" s="32" t="str">
        <f t="shared" si="12"/>
        <v>05-Feb-2011</v>
      </c>
      <c r="S195" s="32" t="str">
        <f t="shared" ref="S195:S258" si="13">LEFT(R195,2)</f>
        <v>05</v>
      </c>
      <c r="T195" s="32" t="str">
        <f t="shared" ref="T195:T258" si="14">RIGHT(R195,4)</f>
        <v>2011</v>
      </c>
      <c r="U195" s="32">
        <f t="shared" ref="U195:U258" si="15">LEN(R195)</f>
        <v>11</v>
      </c>
    </row>
    <row r="196" spans="1:21" x14ac:dyDescent="0.35">
      <c r="A196" s="1">
        <v>805</v>
      </c>
      <c r="B196" s="25">
        <v>40579</v>
      </c>
      <c r="C196" s="1">
        <v>1</v>
      </c>
      <c r="D196" s="1">
        <v>0</v>
      </c>
      <c r="E196" s="1">
        <v>2</v>
      </c>
      <c r="F196" s="1">
        <v>23</v>
      </c>
      <c r="G196" s="1" t="b">
        <v>0</v>
      </c>
      <c r="H196" s="1">
        <v>6</v>
      </c>
      <c r="I196" s="1">
        <v>1</v>
      </c>
      <c r="J196" s="26">
        <v>0.26</v>
      </c>
      <c r="K196" s="26">
        <v>0.2576</v>
      </c>
      <c r="L196" s="27">
        <v>0.93</v>
      </c>
      <c r="M196" s="27">
        <v>0.22389999999999999</v>
      </c>
      <c r="N196" s="28">
        <v>7</v>
      </c>
      <c r="O196" s="1">
        <v>52</v>
      </c>
      <c r="P196" s="30">
        <v>59</v>
      </c>
      <c r="Q196" s="35"/>
      <c r="R196" s="32" t="str">
        <f t="shared" si="12"/>
        <v>05-Feb-2011</v>
      </c>
      <c r="S196" s="32" t="str">
        <f t="shared" si="13"/>
        <v>05</v>
      </c>
      <c r="T196" s="32" t="str">
        <f t="shared" si="14"/>
        <v>2011</v>
      </c>
      <c r="U196" s="32">
        <f t="shared" si="15"/>
        <v>11</v>
      </c>
    </row>
    <row r="197" spans="1:21" x14ac:dyDescent="0.35">
      <c r="A197" s="1">
        <v>806</v>
      </c>
      <c r="B197" s="25">
        <v>40580</v>
      </c>
      <c r="C197" s="1">
        <v>1</v>
      </c>
      <c r="D197" s="1">
        <v>0</v>
      </c>
      <c r="E197" s="1">
        <v>2</v>
      </c>
      <c r="F197" s="1">
        <v>0</v>
      </c>
      <c r="G197" s="1" t="b">
        <v>0</v>
      </c>
      <c r="H197" s="1">
        <v>0</v>
      </c>
      <c r="I197" s="1">
        <v>1</v>
      </c>
      <c r="J197" s="26">
        <v>0.26</v>
      </c>
      <c r="K197" s="26">
        <v>0.2576</v>
      </c>
      <c r="L197" s="27">
        <v>0.7</v>
      </c>
      <c r="M197" s="27">
        <v>0.19400000000000001</v>
      </c>
      <c r="N197" s="28">
        <v>2</v>
      </c>
      <c r="O197" s="1">
        <v>37</v>
      </c>
      <c r="P197" s="30">
        <v>39</v>
      </c>
      <c r="Q197" s="35"/>
      <c r="R197" s="32" t="str">
        <f t="shared" si="12"/>
        <v>06-Feb-2011</v>
      </c>
      <c r="S197" s="32" t="str">
        <f t="shared" si="13"/>
        <v>06</v>
      </c>
      <c r="T197" s="32" t="str">
        <f t="shared" si="14"/>
        <v>2011</v>
      </c>
      <c r="U197" s="32">
        <f t="shared" si="15"/>
        <v>11</v>
      </c>
    </row>
    <row r="198" spans="1:21" x14ac:dyDescent="0.35">
      <c r="A198" s="1">
        <v>807</v>
      </c>
      <c r="B198" s="25">
        <v>40580</v>
      </c>
      <c r="C198" s="1">
        <v>1</v>
      </c>
      <c r="D198" s="1">
        <v>0</v>
      </c>
      <c r="E198" s="1">
        <v>2</v>
      </c>
      <c r="F198" s="1">
        <v>1</v>
      </c>
      <c r="G198" s="1" t="b">
        <v>0</v>
      </c>
      <c r="H198" s="1">
        <v>0</v>
      </c>
      <c r="I198" s="1">
        <v>1</v>
      </c>
      <c r="J198" s="26">
        <v>0.26</v>
      </c>
      <c r="K198" s="26">
        <v>0.2273</v>
      </c>
      <c r="L198" s="27">
        <v>0.65</v>
      </c>
      <c r="M198" s="27">
        <v>0.41789999999999999</v>
      </c>
      <c r="N198" s="28">
        <v>4</v>
      </c>
      <c r="O198" s="1">
        <v>40</v>
      </c>
      <c r="P198" s="30">
        <v>44</v>
      </c>
      <c r="Q198" s="35"/>
      <c r="R198" s="32" t="str">
        <f t="shared" si="12"/>
        <v>06-Feb-2011</v>
      </c>
      <c r="S198" s="32" t="str">
        <f t="shared" si="13"/>
        <v>06</v>
      </c>
      <c r="T198" s="32" t="str">
        <f t="shared" si="14"/>
        <v>2011</v>
      </c>
      <c r="U198" s="32">
        <f t="shared" si="15"/>
        <v>11</v>
      </c>
    </row>
    <row r="199" spans="1:21" x14ac:dyDescent="0.35">
      <c r="A199" s="1">
        <v>808</v>
      </c>
      <c r="B199" s="25">
        <v>40580</v>
      </c>
      <c r="C199" s="1">
        <v>1</v>
      </c>
      <c r="D199" s="1">
        <v>0</v>
      </c>
      <c r="E199" s="1">
        <v>2</v>
      </c>
      <c r="F199" s="1">
        <v>2</v>
      </c>
      <c r="G199" s="1" t="b">
        <v>0</v>
      </c>
      <c r="H199" s="1">
        <v>0</v>
      </c>
      <c r="I199" s="1">
        <v>1</v>
      </c>
      <c r="J199" s="26">
        <v>0.26</v>
      </c>
      <c r="K199" s="26">
        <v>0.2273</v>
      </c>
      <c r="L199" s="27">
        <v>0.6</v>
      </c>
      <c r="M199" s="27">
        <v>0.32840000000000003</v>
      </c>
      <c r="N199" s="28">
        <v>0</v>
      </c>
      <c r="O199" s="1">
        <v>20</v>
      </c>
      <c r="P199" s="30">
        <v>20</v>
      </c>
      <c r="Q199" s="35"/>
      <c r="R199" s="32" t="str">
        <f t="shared" si="12"/>
        <v>06-Feb-2011</v>
      </c>
      <c r="S199" s="32" t="str">
        <f t="shared" si="13"/>
        <v>06</v>
      </c>
      <c r="T199" s="32" t="str">
        <f t="shared" si="14"/>
        <v>2011</v>
      </c>
      <c r="U199" s="32">
        <f t="shared" si="15"/>
        <v>11</v>
      </c>
    </row>
    <row r="200" spans="1:21" x14ac:dyDescent="0.35">
      <c r="A200" s="1">
        <v>809</v>
      </c>
      <c r="B200" s="25">
        <v>40580</v>
      </c>
      <c r="C200" s="1">
        <v>1</v>
      </c>
      <c r="D200" s="1">
        <v>0</v>
      </c>
      <c r="E200" s="1">
        <v>2</v>
      </c>
      <c r="F200" s="1">
        <v>3</v>
      </c>
      <c r="G200" s="1" t="b">
        <v>0</v>
      </c>
      <c r="H200" s="1">
        <v>0</v>
      </c>
      <c r="I200" s="1">
        <v>1</v>
      </c>
      <c r="J200" s="26">
        <v>0.26</v>
      </c>
      <c r="K200" s="26">
        <v>0.28789999999999999</v>
      </c>
      <c r="L200" s="27">
        <v>0.6</v>
      </c>
      <c r="M200" s="27">
        <v>8.9599999999999999E-2</v>
      </c>
      <c r="N200" s="28">
        <v>3</v>
      </c>
      <c r="O200" s="1">
        <v>10</v>
      </c>
      <c r="P200" s="30">
        <v>13</v>
      </c>
      <c r="Q200" s="35"/>
      <c r="R200" s="32" t="str">
        <f t="shared" si="12"/>
        <v>06-Feb-2011</v>
      </c>
      <c r="S200" s="32" t="str">
        <f t="shared" si="13"/>
        <v>06</v>
      </c>
      <c r="T200" s="32" t="str">
        <f t="shared" si="14"/>
        <v>2011</v>
      </c>
      <c r="U200" s="32">
        <f t="shared" si="15"/>
        <v>11</v>
      </c>
    </row>
    <row r="201" spans="1:21" x14ac:dyDescent="0.35">
      <c r="A201" s="1">
        <v>810</v>
      </c>
      <c r="B201" s="25">
        <v>40580</v>
      </c>
      <c r="C201" s="1">
        <v>1</v>
      </c>
      <c r="D201" s="1">
        <v>0</v>
      </c>
      <c r="E201" s="1">
        <v>2</v>
      </c>
      <c r="F201" s="1">
        <v>4</v>
      </c>
      <c r="G201" s="1" t="b">
        <v>0</v>
      </c>
      <c r="H201" s="1">
        <v>0</v>
      </c>
      <c r="I201" s="1">
        <v>1</v>
      </c>
      <c r="J201" s="26">
        <v>0.26</v>
      </c>
      <c r="K201" s="26">
        <v>0.2273</v>
      </c>
      <c r="L201" s="27">
        <v>0.6</v>
      </c>
      <c r="M201" s="27">
        <v>0.35820000000000002</v>
      </c>
      <c r="N201" s="28">
        <v>0</v>
      </c>
      <c r="O201" s="1">
        <v>2</v>
      </c>
      <c r="P201" s="30">
        <v>2</v>
      </c>
      <c r="Q201" s="35"/>
      <c r="R201" s="32" t="str">
        <f t="shared" si="12"/>
        <v>06-Feb-2011</v>
      </c>
      <c r="S201" s="32" t="str">
        <f t="shared" si="13"/>
        <v>06</v>
      </c>
      <c r="T201" s="32" t="str">
        <f t="shared" si="14"/>
        <v>2011</v>
      </c>
      <c r="U201" s="32">
        <f t="shared" si="15"/>
        <v>11</v>
      </c>
    </row>
    <row r="202" spans="1:21" x14ac:dyDescent="0.35">
      <c r="A202" s="1">
        <v>811</v>
      </c>
      <c r="B202" s="25">
        <v>40580</v>
      </c>
      <c r="C202" s="1">
        <v>1</v>
      </c>
      <c r="D202" s="1">
        <v>0</v>
      </c>
      <c r="E202" s="1">
        <v>2</v>
      </c>
      <c r="F202" s="1">
        <v>5</v>
      </c>
      <c r="G202" s="1" t="b">
        <v>0</v>
      </c>
      <c r="H202" s="1">
        <v>0</v>
      </c>
      <c r="I202" s="1">
        <v>1</v>
      </c>
      <c r="J202" s="26">
        <v>0.26</v>
      </c>
      <c r="K202" s="26">
        <v>0.2576</v>
      </c>
      <c r="L202" s="27">
        <v>0.6</v>
      </c>
      <c r="M202" s="27">
        <v>0.22389999999999999</v>
      </c>
      <c r="N202" s="28">
        <v>0</v>
      </c>
      <c r="O202" s="1">
        <v>1</v>
      </c>
      <c r="P202" s="30">
        <v>1</v>
      </c>
      <c r="Q202" s="35"/>
      <c r="R202" s="32" t="str">
        <f t="shared" si="12"/>
        <v>06-Feb-2011</v>
      </c>
      <c r="S202" s="32" t="str">
        <f t="shared" si="13"/>
        <v>06</v>
      </c>
      <c r="T202" s="32" t="str">
        <f t="shared" si="14"/>
        <v>2011</v>
      </c>
      <c r="U202" s="32">
        <f t="shared" si="15"/>
        <v>11</v>
      </c>
    </row>
    <row r="203" spans="1:21" x14ac:dyDescent="0.35">
      <c r="A203" s="1">
        <v>812</v>
      </c>
      <c r="B203" s="25">
        <v>40580</v>
      </c>
      <c r="C203" s="1">
        <v>1</v>
      </c>
      <c r="D203" s="1">
        <v>0</v>
      </c>
      <c r="E203" s="1">
        <v>2</v>
      </c>
      <c r="F203" s="1">
        <v>6</v>
      </c>
      <c r="G203" s="1" t="b">
        <v>0</v>
      </c>
      <c r="H203" s="1">
        <v>0</v>
      </c>
      <c r="I203" s="1">
        <v>1</v>
      </c>
      <c r="J203" s="26">
        <v>0.26</v>
      </c>
      <c r="K203" s="26">
        <v>0.2576</v>
      </c>
      <c r="L203" s="27">
        <v>0.6</v>
      </c>
      <c r="M203" s="27">
        <v>0.22389999999999999</v>
      </c>
      <c r="N203" s="28">
        <v>0</v>
      </c>
      <c r="O203" s="1">
        <v>1</v>
      </c>
      <c r="P203" s="30">
        <v>1</v>
      </c>
      <c r="Q203" s="35"/>
      <c r="R203" s="32" t="str">
        <f t="shared" si="12"/>
        <v>06-Feb-2011</v>
      </c>
      <c r="S203" s="32" t="str">
        <f t="shared" si="13"/>
        <v>06</v>
      </c>
      <c r="T203" s="32" t="str">
        <f t="shared" si="14"/>
        <v>2011</v>
      </c>
      <c r="U203" s="32">
        <f t="shared" si="15"/>
        <v>11</v>
      </c>
    </row>
    <row r="204" spans="1:21" x14ac:dyDescent="0.35">
      <c r="A204" s="1">
        <v>813</v>
      </c>
      <c r="B204" s="25">
        <v>40580</v>
      </c>
      <c r="C204" s="1">
        <v>1</v>
      </c>
      <c r="D204" s="1">
        <v>0</v>
      </c>
      <c r="E204" s="1">
        <v>2</v>
      </c>
      <c r="F204" s="1">
        <v>7</v>
      </c>
      <c r="G204" s="1" t="b">
        <v>0</v>
      </c>
      <c r="H204" s="1">
        <v>0</v>
      </c>
      <c r="I204" s="1">
        <v>1</v>
      </c>
      <c r="J204" s="26">
        <v>0.24</v>
      </c>
      <c r="K204" s="26">
        <v>0.2424</v>
      </c>
      <c r="L204" s="27">
        <v>0.65</v>
      </c>
      <c r="M204" s="27">
        <v>0.16420000000000001</v>
      </c>
      <c r="N204" s="28">
        <v>0</v>
      </c>
      <c r="O204" s="1">
        <v>8</v>
      </c>
      <c r="P204" s="30">
        <v>8</v>
      </c>
      <c r="Q204" s="35"/>
      <c r="R204" s="32" t="str">
        <f t="shared" si="12"/>
        <v>06-Feb-2011</v>
      </c>
      <c r="S204" s="32" t="str">
        <f t="shared" si="13"/>
        <v>06</v>
      </c>
      <c r="T204" s="32" t="str">
        <f t="shared" si="14"/>
        <v>2011</v>
      </c>
      <c r="U204" s="32">
        <f t="shared" si="15"/>
        <v>11</v>
      </c>
    </row>
    <row r="205" spans="1:21" x14ac:dyDescent="0.35">
      <c r="A205" s="1">
        <v>814</v>
      </c>
      <c r="B205" s="25">
        <v>40580</v>
      </c>
      <c r="C205" s="1">
        <v>1</v>
      </c>
      <c r="D205" s="1">
        <v>0</v>
      </c>
      <c r="E205" s="1">
        <v>2</v>
      </c>
      <c r="F205" s="1">
        <v>8</v>
      </c>
      <c r="G205" s="1" t="b">
        <v>0</v>
      </c>
      <c r="H205" s="1">
        <v>0</v>
      </c>
      <c r="I205" s="1">
        <v>1</v>
      </c>
      <c r="J205" s="26">
        <v>0.24</v>
      </c>
      <c r="K205" s="26">
        <v>0.2576</v>
      </c>
      <c r="L205" s="27">
        <v>0.65</v>
      </c>
      <c r="M205" s="27">
        <v>0.1045</v>
      </c>
      <c r="N205" s="28">
        <v>2</v>
      </c>
      <c r="O205" s="1">
        <v>21</v>
      </c>
      <c r="P205" s="30">
        <v>23</v>
      </c>
      <c r="Q205" s="35"/>
      <c r="R205" s="32" t="str">
        <f t="shared" si="12"/>
        <v>06-Feb-2011</v>
      </c>
      <c r="S205" s="32" t="str">
        <f t="shared" si="13"/>
        <v>06</v>
      </c>
      <c r="T205" s="32" t="str">
        <f t="shared" si="14"/>
        <v>2011</v>
      </c>
      <c r="U205" s="32">
        <f t="shared" si="15"/>
        <v>11</v>
      </c>
    </row>
    <row r="206" spans="1:21" x14ac:dyDescent="0.35">
      <c r="A206" s="1">
        <v>815</v>
      </c>
      <c r="B206" s="25">
        <v>40580</v>
      </c>
      <c r="C206" s="1">
        <v>1</v>
      </c>
      <c r="D206" s="1">
        <v>0</v>
      </c>
      <c r="E206" s="1">
        <v>2</v>
      </c>
      <c r="F206" s="1">
        <v>9</v>
      </c>
      <c r="G206" s="1" t="b">
        <v>0</v>
      </c>
      <c r="H206" s="1">
        <v>0</v>
      </c>
      <c r="I206" s="1">
        <v>1</v>
      </c>
      <c r="J206" s="26">
        <v>0.28000000000000003</v>
      </c>
      <c r="K206" s="26">
        <v>0.28789999999999999</v>
      </c>
      <c r="L206" s="27">
        <v>0.56000000000000005</v>
      </c>
      <c r="M206" s="27">
        <v>0.1045</v>
      </c>
      <c r="N206" s="28">
        <v>7</v>
      </c>
      <c r="O206" s="1">
        <v>38</v>
      </c>
      <c r="P206" s="30">
        <v>45</v>
      </c>
      <c r="Q206" s="35"/>
      <c r="R206" s="32" t="str">
        <f t="shared" si="12"/>
        <v>06-Feb-2011</v>
      </c>
      <c r="S206" s="32" t="str">
        <f t="shared" si="13"/>
        <v>06</v>
      </c>
      <c r="T206" s="32" t="str">
        <f t="shared" si="14"/>
        <v>2011</v>
      </c>
      <c r="U206" s="32">
        <f t="shared" si="15"/>
        <v>11</v>
      </c>
    </row>
    <row r="207" spans="1:21" x14ac:dyDescent="0.35">
      <c r="A207" s="1">
        <v>816</v>
      </c>
      <c r="B207" s="25">
        <v>40580</v>
      </c>
      <c r="C207" s="1">
        <v>1</v>
      </c>
      <c r="D207" s="1">
        <v>0</v>
      </c>
      <c r="E207" s="1">
        <v>2</v>
      </c>
      <c r="F207" s="1">
        <v>10</v>
      </c>
      <c r="G207" s="1" t="b">
        <v>0</v>
      </c>
      <c r="H207" s="1">
        <v>0</v>
      </c>
      <c r="I207" s="1">
        <v>1</v>
      </c>
      <c r="J207" s="26">
        <v>0.3</v>
      </c>
      <c r="K207" s="26">
        <v>0.28789999999999999</v>
      </c>
      <c r="L207" s="27">
        <v>0.52</v>
      </c>
      <c r="M207" s="27">
        <v>0.25369999999999998</v>
      </c>
      <c r="N207" s="28">
        <v>15</v>
      </c>
      <c r="O207" s="1">
        <v>74</v>
      </c>
      <c r="P207" s="30">
        <v>89</v>
      </c>
      <c r="Q207" s="35"/>
      <c r="R207" s="32" t="str">
        <f t="shared" si="12"/>
        <v>06-Feb-2011</v>
      </c>
      <c r="S207" s="32" t="str">
        <f t="shared" si="13"/>
        <v>06</v>
      </c>
      <c r="T207" s="32" t="str">
        <f t="shared" si="14"/>
        <v>2011</v>
      </c>
      <c r="U207" s="32">
        <f t="shared" si="15"/>
        <v>11</v>
      </c>
    </row>
    <row r="208" spans="1:21" x14ac:dyDescent="0.35">
      <c r="A208" s="1">
        <v>817</v>
      </c>
      <c r="B208" s="25">
        <v>40580</v>
      </c>
      <c r="C208" s="1">
        <v>1</v>
      </c>
      <c r="D208" s="1">
        <v>0</v>
      </c>
      <c r="E208" s="1">
        <v>2</v>
      </c>
      <c r="F208" s="1">
        <v>11</v>
      </c>
      <c r="G208" s="1" t="b">
        <v>0</v>
      </c>
      <c r="H208" s="1">
        <v>0</v>
      </c>
      <c r="I208" s="1">
        <v>1</v>
      </c>
      <c r="J208" s="26">
        <v>0.32</v>
      </c>
      <c r="K208" s="26">
        <v>0.30299999999999999</v>
      </c>
      <c r="L208" s="27">
        <v>0.49</v>
      </c>
      <c r="M208" s="27">
        <v>0.25369999999999998</v>
      </c>
      <c r="N208" s="28">
        <v>28</v>
      </c>
      <c r="O208" s="1">
        <v>89</v>
      </c>
      <c r="P208" s="30">
        <v>117</v>
      </c>
      <c r="Q208" s="35"/>
      <c r="R208" s="32" t="str">
        <f t="shared" si="12"/>
        <v>06-Feb-2011</v>
      </c>
      <c r="S208" s="32" t="str">
        <f t="shared" si="13"/>
        <v>06</v>
      </c>
      <c r="T208" s="32" t="str">
        <f t="shared" si="14"/>
        <v>2011</v>
      </c>
      <c r="U208" s="32">
        <f t="shared" si="15"/>
        <v>11</v>
      </c>
    </row>
    <row r="209" spans="1:21" x14ac:dyDescent="0.35">
      <c r="A209" s="1">
        <v>818</v>
      </c>
      <c r="B209" s="25">
        <v>40580</v>
      </c>
      <c r="C209" s="1">
        <v>1</v>
      </c>
      <c r="D209" s="1">
        <v>0</v>
      </c>
      <c r="E209" s="1">
        <v>2</v>
      </c>
      <c r="F209" s="1">
        <v>12</v>
      </c>
      <c r="G209" s="1" t="b">
        <v>0</v>
      </c>
      <c r="H209" s="1">
        <v>0</v>
      </c>
      <c r="I209" s="1">
        <v>1</v>
      </c>
      <c r="J209" s="26">
        <v>0.34</v>
      </c>
      <c r="K209" s="26">
        <v>0.33329999999999999</v>
      </c>
      <c r="L209" s="27">
        <v>0.46</v>
      </c>
      <c r="M209" s="27">
        <v>0</v>
      </c>
      <c r="N209" s="28">
        <v>48</v>
      </c>
      <c r="O209" s="1">
        <v>126</v>
      </c>
      <c r="P209" s="30">
        <v>174</v>
      </c>
      <c r="Q209" s="35"/>
      <c r="R209" s="32" t="str">
        <f t="shared" si="12"/>
        <v>06-Feb-2011</v>
      </c>
      <c r="S209" s="32" t="str">
        <f t="shared" si="13"/>
        <v>06</v>
      </c>
      <c r="T209" s="32" t="str">
        <f t="shared" si="14"/>
        <v>2011</v>
      </c>
      <c r="U209" s="32">
        <f t="shared" si="15"/>
        <v>11</v>
      </c>
    </row>
    <row r="210" spans="1:21" x14ac:dyDescent="0.35">
      <c r="A210" s="1">
        <v>819</v>
      </c>
      <c r="B210" s="25">
        <v>40580</v>
      </c>
      <c r="C210" s="1">
        <v>1</v>
      </c>
      <c r="D210" s="1">
        <v>0</v>
      </c>
      <c r="E210" s="1">
        <v>2</v>
      </c>
      <c r="F210" s="1">
        <v>13</v>
      </c>
      <c r="G210" s="1" t="b">
        <v>0</v>
      </c>
      <c r="H210" s="1">
        <v>0</v>
      </c>
      <c r="I210" s="1">
        <v>1</v>
      </c>
      <c r="J210" s="26">
        <v>0.34</v>
      </c>
      <c r="K210" s="26">
        <v>0.36359999999999998</v>
      </c>
      <c r="L210" s="27">
        <v>0.46</v>
      </c>
      <c r="M210" s="27">
        <v>0</v>
      </c>
      <c r="N210" s="28">
        <v>47</v>
      </c>
      <c r="O210" s="1">
        <v>135</v>
      </c>
      <c r="P210" s="30">
        <v>182</v>
      </c>
      <c r="Q210" s="35"/>
      <c r="R210" s="32" t="str">
        <f t="shared" si="12"/>
        <v>06-Feb-2011</v>
      </c>
      <c r="S210" s="32" t="str">
        <f t="shared" si="13"/>
        <v>06</v>
      </c>
      <c r="T210" s="32" t="str">
        <f t="shared" si="14"/>
        <v>2011</v>
      </c>
      <c r="U210" s="32">
        <f t="shared" si="15"/>
        <v>11</v>
      </c>
    </row>
    <row r="211" spans="1:21" x14ac:dyDescent="0.35">
      <c r="A211" s="1">
        <v>820</v>
      </c>
      <c r="B211" s="25">
        <v>40580</v>
      </c>
      <c r="C211" s="1">
        <v>1</v>
      </c>
      <c r="D211" s="1">
        <v>0</v>
      </c>
      <c r="E211" s="1">
        <v>2</v>
      </c>
      <c r="F211" s="1">
        <v>14</v>
      </c>
      <c r="G211" s="1" t="b">
        <v>0</v>
      </c>
      <c r="H211" s="1">
        <v>0</v>
      </c>
      <c r="I211" s="1">
        <v>1</v>
      </c>
      <c r="J211" s="26">
        <v>0.34</v>
      </c>
      <c r="K211" s="26">
        <v>0.34849999999999998</v>
      </c>
      <c r="L211" s="27">
        <v>0.46</v>
      </c>
      <c r="M211" s="27">
        <v>8.9599999999999999E-2</v>
      </c>
      <c r="N211" s="28">
        <v>47</v>
      </c>
      <c r="O211" s="1">
        <v>114</v>
      </c>
      <c r="P211" s="30">
        <v>161</v>
      </c>
      <c r="Q211" s="35"/>
      <c r="R211" s="32" t="str">
        <f t="shared" si="12"/>
        <v>06-Feb-2011</v>
      </c>
      <c r="S211" s="32" t="str">
        <f t="shared" si="13"/>
        <v>06</v>
      </c>
      <c r="T211" s="32" t="str">
        <f t="shared" si="14"/>
        <v>2011</v>
      </c>
      <c r="U211" s="32">
        <f t="shared" si="15"/>
        <v>11</v>
      </c>
    </row>
    <row r="212" spans="1:21" x14ac:dyDescent="0.35">
      <c r="A212" s="1">
        <v>821</v>
      </c>
      <c r="B212" s="25">
        <v>40580</v>
      </c>
      <c r="C212" s="1">
        <v>1</v>
      </c>
      <c r="D212" s="1">
        <v>0</v>
      </c>
      <c r="E212" s="1">
        <v>2</v>
      </c>
      <c r="F212" s="1">
        <v>15</v>
      </c>
      <c r="G212" s="1" t="b">
        <v>0</v>
      </c>
      <c r="H212" s="1">
        <v>0</v>
      </c>
      <c r="I212" s="1">
        <v>1</v>
      </c>
      <c r="J212" s="26">
        <v>0.34</v>
      </c>
      <c r="K212" s="26">
        <v>0.34849999999999998</v>
      </c>
      <c r="L212" s="27">
        <v>0.46</v>
      </c>
      <c r="M212" s="27">
        <v>8.9599999999999999E-2</v>
      </c>
      <c r="N212" s="28">
        <v>52</v>
      </c>
      <c r="O212" s="1">
        <v>130</v>
      </c>
      <c r="P212" s="30">
        <v>182</v>
      </c>
      <c r="Q212" s="35"/>
      <c r="R212" s="32" t="str">
        <f t="shared" si="12"/>
        <v>06-Feb-2011</v>
      </c>
      <c r="S212" s="32" t="str">
        <f t="shared" si="13"/>
        <v>06</v>
      </c>
      <c r="T212" s="32" t="str">
        <f t="shared" si="14"/>
        <v>2011</v>
      </c>
      <c r="U212" s="32">
        <f t="shared" si="15"/>
        <v>11</v>
      </c>
    </row>
    <row r="213" spans="1:21" x14ac:dyDescent="0.35">
      <c r="A213" s="1">
        <v>822</v>
      </c>
      <c r="B213" s="25">
        <v>40580</v>
      </c>
      <c r="C213" s="1">
        <v>1</v>
      </c>
      <c r="D213" s="1">
        <v>0</v>
      </c>
      <c r="E213" s="1">
        <v>2</v>
      </c>
      <c r="F213" s="1">
        <v>16</v>
      </c>
      <c r="G213" s="1" t="b">
        <v>0</v>
      </c>
      <c r="H213" s="1">
        <v>0</v>
      </c>
      <c r="I213" s="1">
        <v>1</v>
      </c>
      <c r="J213" s="26">
        <v>0.34</v>
      </c>
      <c r="K213" s="26">
        <v>0.34849999999999998</v>
      </c>
      <c r="L213" s="27">
        <v>0.49</v>
      </c>
      <c r="M213" s="27">
        <v>0.1045</v>
      </c>
      <c r="N213" s="28">
        <v>42</v>
      </c>
      <c r="O213" s="1">
        <v>115</v>
      </c>
      <c r="P213" s="30">
        <v>157</v>
      </c>
      <c r="Q213" s="35"/>
      <c r="R213" s="32" t="str">
        <f t="shared" si="12"/>
        <v>06-Feb-2011</v>
      </c>
      <c r="S213" s="32" t="str">
        <f t="shared" si="13"/>
        <v>06</v>
      </c>
      <c r="T213" s="32" t="str">
        <f t="shared" si="14"/>
        <v>2011</v>
      </c>
      <c r="U213" s="32">
        <f t="shared" si="15"/>
        <v>11</v>
      </c>
    </row>
    <row r="214" spans="1:21" x14ac:dyDescent="0.35">
      <c r="A214" s="1">
        <v>823</v>
      </c>
      <c r="B214" s="25">
        <v>40580</v>
      </c>
      <c r="C214" s="1">
        <v>1</v>
      </c>
      <c r="D214" s="1">
        <v>0</v>
      </c>
      <c r="E214" s="1">
        <v>2</v>
      </c>
      <c r="F214" s="1">
        <v>17</v>
      </c>
      <c r="G214" s="1" t="b">
        <v>0</v>
      </c>
      <c r="H214" s="1">
        <v>0</v>
      </c>
      <c r="I214" s="1">
        <v>1</v>
      </c>
      <c r="J214" s="26">
        <v>0.34</v>
      </c>
      <c r="K214" s="26">
        <v>0.36359999999999998</v>
      </c>
      <c r="L214" s="27">
        <v>0.46</v>
      </c>
      <c r="M214" s="27">
        <v>0</v>
      </c>
      <c r="N214" s="28">
        <v>24</v>
      </c>
      <c r="O214" s="1">
        <v>97</v>
      </c>
      <c r="P214" s="30">
        <v>121</v>
      </c>
      <c r="Q214" s="35"/>
      <c r="R214" s="32" t="str">
        <f t="shared" si="12"/>
        <v>06-Feb-2011</v>
      </c>
      <c r="S214" s="32" t="str">
        <f t="shared" si="13"/>
        <v>06</v>
      </c>
      <c r="T214" s="32" t="str">
        <f t="shared" si="14"/>
        <v>2011</v>
      </c>
      <c r="U214" s="32">
        <f t="shared" si="15"/>
        <v>11</v>
      </c>
    </row>
    <row r="215" spans="1:21" x14ac:dyDescent="0.35">
      <c r="A215" s="1">
        <v>824</v>
      </c>
      <c r="B215" s="25">
        <v>40580</v>
      </c>
      <c r="C215" s="1">
        <v>1</v>
      </c>
      <c r="D215" s="1">
        <v>0</v>
      </c>
      <c r="E215" s="1">
        <v>2</v>
      </c>
      <c r="F215" s="1">
        <v>18</v>
      </c>
      <c r="G215" s="1" t="b">
        <v>0</v>
      </c>
      <c r="H215" s="1">
        <v>0</v>
      </c>
      <c r="I215" s="1">
        <v>1</v>
      </c>
      <c r="J215" s="26">
        <v>0.3</v>
      </c>
      <c r="K215" s="26">
        <v>0.30299999999999999</v>
      </c>
      <c r="L215" s="27">
        <v>0.56000000000000005</v>
      </c>
      <c r="M215" s="27">
        <v>0.16420000000000001</v>
      </c>
      <c r="N215" s="28">
        <v>13</v>
      </c>
      <c r="O215" s="1">
        <v>65</v>
      </c>
      <c r="P215" s="30">
        <v>78</v>
      </c>
      <c r="Q215" s="35"/>
      <c r="R215" s="32" t="str">
        <f t="shared" si="12"/>
        <v>06-Feb-2011</v>
      </c>
      <c r="S215" s="32" t="str">
        <f t="shared" si="13"/>
        <v>06</v>
      </c>
      <c r="T215" s="32" t="str">
        <f t="shared" si="14"/>
        <v>2011</v>
      </c>
      <c r="U215" s="32">
        <f t="shared" si="15"/>
        <v>11</v>
      </c>
    </row>
    <row r="216" spans="1:21" x14ac:dyDescent="0.35">
      <c r="A216" s="1">
        <v>825</v>
      </c>
      <c r="B216" s="25">
        <v>40580</v>
      </c>
      <c r="C216" s="1">
        <v>1</v>
      </c>
      <c r="D216" s="1">
        <v>0</v>
      </c>
      <c r="E216" s="1">
        <v>2</v>
      </c>
      <c r="F216" s="1">
        <v>19</v>
      </c>
      <c r="G216" s="1" t="b">
        <v>0</v>
      </c>
      <c r="H216" s="1">
        <v>0</v>
      </c>
      <c r="I216" s="1">
        <v>1</v>
      </c>
      <c r="J216" s="26">
        <v>0.28000000000000003</v>
      </c>
      <c r="K216" s="26">
        <v>0.28789999999999999</v>
      </c>
      <c r="L216" s="27">
        <v>0.61</v>
      </c>
      <c r="M216" s="27">
        <v>0.1343</v>
      </c>
      <c r="N216" s="28">
        <v>1</v>
      </c>
      <c r="O216" s="1">
        <v>20</v>
      </c>
      <c r="P216" s="30">
        <v>21</v>
      </c>
      <c r="Q216" s="35"/>
      <c r="R216" s="32" t="str">
        <f t="shared" si="12"/>
        <v>06-Feb-2011</v>
      </c>
      <c r="S216" s="32" t="str">
        <f t="shared" si="13"/>
        <v>06</v>
      </c>
      <c r="T216" s="32" t="str">
        <f t="shared" si="14"/>
        <v>2011</v>
      </c>
      <c r="U216" s="32">
        <f t="shared" si="15"/>
        <v>11</v>
      </c>
    </row>
    <row r="217" spans="1:21" x14ac:dyDescent="0.35">
      <c r="A217" s="1">
        <v>826</v>
      </c>
      <c r="B217" s="25">
        <v>40580</v>
      </c>
      <c r="C217" s="1">
        <v>1</v>
      </c>
      <c r="D217" s="1">
        <v>0</v>
      </c>
      <c r="E217" s="1">
        <v>2</v>
      </c>
      <c r="F217" s="1">
        <v>20</v>
      </c>
      <c r="G217" s="1" t="b">
        <v>0</v>
      </c>
      <c r="H217" s="1">
        <v>0</v>
      </c>
      <c r="I217" s="1">
        <v>1</v>
      </c>
      <c r="J217" s="26">
        <v>0.28000000000000003</v>
      </c>
      <c r="K217" s="26">
        <v>0.28789999999999999</v>
      </c>
      <c r="L217" s="27">
        <v>0.61</v>
      </c>
      <c r="M217" s="27">
        <v>0.1045</v>
      </c>
      <c r="N217" s="28">
        <v>5</v>
      </c>
      <c r="O217" s="1">
        <v>21</v>
      </c>
      <c r="P217" s="30">
        <v>26</v>
      </c>
      <c r="Q217" s="35"/>
      <c r="R217" s="32" t="str">
        <f t="shared" si="12"/>
        <v>06-Feb-2011</v>
      </c>
      <c r="S217" s="32" t="str">
        <f t="shared" si="13"/>
        <v>06</v>
      </c>
      <c r="T217" s="32" t="str">
        <f t="shared" si="14"/>
        <v>2011</v>
      </c>
      <c r="U217" s="32">
        <f t="shared" si="15"/>
        <v>11</v>
      </c>
    </row>
    <row r="218" spans="1:21" x14ac:dyDescent="0.35">
      <c r="A218" s="1">
        <v>827</v>
      </c>
      <c r="B218" s="25">
        <v>40580</v>
      </c>
      <c r="C218" s="1">
        <v>1</v>
      </c>
      <c r="D218" s="1">
        <v>0</v>
      </c>
      <c r="E218" s="1">
        <v>2</v>
      </c>
      <c r="F218" s="1">
        <v>21</v>
      </c>
      <c r="G218" s="1" t="b">
        <v>0</v>
      </c>
      <c r="H218" s="1">
        <v>0</v>
      </c>
      <c r="I218" s="1">
        <v>1</v>
      </c>
      <c r="J218" s="26">
        <v>0.26</v>
      </c>
      <c r="K218" s="26">
        <v>0.30299999999999999</v>
      </c>
      <c r="L218" s="27">
        <v>0.6</v>
      </c>
      <c r="M218" s="27">
        <v>0</v>
      </c>
      <c r="N218" s="28">
        <v>5</v>
      </c>
      <c r="O218" s="1">
        <v>22</v>
      </c>
      <c r="P218" s="30">
        <v>27</v>
      </c>
      <c r="Q218" s="35"/>
      <c r="R218" s="32" t="str">
        <f t="shared" si="12"/>
        <v>06-Feb-2011</v>
      </c>
      <c r="S218" s="32" t="str">
        <f t="shared" si="13"/>
        <v>06</v>
      </c>
      <c r="T218" s="32" t="str">
        <f t="shared" si="14"/>
        <v>2011</v>
      </c>
      <c r="U218" s="32">
        <f t="shared" si="15"/>
        <v>11</v>
      </c>
    </row>
    <row r="219" spans="1:21" x14ac:dyDescent="0.35">
      <c r="A219" s="1">
        <v>828</v>
      </c>
      <c r="B219" s="25">
        <v>40580</v>
      </c>
      <c r="C219" s="1">
        <v>1</v>
      </c>
      <c r="D219" s="1">
        <v>0</v>
      </c>
      <c r="E219" s="1">
        <v>2</v>
      </c>
      <c r="F219" s="1">
        <v>22</v>
      </c>
      <c r="G219" s="1" t="b">
        <v>0</v>
      </c>
      <c r="H219" s="1">
        <v>0</v>
      </c>
      <c r="I219" s="1">
        <v>1</v>
      </c>
      <c r="J219" s="26">
        <v>0.26</v>
      </c>
      <c r="K219" s="26">
        <v>0.30299999999999999</v>
      </c>
      <c r="L219" s="27">
        <v>0.6</v>
      </c>
      <c r="M219" s="27">
        <v>0</v>
      </c>
      <c r="N219" s="28">
        <v>5</v>
      </c>
      <c r="O219" s="1">
        <v>57</v>
      </c>
      <c r="P219" s="30">
        <v>62</v>
      </c>
      <c r="Q219" s="35"/>
      <c r="R219" s="32" t="str">
        <f t="shared" si="12"/>
        <v>06-Feb-2011</v>
      </c>
      <c r="S219" s="32" t="str">
        <f t="shared" si="13"/>
        <v>06</v>
      </c>
      <c r="T219" s="32" t="str">
        <f t="shared" si="14"/>
        <v>2011</v>
      </c>
      <c r="U219" s="32">
        <f t="shared" si="15"/>
        <v>11</v>
      </c>
    </row>
    <row r="220" spans="1:21" x14ac:dyDescent="0.35">
      <c r="A220" s="1">
        <v>829</v>
      </c>
      <c r="B220" s="25">
        <v>40580</v>
      </c>
      <c r="C220" s="1">
        <v>1</v>
      </c>
      <c r="D220" s="1">
        <v>0</v>
      </c>
      <c r="E220" s="1">
        <v>2</v>
      </c>
      <c r="F220" s="1">
        <v>23</v>
      </c>
      <c r="G220" s="1" t="b">
        <v>0</v>
      </c>
      <c r="H220" s="1">
        <v>0</v>
      </c>
      <c r="I220" s="1">
        <v>1</v>
      </c>
      <c r="J220" s="26">
        <v>0.24</v>
      </c>
      <c r="K220" s="26">
        <v>0.28789999999999999</v>
      </c>
      <c r="L220" s="27">
        <v>0.65</v>
      </c>
      <c r="M220" s="27">
        <v>0</v>
      </c>
      <c r="N220" s="28">
        <v>4</v>
      </c>
      <c r="O220" s="1">
        <v>26</v>
      </c>
      <c r="P220" s="30">
        <v>30</v>
      </c>
      <c r="Q220" s="35"/>
      <c r="R220" s="32" t="str">
        <f t="shared" si="12"/>
        <v>06-Feb-2011</v>
      </c>
      <c r="S220" s="32" t="str">
        <f t="shared" si="13"/>
        <v>06</v>
      </c>
      <c r="T220" s="32" t="str">
        <f t="shared" si="14"/>
        <v>2011</v>
      </c>
      <c r="U220" s="32">
        <f t="shared" si="15"/>
        <v>11</v>
      </c>
    </row>
    <row r="221" spans="1:21" x14ac:dyDescent="0.35">
      <c r="A221" s="1">
        <v>830</v>
      </c>
      <c r="B221" s="25">
        <v>40581</v>
      </c>
      <c r="C221" s="1">
        <v>1</v>
      </c>
      <c r="D221" s="1">
        <v>0</v>
      </c>
      <c r="E221" s="1">
        <v>2</v>
      </c>
      <c r="F221" s="1">
        <v>0</v>
      </c>
      <c r="G221" s="1" t="b">
        <v>0</v>
      </c>
      <c r="H221" s="1">
        <v>1</v>
      </c>
      <c r="I221" s="1">
        <v>1</v>
      </c>
      <c r="J221" s="26">
        <v>0.24</v>
      </c>
      <c r="K221" s="26">
        <v>0.28789999999999999</v>
      </c>
      <c r="L221" s="27">
        <v>0.65</v>
      </c>
      <c r="M221" s="27">
        <v>0</v>
      </c>
      <c r="N221" s="28">
        <v>1</v>
      </c>
      <c r="O221" s="1">
        <v>14</v>
      </c>
      <c r="P221" s="30">
        <v>15</v>
      </c>
      <c r="Q221" s="35"/>
      <c r="R221" s="32" t="str">
        <f t="shared" si="12"/>
        <v>07-Feb-2011</v>
      </c>
      <c r="S221" s="32" t="str">
        <f t="shared" si="13"/>
        <v>07</v>
      </c>
      <c r="T221" s="32" t="str">
        <f t="shared" si="14"/>
        <v>2011</v>
      </c>
      <c r="U221" s="32">
        <f t="shared" si="15"/>
        <v>11</v>
      </c>
    </row>
    <row r="222" spans="1:21" x14ac:dyDescent="0.35">
      <c r="A222" s="1">
        <v>831</v>
      </c>
      <c r="B222" s="25">
        <v>40581</v>
      </c>
      <c r="C222" s="1">
        <v>1</v>
      </c>
      <c r="D222" s="1">
        <v>0</v>
      </c>
      <c r="E222" s="1">
        <v>2</v>
      </c>
      <c r="F222" s="1">
        <v>1</v>
      </c>
      <c r="G222" s="1" t="b">
        <v>0</v>
      </c>
      <c r="H222" s="1">
        <v>1</v>
      </c>
      <c r="I222" s="1">
        <v>1</v>
      </c>
      <c r="J222" s="26">
        <v>0.22</v>
      </c>
      <c r="K222" s="26">
        <v>0.2727</v>
      </c>
      <c r="L222" s="27">
        <v>0.75</v>
      </c>
      <c r="M222" s="27">
        <v>0</v>
      </c>
      <c r="N222" s="28">
        <v>1</v>
      </c>
      <c r="O222" s="1">
        <v>4</v>
      </c>
      <c r="P222" s="30">
        <v>5</v>
      </c>
      <c r="Q222" s="35"/>
      <c r="R222" s="32" t="str">
        <f t="shared" si="12"/>
        <v>07-Feb-2011</v>
      </c>
      <c r="S222" s="32" t="str">
        <f t="shared" si="13"/>
        <v>07</v>
      </c>
      <c r="T222" s="32" t="str">
        <f t="shared" si="14"/>
        <v>2011</v>
      </c>
      <c r="U222" s="32">
        <f t="shared" si="15"/>
        <v>11</v>
      </c>
    </row>
    <row r="223" spans="1:21" x14ac:dyDescent="0.35">
      <c r="A223" s="1">
        <v>832</v>
      </c>
      <c r="B223" s="25">
        <v>40581</v>
      </c>
      <c r="C223" s="1">
        <v>1</v>
      </c>
      <c r="D223" s="1">
        <v>0</v>
      </c>
      <c r="E223" s="1">
        <v>2</v>
      </c>
      <c r="F223" s="1">
        <v>2</v>
      </c>
      <c r="G223" s="1" t="b">
        <v>0</v>
      </c>
      <c r="H223" s="1">
        <v>1</v>
      </c>
      <c r="I223" s="1">
        <v>1</v>
      </c>
      <c r="J223" s="26">
        <v>0.2</v>
      </c>
      <c r="K223" s="26">
        <v>0.2576</v>
      </c>
      <c r="L223" s="27">
        <v>0.8</v>
      </c>
      <c r="M223" s="27">
        <v>0</v>
      </c>
      <c r="N223" s="28">
        <v>0</v>
      </c>
      <c r="O223" s="1">
        <v>3</v>
      </c>
      <c r="P223" s="30">
        <v>3</v>
      </c>
      <c r="Q223" s="35"/>
      <c r="R223" s="32" t="str">
        <f t="shared" si="12"/>
        <v>07-Feb-2011</v>
      </c>
      <c r="S223" s="32" t="str">
        <f t="shared" si="13"/>
        <v>07</v>
      </c>
      <c r="T223" s="32" t="str">
        <f t="shared" si="14"/>
        <v>2011</v>
      </c>
      <c r="U223" s="32">
        <f t="shared" si="15"/>
        <v>11</v>
      </c>
    </row>
    <row r="224" spans="1:21" x14ac:dyDescent="0.35">
      <c r="A224" s="1">
        <v>833</v>
      </c>
      <c r="B224" s="25">
        <v>40581</v>
      </c>
      <c r="C224" s="1">
        <v>1</v>
      </c>
      <c r="D224" s="1">
        <v>0</v>
      </c>
      <c r="E224" s="1">
        <v>2</v>
      </c>
      <c r="F224" s="1">
        <v>3</v>
      </c>
      <c r="G224" s="1" t="b">
        <v>0</v>
      </c>
      <c r="H224" s="1">
        <v>1</v>
      </c>
      <c r="I224" s="1">
        <v>1</v>
      </c>
      <c r="J224" s="26">
        <v>0.2</v>
      </c>
      <c r="K224" s="26">
        <v>0.2576</v>
      </c>
      <c r="L224" s="27">
        <v>0.86</v>
      </c>
      <c r="M224" s="27">
        <v>0</v>
      </c>
      <c r="N224" s="28">
        <v>0</v>
      </c>
      <c r="O224" s="1">
        <v>1</v>
      </c>
      <c r="P224" s="30">
        <v>1</v>
      </c>
      <c r="Q224" s="35"/>
      <c r="R224" s="32" t="str">
        <f t="shared" si="12"/>
        <v>07-Feb-2011</v>
      </c>
      <c r="S224" s="32" t="str">
        <f t="shared" si="13"/>
        <v>07</v>
      </c>
      <c r="T224" s="32" t="str">
        <f t="shared" si="14"/>
        <v>2011</v>
      </c>
      <c r="U224" s="32">
        <f t="shared" si="15"/>
        <v>11</v>
      </c>
    </row>
    <row r="225" spans="1:21" x14ac:dyDescent="0.35">
      <c r="A225" s="1">
        <v>834</v>
      </c>
      <c r="B225" s="25">
        <v>40581</v>
      </c>
      <c r="C225" s="1">
        <v>1</v>
      </c>
      <c r="D225" s="1">
        <v>0</v>
      </c>
      <c r="E225" s="1">
        <v>2</v>
      </c>
      <c r="F225" s="1">
        <v>4</v>
      </c>
      <c r="G225" s="1" t="b">
        <v>0</v>
      </c>
      <c r="H225" s="1">
        <v>1</v>
      </c>
      <c r="I225" s="1">
        <v>1</v>
      </c>
      <c r="J225" s="26">
        <v>0.2</v>
      </c>
      <c r="K225" s="26">
        <v>0.2576</v>
      </c>
      <c r="L225" s="27">
        <v>0.86</v>
      </c>
      <c r="M225" s="27">
        <v>0</v>
      </c>
      <c r="N225" s="28">
        <v>1</v>
      </c>
      <c r="O225" s="1">
        <v>1</v>
      </c>
      <c r="P225" s="30">
        <v>2</v>
      </c>
      <c r="Q225" s="35"/>
      <c r="R225" s="32" t="str">
        <f t="shared" si="12"/>
        <v>07-Feb-2011</v>
      </c>
      <c r="S225" s="32" t="str">
        <f t="shared" si="13"/>
        <v>07</v>
      </c>
      <c r="T225" s="32" t="str">
        <f t="shared" si="14"/>
        <v>2011</v>
      </c>
      <c r="U225" s="32">
        <f t="shared" si="15"/>
        <v>11</v>
      </c>
    </row>
    <row r="226" spans="1:21" x14ac:dyDescent="0.35">
      <c r="A226" s="1">
        <v>835</v>
      </c>
      <c r="B226" s="25">
        <v>40581</v>
      </c>
      <c r="C226" s="1">
        <v>1</v>
      </c>
      <c r="D226" s="1">
        <v>0</v>
      </c>
      <c r="E226" s="1">
        <v>2</v>
      </c>
      <c r="F226" s="1">
        <v>5</v>
      </c>
      <c r="G226" s="1" t="b">
        <v>0</v>
      </c>
      <c r="H226" s="1">
        <v>1</v>
      </c>
      <c r="I226" s="1">
        <v>1</v>
      </c>
      <c r="J226" s="26">
        <v>0.2</v>
      </c>
      <c r="K226" s="26">
        <v>0.2576</v>
      </c>
      <c r="L226" s="27">
        <v>0.86</v>
      </c>
      <c r="M226" s="27">
        <v>0</v>
      </c>
      <c r="N226" s="28">
        <v>1</v>
      </c>
      <c r="O226" s="1">
        <v>9</v>
      </c>
      <c r="P226" s="30">
        <v>10</v>
      </c>
      <c r="Q226" s="35"/>
      <c r="R226" s="32" t="str">
        <f t="shared" si="12"/>
        <v>07-Feb-2011</v>
      </c>
      <c r="S226" s="32" t="str">
        <f t="shared" si="13"/>
        <v>07</v>
      </c>
      <c r="T226" s="32" t="str">
        <f t="shared" si="14"/>
        <v>2011</v>
      </c>
      <c r="U226" s="32">
        <f t="shared" si="15"/>
        <v>11</v>
      </c>
    </row>
    <row r="227" spans="1:21" x14ac:dyDescent="0.35">
      <c r="A227" s="1">
        <v>836</v>
      </c>
      <c r="B227" s="25">
        <v>40581</v>
      </c>
      <c r="C227" s="1">
        <v>1</v>
      </c>
      <c r="D227" s="1">
        <v>0</v>
      </c>
      <c r="E227" s="1">
        <v>2</v>
      </c>
      <c r="F227" s="1">
        <v>6</v>
      </c>
      <c r="G227" s="1" t="b">
        <v>0</v>
      </c>
      <c r="H227" s="1">
        <v>1</v>
      </c>
      <c r="I227" s="1">
        <v>1</v>
      </c>
      <c r="J227" s="26">
        <v>0.18</v>
      </c>
      <c r="K227" s="26">
        <v>0.2424</v>
      </c>
      <c r="L227" s="27">
        <v>0.93</v>
      </c>
      <c r="M227" s="27">
        <v>0</v>
      </c>
      <c r="N227" s="28">
        <v>1</v>
      </c>
      <c r="O227" s="1">
        <v>29</v>
      </c>
      <c r="P227" s="30">
        <v>30</v>
      </c>
      <c r="Q227" s="35"/>
      <c r="R227" s="32" t="str">
        <f t="shared" si="12"/>
        <v>07-Feb-2011</v>
      </c>
      <c r="S227" s="32" t="str">
        <f t="shared" si="13"/>
        <v>07</v>
      </c>
      <c r="T227" s="32" t="str">
        <f t="shared" si="14"/>
        <v>2011</v>
      </c>
      <c r="U227" s="32">
        <f t="shared" si="15"/>
        <v>11</v>
      </c>
    </row>
    <row r="228" spans="1:21" x14ac:dyDescent="0.35">
      <c r="A228" s="1">
        <v>837</v>
      </c>
      <c r="B228" s="25">
        <v>40581</v>
      </c>
      <c r="C228" s="1">
        <v>1</v>
      </c>
      <c r="D228" s="1">
        <v>0</v>
      </c>
      <c r="E228" s="1">
        <v>2</v>
      </c>
      <c r="F228" s="1">
        <v>7</v>
      </c>
      <c r="G228" s="1" t="b">
        <v>0</v>
      </c>
      <c r="H228" s="1">
        <v>1</v>
      </c>
      <c r="I228" s="1">
        <v>1</v>
      </c>
      <c r="J228" s="26">
        <v>0.18</v>
      </c>
      <c r="K228" s="26">
        <v>0.2424</v>
      </c>
      <c r="L228" s="27">
        <v>0.86</v>
      </c>
      <c r="M228" s="27">
        <v>0</v>
      </c>
      <c r="N228" s="28">
        <v>6</v>
      </c>
      <c r="O228" s="1">
        <v>89</v>
      </c>
      <c r="P228" s="30">
        <v>95</v>
      </c>
      <c r="Q228" s="35"/>
      <c r="R228" s="32" t="str">
        <f t="shared" si="12"/>
        <v>07-Feb-2011</v>
      </c>
      <c r="S228" s="32" t="str">
        <f t="shared" si="13"/>
        <v>07</v>
      </c>
      <c r="T228" s="32" t="str">
        <f t="shared" si="14"/>
        <v>2011</v>
      </c>
      <c r="U228" s="32">
        <f t="shared" si="15"/>
        <v>11</v>
      </c>
    </row>
    <row r="229" spans="1:21" x14ac:dyDescent="0.35">
      <c r="A229" s="1">
        <v>838</v>
      </c>
      <c r="B229" s="25">
        <v>40581</v>
      </c>
      <c r="C229" s="1">
        <v>1</v>
      </c>
      <c r="D229" s="1">
        <v>0</v>
      </c>
      <c r="E229" s="1">
        <v>2</v>
      </c>
      <c r="F229" s="1">
        <v>8</v>
      </c>
      <c r="G229" s="1" t="b">
        <v>0</v>
      </c>
      <c r="H229" s="1">
        <v>1</v>
      </c>
      <c r="I229" s="1">
        <v>2</v>
      </c>
      <c r="J229" s="26">
        <v>0.16</v>
      </c>
      <c r="K229" s="26">
        <v>0.2273</v>
      </c>
      <c r="L229" s="27">
        <v>1</v>
      </c>
      <c r="M229" s="27">
        <v>0</v>
      </c>
      <c r="N229" s="28">
        <v>7</v>
      </c>
      <c r="O229" s="1">
        <v>223</v>
      </c>
      <c r="P229" s="30">
        <v>230</v>
      </c>
      <c r="Q229" s="35"/>
      <c r="R229" s="32" t="str">
        <f t="shared" si="12"/>
        <v>07-Feb-2011</v>
      </c>
      <c r="S229" s="32" t="str">
        <f t="shared" si="13"/>
        <v>07</v>
      </c>
      <c r="T229" s="32" t="str">
        <f t="shared" si="14"/>
        <v>2011</v>
      </c>
      <c r="U229" s="32">
        <f t="shared" si="15"/>
        <v>11</v>
      </c>
    </row>
    <row r="230" spans="1:21" x14ac:dyDescent="0.35">
      <c r="A230" s="1">
        <v>839</v>
      </c>
      <c r="B230" s="25">
        <v>40581</v>
      </c>
      <c r="C230" s="1">
        <v>1</v>
      </c>
      <c r="D230" s="1">
        <v>0</v>
      </c>
      <c r="E230" s="1">
        <v>2</v>
      </c>
      <c r="F230" s="1">
        <v>9</v>
      </c>
      <c r="G230" s="1" t="b">
        <v>0</v>
      </c>
      <c r="H230" s="1">
        <v>1</v>
      </c>
      <c r="I230" s="1">
        <v>1</v>
      </c>
      <c r="J230" s="26">
        <v>0.22</v>
      </c>
      <c r="K230" s="26">
        <v>0.2727</v>
      </c>
      <c r="L230" s="27">
        <v>0.8</v>
      </c>
      <c r="M230" s="27">
        <v>0</v>
      </c>
      <c r="N230" s="28">
        <v>3</v>
      </c>
      <c r="O230" s="1">
        <v>115</v>
      </c>
      <c r="P230" s="30">
        <v>118</v>
      </c>
      <c r="Q230" s="35"/>
      <c r="R230" s="32" t="str">
        <f t="shared" si="12"/>
        <v>07-Feb-2011</v>
      </c>
      <c r="S230" s="32" t="str">
        <f t="shared" si="13"/>
        <v>07</v>
      </c>
      <c r="T230" s="32" t="str">
        <f t="shared" si="14"/>
        <v>2011</v>
      </c>
      <c r="U230" s="32">
        <f t="shared" si="15"/>
        <v>11</v>
      </c>
    </row>
    <row r="231" spans="1:21" x14ac:dyDescent="0.35">
      <c r="A231" s="1">
        <v>840</v>
      </c>
      <c r="B231" s="25">
        <v>40581</v>
      </c>
      <c r="C231" s="1">
        <v>1</v>
      </c>
      <c r="D231" s="1">
        <v>0</v>
      </c>
      <c r="E231" s="1">
        <v>2</v>
      </c>
      <c r="F231" s="1">
        <v>10</v>
      </c>
      <c r="G231" s="1" t="b">
        <v>0</v>
      </c>
      <c r="H231" s="1">
        <v>1</v>
      </c>
      <c r="I231" s="1">
        <v>1</v>
      </c>
      <c r="J231" s="26">
        <v>0.24</v>
      </c>
      <c r="K231" s="26">
        <v>0.2576</v>
      </c>
      <c r="L231" s="27">
        <v>0.75</v>
      </c>
      <c r="M231" s="27">
        <v>0.1045</v>
      </c>
      <c r="N231" s="28">
        <v>6</v>
      </c>
      <c r="O231" s="1">
        <v>49</v>
      </c>
      <c r="P231" s="30">
        <v>55</v>
      </c>
      <c r="Q231" s="35"/>
      <c r="R231" s="32" t="str">
        <f t="shared" si="12"/>
        <v>07-Feb-2011</v>
      </c>
      <c r="S231" s="32" t="str">
        <f t="shared" si="13"/>
        <v>07</v>
      </c>
      <c r="T231" s="32" t="str">
        <f t="shared" si="14"/>
        <v>2011</v>
      </c>
      <c r="U231" s="32">
        <f t="shared" si="15"/>
        <v>11</v>
      </c>
    </row>
    <row r="232" spans="1:21" x14ac:dyDescent="0.35">
      <c r="A232" s="1">
        <v>841</v>
      </c>
      <c r="B232" s="25">
        <v>40581</v>
      </c>
      <c r="C232" s="1">
        <v>1</v>
      </c>
      <c r="D232" s="1">
        <v>0</v>
      </c>
      <c r="E232" s="1">
        <v>2</v>
      </c>
      <c r="F232" s="1">
        <v>11</v>
      </c>
      <c r="G232" s="1" t="b">
        <v>0</v>
      </c>
      <c r="H232" s="1">
        <v>1</v>
      </c>
      <c r="I232" s="1">
        <v>1</v>
      </c>
      <c r="J232" s="26">
        <v>0.3</v>
      </c>
      <c r="K232" s="26">
        <v>0.31819999999999998</v>
      </c>
      <c r="L232" s="27">
        <v>0.65</v>
      </c>
      <c r="M232" s="27">
        <v>8.9599999999999999E-2</v>
      </c>
      <c r="N232" s="28">
        <v>11</v>
      </c>
      <c r="O232" s="1">
        <v>36</v>
      </c>
      <c r="P232" s="30">
        <v>47</v>
      </c>
      <c r="Q232" s="35"/>
      <c r="R232" s="32" t="str">
        <f t="shared" si="12"/>
        <v>07-Feb-2011</v>
      </c>
      <c r="S232" s="32" t="str">
        <f t="shared" si="13"/>
        <v>07</v>
      </c>
      <c r="T232" s="32" t="str">
        <f t="shared" si="14"/>
        <v>2011</v>
      </c>
      <c r="U232" s="32">
        <f t="shared" si="15"/>
        <v>11</v>
      </c>
    </row>
    <row r="233" spans="1:21" x14ac:dyDescent="0.35">
      <c r="A233" s="1">
        <v>842</v>
      </c>
      <c r="B233" s="25">
        <v>40581</v>
      </c>
      <c r="C233" s="1">
        <v>1</v>
      </c>
      <c r="D233" s="1">
        <v>0</v>
      </c>
      <c r="E233" s="1">
        <v>2</v>
      </c>
      <c r="F233" s="1">
        <v>12</v>
      </c>
      <c r="G233" s="1" t="b">
        <v>0</v>
      </c>
      <c r="H233" s="1">
        <v>1</v>
      </c>
      <c r="I233" s="1">
        <v>2</v>
      </c>
      <c r="J233" s="26">
        <v>0.32</v>
      </c>
      <c r="K233" s="26">
        <v>0.34849999999999998</v>
      </c>
      <c r="L233" s="27">
        <v>0.62</v>
      </c>
      <c r="M233" s="27">
        <v>0</v>
      </c>
      <c r="N233" s="28">
        <v>7</v>
      </c>
      <c r="O233" s="1">
        <v>59</v>
      </c>
      <c r="P233" s="30">
        <v>66</v>
      </c>
      <c r="Q233" s="35"/>
      <c r="R233" s="32" t="str">
        <f t="shared" si="12"/>
        <v>07-Feb-2011</v>
      </c>
      <c r="S233" s="32" t="str">
        <f t="shared" si="13"/>
        <v>07</v>
      </c>
      <c r="T233" s="32" t="str">
        <f t="shared" si="14"/>
        <v>2011</v>
      </c>
      <c r="U233" s="32">
        <f t="shared" si="15"/>
        <v>11</v>
      </c>
    </row>
    <row r="234" spans="1:21" x14ac:dyDescent="0.35">
      <c r="A234" s="1">
        <v>843</v>
      </c>
      <c r="B234" s="25">
        <v>40581</v>
      </c>
      <c r="C234" s="1">
        <v>1</v>
      </c>
      <c r="D234" s="1">
        <v>0</v>
      </c>
      <c r="E234" s="1">
        <v>2</v>
      </c>
      <c r="F234" s="1">
        <v>13</v>
      </c>
      <c r="G234" s="1" t="b">
        <v>0</v>
      </c>
      <c r="H234" s="1">
        <v>1</v>
      </c>
      <c r="I234" s="1">
        <v>2</v>
      </c>
      <c r="J234" s="26">
        <v>0.36</v>
      </c>
      <c r="K234" s="26">
        <v>0.36359999999999998</v>
      </c>
      <c r="L234" s="27">
        <v>0.56999999999999995</v>
      </c>
      <c r="M234" s="27">
        <v>8.9599999999999999E-2</v>
      </c>
      <c r="N234" s="28">
        <v>10</v>
      </c>
      <c r="O234" s="1">
        <v>54</v>
      </c>
      <c r="P234" s="30">
        <v>64</v>
      </c>
      <c r="Q234" s="35"/>
      <c r="R234" s="32" t="str">
        <f t="shared" si="12"/>
        <v>07-Feb-2011</v>
      </c>
      <c r="S234" s="32" t="str">
        <f t="shared" si="13"/>
        <v>07</v>
      </c>
      <c r="T234" s="32" t="str">
        <f t="shared" si="14"/>
        <v>2011</v>
      </c>
      <c r="U234" s="32">
        <f t="shared" si="15"/>
        <v>11</v>
      </c>
    </row>
    <row r="235" spans="1:21" x14ac:dyDescent="0.35">
      <c r="A235" s="1">
        <v>844</v>
      </c>
      <c r="B235" s="25">
        <v>40581</v>
      </c>
      <c r="C235" s="1">
        <v>1</v>
      </c>
      <c r="D235" s="1">
        <v>0</v>
      </c>
      <c r="E235" s="1">
        <v>2</v>
      </c>
      <c r="F235" s="1">
        <v>14</v>
      </c>
      <c r="G235" s="1" t="b">
        <v>0</v>
      </c>
      <c r="H235" s="1">
        <v>1</v>
      </c>
      <c r="I235" s="1">
        <v>2</v>
      </c>
      <c r="J235" s="26">
        <v>0.36</v>
      </c>
      <c r="K235" s="26">
        <v>0.36359999999999998</v>
      </c>
      <c r="L235" s="27">
        <v>0.56999999999999995</v>
      </c>
      <c r="M235" s="27">
        <v>8.9599999999999999E-2</v>
      </c>
      <c r="N235" s="28">
        <v>8</v>
      </c>
      <c r="O235" s="1">
        <v>52</v>
      </c>
      <c r="P235" s="30">
        <v>60</v>
      </c>
      <c r="Q235" s="35"/>
      <c r="R235" s="32" t="str">
        <f t="shared" si="12"/>
        <v>07-Feb-2011</v>
      </c>
      <c r="S235" s="32" t="str">
        <f t="shared" si="13"/>
        <v>07</v>
      </c>
      <c r="T235" s="32" t="str">
        <f t="shared" si="14"/>
        <v>2011</v>
      </c>
      <c r="U235" s="32">
        <f t="shared" si="15"/>
        <v>11</v>
      </c>
    </row>
    <row r="236" spans="1:21" x14ac:dyDescent="0.35">
      <c r="A236" s="1">
        <v>845</v>
      </c>
      <c r="B236" s="25">
        <v>40581</v>
      </c>
      <c r="C236" s="1">
        <v>1</v>
      </c>
      <c r="D236" s="1">
        <v>0</v>
      </c>
      <c r="E236" s="1">
        <v>2</v>
      </c>
      <c r="F236" s="1">
        <v>15</v>
      </c>
      <c r="G236" s="1" t="b">
        <v>0</v>
      </c>
      <c r="H236" s="1">
        <v>1</v>
      </c>
      <c r="I236" s="1">
        <v>2</v>
      </c>
      <c r="J236" s="26">
        <v>0.38</v>
      </c>
      <c r="K236" s="26">
        <v>0.39389999999999997</v>
      </c>
      <c r="L236" s="27">
        <v>0.54</v>
      </c>
      <c r="M236" s="27">
        <v>8.9599999999999999E-2</v>
      </c>
      <c r="N236" s="28">
        <v>4</v>
      </c>
      <c r="O236" s="1">
        <v>46</v>
      </c>
      <c r="P236" s="30">
        <v>50</v>
      </c>
      <c r="Q236" s="35"/>
      <c r="R236" s="32" t="str">
        <f t="shared" si="12"/>
        <v>07-Feb-2011</v>
      </c>
      <c r="S236" s="32" t="str">
        <f t="shared" si="13"/>
        <v>07</v>
      </c>
      <c r="T236" s="32" t="str">
        <f t="shared" si="14"/>
        <v>2011</v>
      </c>
      <c r="U236" s="32">
        <f t="shared" si="15"/>
        <v>11</v>
      </c>
    </row>
    <row r="237" spans="1:21" x14ac:dyDescent="0.35">
      <c r="A237" s="1">
        <v>846</v>
      </c>
      <c r="B237" s="25">
        <v>40581</v>
      </c>
      <c r="C237" s="1">
        <v>1</v>
      </c>
      <c r="D237" s="1">
        <v>0</v>
      </c>
      <c r="E237" s="1">
        <v>2</v>
      </c>
      <c r="F237" s="1">
        <v>16</v>
      </c>
      <c r="G237" s="1" t="b">
        <v>0</v>
      </c>
      <c r="H237" s="1">
        <v>1</v>
      </c>
      <c r="I237" s="1">
        <v>2</v>
      </c>
      <c r="J237" s="26">
        <v>0.36</v>
      </c>
      <c r="K237" s="26">
        <v>0.34849999999999998</v>
      </c>
      <c r="L237" s="27">
        <v>0.56999999999999995</v>
      </c>
      <c r="M237" s="27">
        <v>0.1343</v>
      </c>
      <c r="N237" s="28">
        <v>16</v>
      </c>
      <c r="O237" s="1">
        <v>98</v>
      </c>
      <c r="P237" s="30">
        <v>114</v>
      </c>
      <c r="Q237" s="35"/>
      <c r="R237" s="32" t="str">
        <f t="shared" si="12"/>
        <v>07-Feb-2011</v>
      </c>
      <c r="S237" s="32" t="str">
        <f t="shared" si="13"/>
        <v>07</v>
      </c>
      <c r="T237" s="32" t="str">
        <f t="shared" si="14"/>
        <v>2011</v>
      </c>
      <c r="U237" s="32">
        <f t="shared" si="15"/>
        <v>11</v>
      </c>
    </row>
    <row r="238" spans="1:21" x14ac:dyDescent="0.35">
      <c r="A238" s="1">
        <v>847</v>
      </c>
      <c r="B238" s="25">
        <v>40581</v>
      </c>
      <c r="C238" s="1">
        <v>1</v>
      </c>
      <c r="D238" s="1">
        <v>0</v>
      </c>
      <c r="E238" s="1">
        <v>2</v>
      </c>
      <c r="F238" s="1">
        <v>17</v>
      </c>
      <c r="G238" s="1" t="b">
        <v>0</v>
      </c>
      <c r="H238" s="1">
        <v>1</v>
      </c>
      <c r="I238" s="1">
        <v>2</v>
      </c>
      <c r="J238" s="26">
        <v>0.32</v>
      </c>
      <c r="K238" s="26">
        <v>0.31819999999999998</v>
      </c>
      <c r="L238" s="27">
        <v>0.7</v>
      </c>
      <c r="M238" s="27">
        <v>0.16420000000000001</v>
      </c>
      <c r="N238" s="28">
        <v>9</v>
      </c>
      <c r="O238" s="1">
        <v>207</v>
      </c>
      <c r="P238" s="30">
        <v>216</v>
      </c>
      <c r="Q238" s="35"/>
      <c r="R238" s="32" t="str">
        <f t="shared" si="12"/>
        <v>07-Feb-2011</v>
      </c>
      <c r="S238" s="32" t="str">
        <f t="shared" si="13"/>
        <v>07</v>
      </c>
      <c r="T238" s="32" t="str">
        <f t="shared" si="14"/>
        <v>2011</v>
      </c>
      <c r="U238" s="32">
        <f t="shared" si="15"/>
        <v>11</v>
      </c>
    </row>
    <row r="239" spans="1:21" x14ac:dyDescent="0.35">
      <c r="A239" s="1">
        <v>848</v>
      </c>
      <c r="B239" s="25">
        <v>40581</v>
      </c>
      <c r="C239" s="1">
        <v>1</v>
      </c>
      <c r="D239" s="1">
        <v>0</v>
      </c>
      <c r="E239" s="1">
        <v>2</v>
      </c>
      <c r="F239" s="1">
        <v>18</v>
      </c>
      <c r="G239" s="1" t="b">
        <v>0</v>
      </c>
      <c r="H239" s="1">
        <v>1</v>
      </c>
      <c r="I239" s="1">
        <v>2</v>
      </c>
      <c r="J239" s="26">
        <v>0.34</v>
      </c>
      <c r="K239" s="26">
        <v>0.33329999999999999</v>
      </c>
      <c r="L239" s="27">
        <v>0.66</v>
      </c>
      <c r="M239" s="27">
        <v>0.1343</v>
      </c>
      <c r="N239" s="28">
        <v>5</v>
      </c>
      <c r="O239" s="1">
        <v>170</v>
      </c>
      <c r="P239" s="30">
        <v>175</v>
      </c>
      <c r="Q239" s="35"/>
      <c r="R239" s="32" t="str">
        <f t="shared" si="12"/>
        <v>07-Feb-2011</v>
      </c>
      <c r="S239" s="32" t="str">
        <f t="shared" si="13"/>
        <v>07</v>
      </c>
      <c r="T239" s="32" t="str">
        <f t="shared" si="14"/>
        <v>2011</v>
      </c>
      <c r="U239" s="32">
        <f t="shared" si="15"/>
        <v>11</v>
      </c>
    </row>
    <row r="240" spans="1:21" x14ac:dyDescent="0.35">
      <c r="A240" s="1">
        <v>849</v>
      </c>
      <c r="B240" s="25">
        <v>40581</v>
      </c>
      <c r="C240" s="1">
        <v>1</v>
      </c>
      <c r="D240" s="1">
        <v>0</v>
      </c>
      <c r="E240" s="1">
        <v>2</v>
      </c>
      <c r="F240" s="1">
        <v>19</v>
      </c>
      <c r="G240" s="1" t="b">
        <v>0</v>
      </c>
      <c r="H240" s="1">
        <v>1</v>
      </c>
      <c r="I240" s="1">
        <v>2</v>
      </c>
      <c r="J240" s="26">
        <v>0.32</v>
      </c>
      <c r="K240" s="26">
        <v>0.34849999999999998</v>
      </c>
      <c r="L240" s="27">
        <v>0.7</v>
      </c>
      <c r="M240" s="27">
        <v>0</v>
      </c>
      <c r="N240" s="28">
        <v>5</v>
      </c>
      <c r="O240" s="1">
        <v>123</v>
      </c>
      <c r="P240" s="30">
        <v>128</v>
      </c>
      <c r="Q240" s="35"/>
      <c r="R240" s="32" t="str">
        <f t="shared" si="12"/>
        <v>07-Feb-2011</v>
      </c>
      <c r="S240" s="32" t="str">
        <f t="shared" si="13"/>
        <v>07</v>
      </c>
      <c r="T240" s="32" t="str">
        <f t="shared" si="14"/>
        <v>2011</v>
      </c>
      <c r="U240" s="32">
        <f t="shared" si="15"/>
        <v>11</v>
      </c>
    </row>
    <row r="241" spans="1:21" x14ac:dyDescent="0.35">
      <c r="A241" s="1">
        <v>850</v>
      </c>
      <c r="B241" s="25">
        <v>40581</v>
      </c>
      <c r="C241" s="1">
        <v>1</v>
      </c>
      <c r="D241" s="1">
        <v>0</v>
      </c>
      <c r="E241" s="1">
        <v>2</v>
      </c>
      <c r="F241" s="1">
        <v>20</v>
      </c>
      <c r="G241" s="1" t="b">
        <v>0</v>
      </c>
      <c r="H241" s="1">
        <v>1</v>
      </c>
      <c r="I241" s="1">
        <v>2</v>
      </c>
      <c r="J241" s="26">
        <v>0.32</v>
      </c>
      <c r="K241" s="26">
        <v>0.33329999999999999</v>
      </c>
      <c r="L241" s="27">
        <v>0.7</v>
      </c>
      <c r="M241" s="27">
        <v>0.1045</v>
      </c>
      <c r="N241" s="28">
        <v>6</v>
      </c>
      <c r="O241" s="1">
        <v>82</v>
      </c>
      <c r="P241" s="30">
        <v>88</v>
      </c>
      <c r="Q241" s="35"/>
      <c r="R241" s="32" t="str">
        <f t="shared" si="12"/>
        <v>07-Feb-2011</v>
      </c>
      <c r="S241" s="32" t="str">
        <f t="shared" si="13"/>
        <v>07</v>
      </c>
      <c r="T241" s="32" t="str">
        <f t="shared" si="14"/>
        <v>2011</v>
      </c>
      <c r="U241" s="32">
        <f t="shared" si="15"/>
        <v>11</v>
      </c>
    </row>
    <row r="242" spans="1:21" x14ac:dyDescent="0.35">
      <c r="A242" s="1">
        <v>851</v>
      </c>
      <c r="B242" s="25">
        <v>40581</v>
      </c>
      <c r="C242" s="1">
        <v>1</v>
      </c>
      <c r="D242" s="1">
        <v>0</v>
      </c>
      <c r="E242" s="1">
        <v>2</v>
      </c>
      <c r="F242" s="1">
        <v>21</v>
      </c>
      <c r="G242" s="1" t="b">
        <v>0</v>
      </c>
      <c r="H242" s="1">
        <v>1</v>
      </c>
      <c r="I242" s="1">
        <v>1</v>
      </c>
      <c r="J242" s="26">
        <v>0.32</v>
      </c>
      <c r="K242" s="26">
        <v>0.34849999999999998</v>
      </c>
      <c r="L242" s="27">
        <v>0.7</v>
      </c>
      <c r="M242" s="27">
        <v>0</v>
      </c>
      <c r="N242" s="28">
        <v>3</v>
      </c>
      <c r="O242" s="1">
        <v>75</v>
      </c>
      <c r="P242" s="30">
        <v>78</v>
      </c>
      <c r="Q242" s="35"/>
      <c r="R242" s="32" t="str">
        <f t="shared" si="12"/>
        <v>07-Feb-2011</v>
      </c>
      <c r="S242" s="32" t="str">
        <f t="shared" si="13"/>
        <v>07</v>
      </c>
      <c r="T242" s="32" t="str">
        <f t="shared" si="14"/>
        <v>2011</v>
      </c>
      <c r="U242" s="32">
        <f t="shared" si="15"/>
        <v>11</v>
      </c>
    </row>
    <row r="243" spans="1:21" x14ac:dyDescent="0.35">
      <c r="A243" s="1">
        <v>852</v>
      </c>
      <c r="B243" s="25">
        <v>40581</v>
      </c>
      <c r="C243" s="1">
        <v>1</v>
      </c>
      <c r="D243" s="1">
        <v>0</v>
      </c>
      <c r="E243" s="1">
        <v>2</v>
      </c>
      <c r="F243" s="1">
        <v>22</v>
      </c>
      <c r="G243" s="1" t="b">
        <v>0</v>
      </c>
      <c r="H243" s="1">
        <v>1</v>
      </c>
      <c r="I243" s="1">
        <v>1</v>
      </c>
      <c r="J243" s="26">
        <v>0.28000000000000003</v>
      </c>
      <c r="K243" s="26">
        <v>0.30299999999999999</v>
      </c>
      <c r="L243" s="27">
        <v>0.81</v>
      </c>
      <c r="M243" s="27">
        <v>8.9599999999999999E-2</v>
      </c>
      <c r="N243" s="28">
        <v>3</v>
      </c>
      <c r="O243" s="1">
        <v>34</v>
      </c>
      <c r="P243" s="30">
        <v>37</v>
      </c>
      <c r="Q243" s="35"/>
      <c r="R243" s="32" t="str">
        <f t="shared" si="12"/>
        <v>07-Feb-2011</v>
      </c>
      <c r="S243" s="32" t="str">
        <f t="shared" si="13"/>
        <v>07</v>
      </c>
      <c r="T243" s="32" t="str">
        <f t="shared" si="14"/>
        <v>2011</v>
      </c>
      <c r="U243" s="32">
        <f t="shared" si="15"/>
        <v>11</v>
      </c>
    </row>
    <row r="244" spans="1:21" x14ac:dyDescent="0.35">
      <c r="A244" s="1">
        <v>853</v>
      </c>
      <c r="B244" s="25">
        <v>40581</v>
      </c>
      <c r="C244" s="1">
        <v>1</v>
      </c>
      <c r="D244" s="1">
        <v>0</v>
      </c>
      <c r="E244" s="1">
        <v>2</v>
      </c>
      <c r="F244" s="1">
        <v>23</v>
      </c>
      <c r="G244" s="1" t="b">
        <v>0</v>
      </c>
      <c r="H244" s="1">
        <v>1</v>
      </c>
      <c r="I244" s="1">
        <v>2</v>
      </c>
      <c r="J244" s="26">
        <v>0.3</v>
      </c>
      <c r="K244" s="26">
        <v>0.33329999999999999</v>
      </c>
      <c r="L244" s="27">
        <v>0.81</v>
      </c>
      <c r="M244" s="27">
        <v>0</v>
      </c>
      <c r="N244" s="28">
        <v>6</v>
      </c>
      <c r="O244" s="1">
        <v>19</v>
      </c>
      <c r="P244" s="30">
        <v>25</v>
      </c>
      <c r="Q244" s="35"/>
      <c r="R244" s="32" t="str">
        <f t="shared" si="12"/>
        <v>07-Feb-2011</v>
      </c>
      <c r="S244" s="32" t="str">
        <f t="shared" si="13"/>
        <v>07</v>
      </c>
      <c r="T244" s="32" t="str">
        <f t="shared" si="14"/>
        <v>2011</v>
      </c>
      <c r="U244" s="32">
        <f t="shared" si="15"/>
        <v>11</v>
      </c>
    </row>
    <row r="245" spans="1:21" x14ac:dyDescent="0.35">
      <c r="A245" s="1">
        <v>854</v>
      </c>
      <c r="B245" s="25">
        <v>40582</v>
      </c>
      <c r="C245" s="1">
        <v>1</v>
      </c>
      <c r="D245" s="1">
        <v>0</v>
      </c>
      <c r="E245" s="1">
        <v>2</v>
      </c>
      <c r="F245" s="1">
        <v>0</v>
      </c>
      <c r="G245" s="1" t="b">
        <v>0</v>
      </c>
      <c r="H245" s="1">
        <v>2</v>
      </c>
      <c r="I245" s="1">
        <v>2</v>
      </c>
      <c r="J245" s="26">
        <v>0.28000000000000003</v>
      </c>
      <c r="K245" s="26">
        <v>0.31819999999999998</v>
      </c>
      <c r="L245" s="27">
        <v>0.87</v>
      </c>
      <c r="M245" s="27">
        <v>0</v>
      </c>
      <c r="N245" s="28">
        <v>4</v>
      </c>
      <c r="O245" s="1">
        <v>6</v>
      </c>
      <c r="P245" s="30">
        <v>10</v>
      </c>
      <c r="Q245" s="35"/>
      <c r="R245" s="32" t="str">
        <f t="shared" si="12"/>
        <v>08-Feb-2011</v>
      </c>
      <c r="S245" s="32" t="str">
        <f t="shared" si="13"/>
        <v>08</v>
      </c>
      <c r="T245" s="32" t="str">
        <f t="shared" si="14"/>
        <v>2011</v>
      </c>
      <c r="U245" s="32">
        <f t="shared" si="15"/>
        <v>11</v>
      </c>
    </row>
    <row r="246" spans="1:21" x14ac:dyDescent="0.35">
      <c r="A246" s="1">
        <v>855</v>
      </c>
      <c r="B246" s="25">
        <v>40582</v>
      </c>
      <c r="C246" s="1">
        <v>1</v>
      </c>
      <c r="D246" s="1">
        <v>0</v>
      </c>
      <c r="E246" s="1">
        <v>2</v>
      </c>
      <c r="F246" s="1">
        <v>1</v>
      </c>
      <c r="G246" s="1" t="b">
        <v>0</v>
      </c>
      <c r="H246" s="1">
        <v>2</v>
      </c>
      <c r="I246" s="1">
        <v>2</v>
      </c>
      <c r="J246" s="26">
        <v>0.28000000000000003</v>
      </c>
      <c r="K246" s="26">
        <v>0.31819999999999998</v>
      </c>
      <c r="L246" s="27">
        <v>0.87</v>
      </c>
      <c r="M246" s="27">
        <v>0</v>
      </c>
      <c r="N246" s="28">
        <v>0</v>
      </c>
      <c r="O246" s="1">
        <v>4</v>
      </c>
      <c r="P246" s="30">
        <v>4</v>
      </c>
      <c r="Q246" s="35"/>
      <c r="R246" s="32" t="str">
        <f t="shared" si="12"/>
        <v>08-Feb-2011</v>
      </c>
      <c r="S246" s="32" t="str">
        <f t="shared" si="13"/>
        <v>08</v>
      </c>
      <c r="T246" s="32" t="str">
        <f t="shared" si="14"/>
        <v>2011</v>
      </c>
      <c r="U246" s="32">
        <f t="shared" si="15"/>
        <v>11</v>
      </c>
    </row>
    <row r="247" spans="1:21" x14ac:dyDescent="0.35">
      <c r="A247" s="1">
        <v>856</v>
      </c>
      <c r="B247" s="25">
        <v>40582</v>
      </c>
      <c r="C247" s="1">
        <v>1</v>
      </c>
      <c r="D247" s="1">
        <v>0</v>
      </c>
      <c r="E247" s="1">
        <v>2</v>
      </c>
      <c r="F247" s="1">
        <v>2</v>
      </c>
      <c r="G247" s="1" t="b">
        <v>0</v>
      </c>
      <c r="H247" s="1">
        <v>2</v>
      </c>
      <c r="I247" s="1">
        <v>2</v>
      </c>
      <c r="J247" s="26">
        <v>0.26</v>
      </c>
      <c r="K247" s="26">
        <v>0.2727</v>
      </c>
      <c r="L247" s="27">
        <v>0.93</v>
      </c>
      <c r="M247" s="27">
        <v>0.1045</v>
      </c>
      <c r="N247" s="28">
        <v>1</v>
      </c>
      <c r="O247" s="1">
        <v>1</v>
      </c>
      <c r="P247" s="30">
        <v>2</v>
      </c>
      <c r="Q247" s="35"/>
      <c r="R247" s="32" t="str">
        <f t="shared" si="12"/>
        <v>08-Feb-2011</v>
      </c>
      <c r="S247" s="32" t="str">
        <f t="shared" si="13"/>
        <v>08</v>
      </c>
      <c r="T247" s="32" t="str">
        <f t="shared" si="14"/>
        <v>2011</v>
      </c>
      <c r="U247" s="32">
        <f t="shared" si="15"/>
        <v>11</v>
      </c>
    </row>
    <row r="248" spans="1:21" x14ac:dyDescent="0.35">
      <c r="A248" s="1">
        <v>857</v>
      </c>
      <c r="B248" s="25">
        <v>40582</v>
      </c>
      <c r="C248" s="1">
        <v>1</v>
      </c>
      <c r="D248" s="1">
        <v>0</v>
      </c>
      <c r="E248" s="1">
        <v>2</v>
      </c>
      <c r="F248" s="1">
        <v>3</v>
      </c>
      <c r="G248" s="1" t="b">
        <v>0</v>
      </c>
      <c r="H248" s="1">
        <v>2</v>
      </c>
      <c r="I248" s="1">
        <v>3</v>
      </c>
      <c r="J248" s="26">
        <v>0.28000000000000003</v>
      </c>
      <c r="K248" s="26">
        <v>0.2727</v>
      </c>
      <c r="L248" s="27">
        <v>0.93</v>
      </c>
      <c r="M248" s="27">
        <v>0.16420000000000001</v>
      </c>
      <c r="N248" s="28">
        <v>0</v>
      </c>
      <c r="O248" s="1">
        <v>1</v>
      </c>
      <c r="P248" s="30">
        <v>1</v>
      </c>
      <c r="Q248" s="35"/>
      <c r="R248" s="32" t="str">
        <f t="shared" si="12"/>
        <v>08-Feb-2011</v>
      </c>
      <c r="S248" s="32" t="str">
        <f t="shared" si="13"/>
        <v>08</v>
      </c>
      <c r="T248" s="32" t="str">
        <f t="shared" si="14"/>
        <v>2011</v>
      </c>
      <c r="U248" s="32">
        <f t="shared" si="15"/>
        <v>11</v>
      </c>
    </row>
    <row r="249" spans="1:21" x14ac:dyDescent="0.35">
      <c r="A249" s="1">
        <v>858</v>
      </c>
      <c r="B249" s="25">
        <v>40582</v>
      </c>
      <c r="C249" s="1">
        <v>1</v>
      </c>
      <c r="D249" s="1">
        <v>0</v>
      </c>
      <c r="E249" s="1">
        <v>2</v>
      </c>
      <c r="F249" s="1">
        <v>4</v>
      </c>
      <c r="G249" s="1" t="b">
        <v>0</v>
      </c>
      <c r="H249" s="1">
        <v>2</v>
      </c>
      <c r="I249" s="1">
        <v>1</v>
      </c>
      <c r="J249" s="26">
        <v>0.26</v>
      </c>
      <c r="K249" s="26">
        <v>0.2576</v>
      </c>
      <c r="L249" s="27">
        <v>0.93</v>
      </c>
      <c r="M249" s="27">
        <v>0.16420000000000001</v>
      </c>
      <c r="N249" s="28">
        <v>0</v>
      </c>
      <c r="O249" s="1">
        <v>3</v>
      </c>
      <c r="P249" s="30">
        <v>3</v>
      </c>
      <c r="Q249" s="35"/>
      <c r="R249" s="32" t="str">
        <f t="shared" si="12"/>
        <v>08-Feb-2011</v>
      </c>
      <c r="S249" s="32" t="str">
        <f t="shared" si="13"/>
        <v>08</v>
      </c>
      <c r="T249" s="32" t="str">
        <f t="shared" si="14"/>
        <v>2011</v>
      </c>
      <c r="U249" s="32">
        <f t="shared" si="15"/>
        <v>11</v>
      </c>
    </row>
    <row r="250" spans="1:21" x14ac:dyDescent="0.35">
      <c r="A250" s="1">
        <v>859</v>
      </c>
      <c r="B250" s="25">
        <v>40582</v>
      </c>
      <c r="C250" s="1">
        <v>1</v>
      </c>
      <c r="D250" s="1">
        <v>0</v>
      </c>
      <c r="E250" s="1">
        <v>2</v>
      </c>
      <c r="F250" s="1">
        <v>5</v>
      </c>
      <c r="G250" s="1" t="b">
        <v>0</v>
      </c>
      <c r="H250" s="1">
        <v>2</v>
      </c>
      <c r="I250" s="1">
        <v>1</v>
      </c>
      <c r="J250" s="26">
        <v>0.26</v>
      </c>
      <c r="K250" s="26">
        <v>0.2273</v>
      </c>
      <c r="L250" s="27">
        <v>0.81</v>
      </c>
      <c r="M250" s="27">
        <v>0.32840000000000003</v>
      </c>
      <c r="N250" s="28">
        <v>0</v>
      </c>
      <c r="O250" s="1">
        <v>2</v>
      </c>
      <c r="P250" s="30">
        <v>2</v>
      </c>
      <c r="Q250" s="35"/>
      <c r="R250" s="32" t="str">
        <f t="shared" si="12"/>
        <v>08-Feb-2011</v>
      </c>
      <c r="S250" s="32" t="str">
        <f t="shared" si="13"/>
        <v>08</v>
      </c>
      <c r="T250" s="32" t="str">
        <f t="shared" si="14"/>
        <v>2011</v>
      </c>
      <c r="U250" s="32">
        <f t="shared" si="15"/>
        <v>11</v>
      </c>
    </row>
    <row r="251" spans="1:21" x14ac:dyDescent="0.35">
      <c r="A251" s="1">
        <v>860</v>
      </c>
      <c r="B251" s="25">
        <v>40582</v>
      </c>
      <c r="C251" s="1">
        <v>1</v>
      </c>
      <c r="D251" s="1">
        <v>0</v>
      </c>
      <c r="E251" s="1">
        <v>2</v>
      </c>
      <c r="F251" s="1">
        <v>6</v>
      </c>
      <c r="G251" s="1" t="b">
        <v>0</v>
      </c>
      <c r="H251" s="1">
        <v>2</v>
      </c>
      <c r="I251" s="1">
        <v>1</v>
      </c>
      <c r="J251" s="26">
        <v>0.26</v>
      </c>
      <c r="K251" s="26">
        <v>0.2273</v>
      </c>
      <c r="L251" s="27">
        <v>0.7</v>
      </c>
      <c r="M251" s="27">
        <v>0.32840000000000003</v>
      </c>
      <c r="N251" s="28">
        <v>0</v>
      </c>
      <c r="O251" s="1">
        <v>39</v>
      </c>
      <c r="P251" s="30">
        <v>39</v>
      </c>
      <c r="Q251" s="35"/>
      <c r="R251" s="32" t="str">
        <f t="shared" si="12"/>
        <v>08-Feb-2011</v>
      </c>
      <c r="S251" s="32" t="str">
        <f t="shared" si="13"/>
        <v>08</v>
      </c>
      <c r="T251" s="32" t="str">
        <f t="shared" si="14"/>
        <v>2011</v>
      </c>
      <c r="U251" s="32">
        <f t="shared" si="15"/>
        <v>11</v>
      </c>
    </row>
    <row r="252" spans="1:21" x14ac:dyDescent="0.35">
      <c r="A252" s="1">
        <v>861</v>
      </c>
      <c r="B252" s="25">
        <v>40582</v>
      </c>
      <c r="C252" s="1">
        <v>1</v>
      </c>
      <c r="D252" s="1">
        <v>0</v>
      </c>
      <c r="E252" s="1">
        <v>2</v>
      </c>
      <c r="F252" s="1">
        <v>7</v>
      </c>
      <c r="G252" s="1" t="b">
        <v>0</v>
      </c>
      <c r="H252" s="1">
        <v>2</v>
      </c>
      <c r="I252" s="1">
        <v>1</v>
      </c>
      <c r="J252" s="26">
        <v>0.24</v>
      </c>
      <c r="K252" s="26">
        <v>0.19700000000000001</v>
      </c>
      <c r="L252" s="27">
        <v>0.65</v>
      </c>
      <c r="M252" s="27">
        <v>0.41789999999999999</v>
      </c>
      <c r="N252" s="28">
        <v>3</v>
      </c>
      <c r="O252" s="1">
        <v>97</v>
      </c>
      <c r="P252" s="30">
        <v>100</v>
      </c>
      <c r="Q252" s="35"/>
      <c r="R252" s="32" t="str">
        <f t="shared" si="12"/>
        <v>08-Feb-2011</v>
      </c>
      <c r="S252" s="32" t="str">
        <f t="shared" si="13"/>
        <v>08</v>
      </c>
      <c r="T252" s="32" t="str">
        <f t="shared" si="14"/>
        <v>2011</v>
      </c>
      <c r="U252" s="32">
        <f t="shared" si="15"/>
        <v>11</v>
      </c>
    </row>
    <row r="253" spans="1:21" x14ac:dyDescent="0.35">
      <c r="A253" s="1">
        <v>862</v>
      </c>
      <c r="B253" s="25">
        <v>40582</v>
      </c>
      <c r="C253" s="1">
        <v>1</v>
      </c>
      <c r="D253" s="1">
        <v>0</v>
      </c>
      <c r="E253" s="1">
        <v>2</v>
      </c>
      <c r="F253" s="1">
        <v>8</v>
      </c>
      <c r="G253" s="1" t="b">
        <v>0</v>
      </c>
      <c r="H253" s="1">
        <v>2</v>
      </c>
      <c r="I253" s="1">
        <v>1</v>
      </c>
      <c r="J253" s="26">
        <v>0.24</v>
      </c>
      <c r="K253" s="26">
        <v>0.19700000000000001</v>
      </c>
      <c r="L253" s="27">
        <v>0.56000000000000005</v>
      </c>
      <c r="M253" s="27">
        <v>0.49249999999999999</v>
      </c>
      <c r="N253" s="28">
        <v>7</v>
      </c>
      <c r="O253" s="1">
        <v>236</v>
      </c>
      <c r="P253" s="30">
        <v>243</v>
      </c>
      <c r="Q253" s="35"/>
      <c r="R253" s="32" t="str">
        <f t="shared" si="12"/>
        <v>08-Feb-2011</v>
      </c>
      <c r="S253" s="32" t="str">
        <f t="shared" si="13"/>
        <v>08</v>
      </c>
      <c r="T253" s="32" t="str">
        <f t="shared" si="14"/>
        <v>2011</v>
      </c>
      <c r="U253" s="32">
        <f t="shared" si="15"/>
        <v>11</v>
      </c>
    </row>
    <row r="254" spans="1:21" x14ac:dyDescent="0.35">
      <c r="A254" s="1">
        <v>863</v>
      </c>
      <c r="B254" s="25">
        <v>40582</v>
      </c>
      <c r="C254" s="1">
        <v>1</v>
      </c>
      <c r="D254" s="1">
        <v>0</v>
      </c>
      <c r="E254" s="1">
        <v>2</v>
      </c>
      <c r="F254" s="1">
        <v>9</v>
      </c>
      <c r="G254" s="1" t="b">
        <v>0</v>
      </c>
      <c r="H254" s="1">
        <v>2</v>
      </c>
      <c r="I254" s="1">
        <v>1</v>
      </c>
      <c r="J254" s="26">
        <v>0.24</v>
      </c>
      <c r="K254" s="26">
        <v>0.19700000000000001</v>
      </c>
      <c r="L254" s="27">
        <v>0.52</v>
      </c>
      <c r="M254" s="27">
        <v>0.49249999999999999</v>
      </c>
      <c r="N254" s="28">
        <v>7</v>
      </c>
      <c r="O254" s="1">
        <v>128</v>
      </c>
      <c r="P254" s="30">
        <v>135</v>
      </c>
      <c r="Q254" s="35"/>
      <c r="R254" s="32" t="str">
        <f t="shared" si="12"/>
        <v>08-Feb-2011</v>
      </c>
      <c r="S254" s="32" t="str">
        <f t="shared" si="13"/>
        <v>08</v>
      </c>
      <c r="T254" s="32" t="str">
        <f t="shared" si="14"/>
        <v>2011</v>
      </c>
      <c r="U254" s="32">
        <f t="shared" si="15"/>
        <v>11</v>
      </c>
    </row>
    <row r="255" spans="1:21" x14ac:dyDescent="0.35">
      <c r="A255" s="1">
        <v>864</v>
      </c>
      <c r="B255" s="25">
        <v>40582</v>
      </c>
      <c r="C255" s="1">
        <v>1</v>
      </c>
      <c r="D255" s="1">
        <v>0</v>
      </c>
      <c r="E255" s="1">
        <v>2</v>
      </c>
      <c r="F255" s="1">
        <v>10</v>
      </c>
      <c r="G255" s="1" t="b">
        <v>0</v>
      </c>
      <c r="H255" s="1">
        <v>2</v>
      </c>
      <c r="I255" s="1">
        <v>1</v>
      </c>
      <c r="J255" s="26">
        <v>0.22</v>
      </c>
      <c r="K255" s="26">
        <v>0.18179999999999999</v>
      </c>
      <c r="L255" s="27">
        <v>0.47</v>
      </c>
      <c r="M255" s="27">
        <v>0.55220000000000002</v>
      </c>
      <c r="N255" s="28">
        <v>4</v>
      </c>
      <c r="O255" s="1">
        <v>44</v>
      </c>
      <c r="P255" s="30">
        <v>48</v>
      </c>
      <c r="Q255" s="35"/>
      <c r="R255" s="32" t="str">
        <f t="shared" si="12"/>
        <v>08-Feb-2011</v>
      </c>
      <c r="S255" s="32" t="str">
        <f t="shared" si="13"/>
        <v>08</v>
      </c>
      <c r="T255" s="32" t="str">
        <f t="shared" si="14"/>
        <v>2011</v>
      </c>
      <c r="U255" s="32">
        <f t="shared" si="15"/>
        <v>11</v>
      </c>
    </row>
    <row r="256" spans="1:21" x14ac:dyDescent="0.35">
      <c r="A256" s="1">
        <v>865</v>
      </c>
      <c r="B256" s="25">
        <v>40582</v>
      </c>
      <c r="C256" s="1">
        <v>1</v>
      </c>
      <c r="D256" s="1">
        <v>0</v>
      </c>
      <c r="E256" s="1">
        <v>2</v>
      </c>
      <c r="F256" s="1">
        <v>11</v>
      </c>
      <c r="G256" s="1" t="b">
        <v>0</v>
      </c>
      <c r="H256" s="1">
        <v>2</v>
      </c>
      <c r="I256" s="1">
        <v>1</v>
      </c>
      <c r="J256" s="26">
        <v>0.22</v>
      </c>
      <c r="K256" s="26">
        <v>0.18179999999999999</v>
      </c>
      <c r="L256" s="27">
        <v>0.47</v>
      </c>
      <c r="M256" s="27">
        <v>0.4627</v>
      </c>
      <c r="N256" s="28">
        <v>1</v>
      </c>
      <c r="O256" s="1">
        <v>49</v>
      </c>
      <c r="P256" s="30">
        <v>50</v>
      </c>
      <c r="Q256" s="35"/>
      <c r="R256" s="32" t="str">
        <f t="shared" si="12"/>
        <v>08-Feb-2011</v>
      </c>
      <c r="S256" s="32" t="str">
        <f t="shared" si="13"/>
        <v>08</v>
      </c>
      <c r="T256" s="32" t="str">
        <f t="shared" si="14"/>
        <v>2011</v>
      </c>
      <c r="U256" s="32">
        <f t="shared" si="15"/>
        <v>11</v>
      </c>
    </row>
    <row r="257" spans="1:21" x14ac:dyDescent="0.35">
      <c r="A257" s="1">
        <v>866</v>
      </c>
      <c r="B257" s="25">
        <v>40582</v>
      </c>
      <c r="C257" s="1">
        <v>1</v>
      </c>
      <c r="D257" s="1">
        <v>0</v>
      </c>
      <c r="E257" s="1">
        <v>2</v>
      </c>
      <c r="F257" s="1">
        <v>12</v>
      </c>
      <c r="G257" s="1" t="b">
        <v>0</v>
      </c>
      <c r="H257" s="1">
        <v>2</v>
      </c>
      <c r="I257" s="1">
        <v>1</v>
      </c>
      <c r="J257" s="26">
        <v>0.24</v>
      </c>
      <c r="K257" s="26">
        <v>0.19700000000000001</v>
      </c>
      <c r="L257" s="27">
        <v>0.38</v>
      </c>
      <c r="M257" s="27">
        <v>0.49249999999999999</v>
      </c>
      <c r="N257" s="28">
        <v>2</v>
      </c>
      <c r="O257" s="1">
        <v>63</v>
      </c>
      <c r="P257" s="30">
        <v>65</v>
      </c>
      <c r="Q257" s="35"/>
      <c r="R257" s="32" t="str">
        <f t="shared" si="12"/>
        <v>08-Feb-2011</v>
      </c>
      <c r="S257" s="32" t="str">
        <f t="shared" si="13"/>
        <v>08</v>
      </c>
      <c r="T257" s="32" t="str">
        <f t="shared" si="14"/>
        <v>2011</v>
      </c>
      <c r="U257" s="32">
        <f t="shared" si="15"/>
        <v>11</v>
      </c>
    </row>
    <row r="258" spans="1:21" x14ac:dyDescent="0.35">
      <c r="A258" s="1">
        <v>867</v>
      </c>
      <c r="B258" s="25">
        <v>40582</v>
      </c>
      <c r="C258" s="1">
        <v>1</v>
      </c>
      <c r="D258" s="1">
        <v>0</v>
      </c>
      <c r="E258" s="1">
        <v>2</v>
      </c>
      <c r="F258" s="1">
        <v>13</v>
      </c>
      <c r="G258" s="1" t="b">
        <v>0</v>
      </c>
      <c r="H258" s="1">
        <v>2</v>
      </c>
      <c r="I258" s="1">
        <v>2</v>
      </c>
      <c r="J258" s="26">
        <v>0.24</v>
      </c>
      <c r="K258" s="26">
        <v>0.19700000000000001</v>
      </c>
      <c r="L258" s="27">
        <v>0.32</v>
      </c>
      <c r="M258" s="27">
        <v>0.44779999999999998</v>
      </c>
      <c r="N258" s="28">
        <v>2</v>
      </c>
      <c r="O258" s="1">
        <v>48</v>
      </c>
      <c r="P258" s="30">
        <v>50</v>
      </c>
      <c r="Q258" s="35"/>
      <c r="R258" s="32" t="str">
        <f t="shared" ref="R258:R321" si="16">TEXT(B258,"dd-mmm-yyyy")</f>
        <v>08-Feb-2011</v>
      </c>
      <c r="S258" s="32" t="str">
        <f t="shared" si="13"/>
        <v>08</v>
      </c>
      <c r="T258" s="32" t="str">
        <f t="shared" si="14"/>
        <v>2011</v>
      </c>
      <c r="U258" s="32">
        <f t="shared" si="15"/>
        <v>11</v>
      </c>
    </row>
    <row r="259" spans="1:21" x14ac:dyDescent="0.35">
      <c r="A259" s="1">
        <v>868</v>
      </c>
      <c r="B259" s="25">
        <v>40582</v>
      </c>
      <c r="C259" s="1">
        <v>1</v>
      </c>
      <c r="D259" s="1">
        <v>0</v>
      </c>
      <c r="E259" s="1">
        <v>2</v>
      </c>
      <c r="F259" s="1">
        <v>14</v>
      </c>
      <c r="G259" s="1" t="b">
        <v>0</v>
      </c>
      <c r="H259" s="1">
        <v>2</v>
      </c>
      <c r="I259" s="1">
        <v>1</v>
      </c>
      <c r="J259" s="26">
        <v>0.22</v>
      </c>
      <c r="K259" s="26">
        <v>0.19700000000000001</v>
      </c>
      <c r="L259" s="27">
        <v>0.37</v>
      </c>
      <c r="M259" s="27">
        <v>0.41789999999999999</v>
      </c>
      <c r="N259" s="28">
        <v>3</v>
      </c>
      <c r="O259" s="1">
        <v>61</v>
      </c>
      <c r="P259" s="30">
        <v>64</v>
      </c>
      <c r="Q259" s="35"/>
      <c r="R259" s="32" t="str">
        <f t="shared" si="16"/>
        <v>08-Feb-2011</v>
      </c>
      <c r="S259" s="32" t="str">
        <f t="shared" ref="S259:S322" si="17">LEFT(R259,2)</f>
        <v>08</v>
      </c>
      <c r="T259" s="32" t="str">
        <f t="shared" ref="T259:T322" si="18">RIGHT(R259,4)</f>
        <v>2011</v>
      </c>
      <c r="U259" s="32">
        <f t="shared" ref="U259:U322" si="19">LEN(R259)</f>
        <v>11</v>
      </c>
    </row>
    <row r="260" spans="1:21" x14ac:dyDescent="0.35">
      <c r="A260" s="1">
        <v>869</v>
      </c>
      <c r="B260" s="25">
        <v>40582</v>
      </c>
      <c r="C260" s="1">
        <v>1</v>
      </c>
      <c r="D260" s="1">
        <v>0</v>
      </c>
      <c r="E260" s="1">
        <v>2</v>
      </c>
      <c r="F260" s="1">
        <v>15</v>
      </c>
      <c r="G260" s="1" t="b">
        <v>0</v>
      </c>
      <c r="H260" s="1">
        <v>2</v>
      </c>
      <c r="I260" s="1">
        <v>1</v>
      </c>
      <c r="J260" s="26">
        <v>0.22</v>
      </c>
      <c r="K260" s="26">
        <v>0.19700000000000001</v>
      </c>
      <c r="L260" s="27">
        <v>0.35</v>
      </c>
      <c r="M260" s="27">
        <v>0.3881</v>
      </c>
      <c r="N260" s="28">
        <v>6</v>
      </c>
      <c r="O260" s="1">
        <v>45</v>
      </c>
      <c r="P260" s="30">
        <v>51</v>
      </c>
      <c r="Q260" s="35"/>
      <c r="R260" s="32" t="str">
        <f t="shared" si="16"/>
        <v>08-Feb-2011</v>
      </c>
      <c r="S260" s="32" t="str">
        <f t="shared" si="17"/>
        <v>08</v>
      </c>
      <c r="T260" s="32" t="str">
        <f t="shared" si="18"/>
        <v>2011</v>
      </c>
      <c r="U260" s="32">
        <f t="shared" si="19"/>
        <v>11</v>
      </c>
    </row>
    <row r="261" spans="1:21" x14ac:dyDescent="0.35">
      <c r="A261" s="1">
        <v>870</v>
      </c>
      <c r="B261" s="25">
        <v>40582</v>
      </c>
      <c r="C261" s="1">
        <v>1</v>
      </c>
      <c r="D261" s="1">
        <v>0</v>
      </c>
      <c r="E261" s="1">
        <v>2</v>
      </c>
      <c r="F261" s="1">
        <v>16</v>
      </c>
      <c r="G261" s="1" t="b">
        <v>0</v>
      </c>
      <c r="H261" s="1">
        <v>2</v>
      </c>
      <c r="I261" s="1">
        <v>1</v>
      </c>
      <c r="J261" s="26">
        <v>0.22</v>
      </c>
      <c r="K261" s="26">
        <v>0.18179999999999999</v>
      </c>
      <c r="L261" s="27">
        <v>0.35</v>
      </c>
      <c r="M261" s="27">
        <v>0.52239999999999998</v>
      </c>
      <c r="N261" s="28">
        <v>4</v>
      </c>
      <c r="O261" s="1">
        <v>79</v>
      </c>
      <c r="P261" s="30">
        <v>83</v>
      </c>
      <c r="Q261" s="35"/>
      <c r="R261" s="32" t="str">
        <f t="shared" si="16"/>
        <v>08-Feb-2011</v>
      </c>
      <c r="S261" s="32" t="str">
        <f t="shared" si="17"/>
        <v>08</v>
      </c>
      <c r="T261" s="32" t="str">
        <f t="shared" si="18"/>
        <v>2011</v>
      </c>
      <c r="U261" s="32">
        <f t="shared" si="19"/>
        <v>11</v>
      </c>
    </row>
    <row r="262" spans="1:21" x14ac:dyDescent="0.35">
      <c r="A262" s="1">
        <v>871</v>
      </c>
      <c r="B262" s="25">
        <v>40582</v>
      </c>
      <c r="C262" s="1">
        <v>1</v>
      </c>
      <c r="D262" s="1">
        <v>0</v>
      </c>
      <c r="E262" s="1">
        <v>2</v>
      </c>
      <c r="F262" s="1">
        <v>17</v>
      </c>
      <c r="G262" s="1" t="b">
        <v>0</v>
      </c>
      <c r="H262" s="1">
        <v>2</v>
      </c>
      <c r="I262" s="1">
        <v>1</v>
      </c>
      <c r="J262" s="26">
        <v>0.22</v>
      </c>
      <c r="K262" s="26">
        <v>0.18179999999999999</v>
      </c>
      <c r="L262" s="27">
        <v>0.32</v>
      </c>
      <c r="M262" s="27">
        <v>0.58209999999999995</v>
      </c>
      <c r="N262" s="28">
        <v>4</v>
      </c>
      <c r="O262" s="1">
        <v>172</v>
      </c>
      <c r="P262" s="30">
        <v>176</v>
      </c>
      <c r="Q262" s="35"/>
      <c r="R262" s="32" t="str">
        <f t="shared" si="16"/>
        <v>08-Feb-2011</v>
      </c>
      <c r="S262" s="32" t="str">
        <f t="shared" si="17"/>
        <v>08</v>
      </c>
      <c r="T262" s="32" t="str">
        <f t="shared" si="18"/>
        <v>2011</v>
      </c>
      <c r="U262" s="32">
        <f t="shared" si="19"/>
        <v>11</v>
      </c>
    </row>
    <row r="263" spans="1:21" x14ac:dyDescent="0.35">
      <c r="A263" s="1">
        <v>872</v>
      </c>
      <c r="B263" s="25">
        <v>40582</v>
      </c>
      <c r="C263" s="1">
        <v>1</v>
      </c>
      <c r="D263" s="1">
        <v>0</v>
      </c>
      <c r="E263" s="1">
        <v>2</v>
      </c>
      <c r="F263" s="1">
        <v>18</v>
      </c>
      <c r="G263" s="1" t="b">
        <v>0</v>
      </c>
      <c r="H263" s="1">
        <v>2</v>
      </c>
      <c r="I263" s="1">
        <v>1</v>
      </c>
      <c r="J263" s="26">
        <v>0.2</v>
      </c>
      <c r="K263" s="26">
        <v>0.18179999999999999</v>
      </c>
      <c r="L263" s="27">
        <v>0.32</v>
      </c>
      <c r="M263" s="27">
        <v>0.3881</v>
      </c>
      <c r="N263" s="28">
        <v>1</v>
      </c>
      <c r="O263" s="1">
        <v>151</v>
      </c>
      <c r="P263" s="30">
        <v>152</v>
      </c>
      <c r="Q263" s="35"/>
      <c r="R263" s="32" t="str">
        <f t="shared" si="16"/>
        <v>08-Feb-2011</v>
      </c>
      <c r="S263" s="32" t="str">
        <f t="shared" si="17"/>
        <v>08</v>
      </c>
      <c r="T263" s="32" t="str">
        <f t="shared" si="18"/>
        <v>2011</v>
      </c>
      <c r="U263" s="32">
        <f t="shared" si="19"/>
        <v>11</v>
      </c>
    </row>
    <row r="264" spans="1:21" x14ac:dyDescent="0.35">
      <c r="A264" s="1">
        <v>873</v>
      </c>
      <c r="B264" s="25">
        <v>40582</v>
      </c>
      <c r="C264" s="1">
        <v>1</v>
      </c>
      <c r="D264" s="1">
        <v>0</v>
      </c>
      <c r="E264" s="1">
        <v>2</v>
      </c>
      <c r="F264" s="1">
        <v>19</v>
      </c>
      <c r="G264" s="1" t="b">
        <v>0</v>
      </c>
      <c r="H264" s="1">
        <v>2</v>
      </c>
      <c r="I264" s="1">
        <v>1</v>
      </c>
      <c r="J264" s="26">
        <v>0.16</v>
      </c>
      <c r="K264" s="26">
        <v>0.1212</v>
      </c>
      <c r="L264" s="27">
        <v>0.4</v>
      </c>
      <c r="M264" s="27">
        <v>0.4627</v>
      </c>
      <c r="N264" s="28">
        <v>1</v>
      </c>
      <c r="O264" s="1">
        <v>100</v>
      </c>
      <c r="P264" s="30">
        <v>101</v>
      </c>
      <c r="Q264" s="35"/>
      <c r="R264" s="32" t="str">
        <f t="shared" si="16"/>
        <v>08-Feb-2011</v>
      </c>
      <c r="S264" s="32" t="str">
        <f t="shared" si="17"/>
        <v>08</v>
      </c>
      <c r="T264" s="32" t="str">
        <f t="shared" si="18"/>
        <v>2011</v>
      </c>
      <c r="U264" s="32">
        <f t="shared" si="19"/>
        <v>11</v>
      </c>
    </row>
    <row r="265" spans="1:21" x14ac:dyDescent="0.35">
      <c r="A265" s="1">
        <v>874</v>
      </c>
      <c r="B265" s="25">
        <v>40582</v>
      </c>
      <c r="C265" s="1">
        <v>1</v>
      </c>
      <c r="D265" s="1">
        <v>0</v>
      </c>
      <c r="E265" s="1">
        <v>2</v>
      </c>
      <c r="F265" s="1">
        <v>20</v>
      </c>
      <c r="G265" s="1" t="b">
        <v>0</v>
      </c>
      <c r="H265" s="1">
        <v>2</v>
      </c>
      <c r="I265" s="1">
        <v>1</v>
      </c>
      <c r="J265" s="26">
        <v>0.16</v>
      </c>
      <c r="K265" s="26">
        <v>0.13639999999999999</v>
      </c>
      <c r="L265" s="27">
        <v>0.4</v>
      </c>
      <c r="M265" s="27">
        <v>0.32840000000000003</v>
      </c>
      <c r="N265" s="28">
        <v>3</v>
      </c>
      <c r="O265" s="1">
        <v>53</v>
      </c>
      <c r="P265" s="30">
        <v>56</v>
      </c>
      <c r="Q265" s="35"/>
      <c r="R265" s="32" t="str">
        <f t="shared" si="16"/>
        <v>08-Feb-2011</v>
      </c>
      <c r="S265" s="32" t="str">
        <f t="shared" si="17"/>
        <v>08</v>
      </c>
      <c r="T265" s="32" t="str">
        <f t="shared" si="18"/>
        <v>2011</v>
      </c>
      <c r="U265" s="32">
        <f t="shared" si="19"/>
        <v>11</v>
      </c>
    </row>
    <row r="266" spans="1:21" x14ac:dyDescent="0.35">
      <c r="A266" s="1">
        <v>875</v>
      </c>
      <c r="B266" s="25">
        <v>40582</v>
      </c>
      <c r="C266" s="1">
        <v>1</v>
      </c>
      <c r="D266" s="1">
        <v>0</v>
      </c>
      <c r="E266" s="1">
        <v>2</v>
      </c>
      <c r="F266" s="1">
        <v>21</v>
      </c>
      <c r="G266" s="1" t="b">
        <v>0</v>
      </c>
      <c r="H266" s="1">
        <v>2</v>
      </c>
      <c r="I266" s="1">
        <v>1</v>
      </c>
      <c r="J266" s="26">
        <v>0.14000000000000001</v>
      </c>
      <c r="K266" s="26">
        <v>0.1061</v>
      </c>
      <c r="L266" s="27">
        <v>0.33</v>
      </c>
      <c r="M266" s="27">
        <v>0.4627</v>
      </c>
      <c r="N266" s="28">
        <v>8</v>
      </c>
      <c r="O266" s="1">
        <v>46</v>
      </c>
      <c r="P266" s="30">
        <v>54</v>
      </c>
      <c r="Q266" s="35"/>
      <c r="R266" s="32" t="str">
        <f t="shared" si="16"/>
        <v>08-Feb-2011</v>
      </c>
      <c r="S266" s="32" t="str">
        <f t="shared" si="17"/>
        <v>08</v>
      </c>
      <c r="T266" s="32" t="str">
        <f t="shared" si="18"/>
        <v>2011</v>
      </c>
      <c r="U266" s="32">
        <f t="shared" si="19"/>
        <v>11</v>
      </c>
    </row>
    <row r="267" spans="1:21" x14ac:dyDescent="0.35">
      <c r="A267" s="1">
        <v>876</v>
      </c>
      <c r="B267" s="25">
        <v>40582</v>
      </c>
      <c r="C267" s="1">
        <v>1</v>
      </c>
      <c r="D267" s="1">
        <v>0</v>
      </c>
      <c r="E267" s="1">
        <v>2</v>
      </c>
      <c r="F267" s="1">
        <v>22</v>
      </c>
      <c r="G267" s="1" t="b">
        <v>0</v>
      </c>
      <c r="H267" s="1">
        <v>2</v>
      </c>
      <c r="I267" s="1">
        <v>1</v>
      </c>
      <c r="J267" s="26">
        <v>0.12</v>
      </c>
      <c r="K267" s="26">
        <v>0.1061</v>
      </c>
      <c r="L267" s="27">
        <v>0.33</v>
      </c>
      <c r="M267" s="27">
        <v>0.35820000000000002</v>
      </c>
      <c r="N267" s="28">
        <v>0</v>
      </c>
      <c r="O267" s="1">
        <v>29</v>
      </c>
      <c r="P267" s="30">
        <v>29</v>
      </c>
      <c r="Q267" s="35"/>
      <c r="R267" s="32" t="str">
        <f t="shared" si="16"/>
        <v>08-Feb-2011</v>
      </c>
      <c r="S267" s="32" t="str">
        <f t="shared" si="17"/>
        <v>08</v>
      </c>
      <c r="T267" s="32" t="str">
        <f t="shared" si="18"/>
        <v>2011</v>
      </c>
      <c r="U267" s="32">
        <f t="shared" si="19"/>
        <v>11</v>
      </c>
    </row>
    <row r="268" spans="1:21" x14ac:dyDescent="0.35">
      <c r="A268" s="1">
        <v>877</v>
      </c>
      <c r="B268" s="25">
        <v>40582</v>
      </c>
      <c r="C268" s="1">
        <v>1</v>
      </c>
      <c r="D268" s="1">
        <v>0</v>
      </c>
      <c r="E268" s="1">
        <v>2</v>
      </c>
      <c r="F268" s="1">
        <v>23</v>
      </c>
      <c r="G268" s="1" t="b">
        <v>0</v>
      </c>
      <c r="H268" s="1">
        <v>2</v>
      </c>
      <c r="I268" s="1">
        <v>1</v>
      </c>
      <c r="J268" s="26">
        <v>0.12</v>
      </c>
      <c r="K268" s="26">
        <v>0.1061</v>
      </c>
      <c r="L268" s="27">
        <v>0.33</v>
      </c>
      <c r="M268" s="27">
        <v>0.32840000000000003</v>
      </c>
      <c r="N268" s="28">
        <v>3</v>
      </c>
      <c r="O268" s="1">
        <v>9</v>
      </c>
      <c r="P268" s="30">
        <v>12</v>
      </c>
      <c r="Q268" s="35"/>
      <c r="R268" s="32" t="str">
        <f t="shared" si="16"/>
        <v>08-Feb-2011</v>
      </c>
      <c r="S268" s="32" t="str">
        <f t="shared" si="17"/>
        <v>08</v>
      </c>
      <c r="T268" s="32" t="str">
        <f t="shared" si="18"/>
        <v>2011</v>
      </c>
      <c r="U268" s="32">
        <f t="shared" si="19"/>
        <v>11</v>
      </c>
    </row>
    <row r="269" spans="1:21" x14ac:dyDescent="0.35">
      <c r="A269" s="1">
        <v>878</v>
      </c>
      <c r="B269" s="25">
        <v>40583</v>
      </c>
      <c r="C269" s="1">
        <v>1</v>
      </c>
      <c r="D269" s="1">
        <v>0</v>
      </c>
      <c r="E269" s="1">
        <v>2</v>
      </c>
      <c r="F269" s="1">
        <v>0</v>
      </c>
      <c r="G269" s="1" t="b">
        <v>0</v>
      </c>
      <c r="H269" s="1">
        <v>3</v>
      </c>
      <c r="I269" s="1">
        <v>1</v>
      </c>
      <c r="J269" s="26">
        <v>0.1</v>
      </c>
      <c r="K269" s="26">
        <v>7.5800000000000006E-2</v>
      </c>
      <c r="L269" s="27">
        <v>0.36</v>
      </c>
      <c r="M269" s="27">
        <v>0.35820000000000002</v>
      </c>
      <c r="N269" s="28">
        <v>0</v>
      </c>
      <c r="O269" s="1">
        <v>17</v>
      </c>
      <c r="P269" s="30">
        <v>17</v>
      </c>
      <c r="Q269" s="35"/>
      <c r="R269" s="32" t="str">
        <f t="shared" si="16"/>
        <v>09-Feb-2011</v>
      </c>
      <c r="S269" s="32" t="str">
        <f t="shared" si="17"/>
        <v>09</v>
      </c>
      <c r="T269" s="32" t="str">
        <f t="shared" si="18"/>
        <v>2011</v>
      </c>
      <c r="U269" s="32">
        <f t="shared" si="19"/>
        <v>11</v>
      </c>
    </row>
    <row r="270" spans="1:21" x14ac:dyDescent="0.35">
      <c r="A270" s="1">
        <v>879</v>
      </c>
      <c r="B270" s="25">
        <v>40583</v>
      </c>
      <c r="C270" s="1">
        <v>1</v>
      </c>
      <c r="D270" s="1">
        <v>0</v>
      </c>
      <c r="E270" s="1">
        <v>2</v>
      </c>
      <c r="F270" s="1">
        <v>1</v>
      </c>
      <c r="G270" s="1" t="b">
        <v>0</v>
      </c>
      <c r="H270" s="1">
        <v>3</v>
      </c>
      <c r="I270" s="1">
        <v>1</v>
      </c>
      <c r="J270" s="26">
        <v>0.1</v>
      </c>
      <c r="K270" s="26">
        <v>0.1061</v>
      </c>
      <c r="L270" s="27">
        <v>0.36</v>
      </c>
      <c r="M270" s="27">
        <v>0.22389999999999999</v>
      </c>
      <c r="N270" s="28">
        <v>0</v>
      </c>
      <c r="O270" s="1">
        <v>7</v>
      </c>
      <c r="P270" s="30">
        <v>7</v>
      </c>
      <c r="Q270" s="35"/>
      <c r="R270" s="32" t="str">
        <f t="shared" si="16"/>
        <v>09-Feb-2011</v>
      </c>
      <c r="S270" s="32" t="str">
        <f t="shared" si="17"/>
        <v>09</v>
      </c>
      <c r="T270" s="32" t="str">
        <f t="shared" si="18"/>
        <v>2011</v>
      </c>
      <c r="U270" s="32">
        <f t="shared" si="19"/>
        <v>11</v>
      </c>
    </row>
    <row r="271" spans="1:21" x14ac:dyDescent="0.35">
      <c r="A271" s="1">
        <v>880</v>
      </c>
      <c r="B271" s="25">
        <v>40583</v>
      </c>
      <c r="C271" s="1">
        <v>1</v>
      </c>
      <c r="D271" s="1">
        <v>0</v>
      </c>
      <c r="E271" s="1">
        <v>2</v>
      </c>
      <c r="F271" s="1">
        <v>2</v>
      </c>
      <c r="G271" s="1" t="b">
        <v>0</v>
      </c>
      <c r="H271" s="1">
        <v>3</v>
      </c>
      <c r="I271" s="1">
        <v>1</v>
      </c>
      <c r="J271" s="26">
        <v>0.08</v>
      </c>
      <c r="K271" s="26">
        <v>7.5800000000000006E-2</v>
      </c>
      <c r="L271" s="27">
        <v>0.38</v>
      </c>
      <c r="M271" s="27">
        <v>0.28360000000000002</v>
      </c>
      <c r="N271" s="28">
        <v>1</v>
      </c>
      <c r="O271" s="1">
        <v>2</v>
      </c>
      <c r="P271" s="30">
        <v>3</v>
      </c>
      <c r="Q271" s="35"/>
      <c r="R271" s="32" t="str">
        <f t="shared" si="16"/>
        <v>09-Feb-2011</v>
      </c>
      <c r="S271" s="32" t="str">
        <f t="shared" si="17"/>
        <v>09</v>
      </c>
      <c r="T271" s="32" t="str">
        <f t="shared" si="18"/>
        <v>2011</v>
      </c>
      <c r="U271" s="32">
        <f t="shared" si="19"/>
        <v>11</v>
      </c>
    </row>
    <row r="272" spans="1:21" x14ac:dyDescent="0.35">
      <c r="A272" s="1">
        <v>881</v>
      </c>
      <c r="B272" s="25">
        <v>40583</v>
      </c>
      <c r="C272" s="1">
        <v>1</v>
      </c>
      <c r="D272" s="1">
        <v>0</v>
      </c>
      <c r="E272" s="1">
        <v>2</v>
      </c>
      <c r="F272" s="1">
        <v>3</v>
      </c>
      <c r="G272" s="1" t="b">
        <v>0</v>
      </c>
      <c r="H272" s="1">
        <v>3</v>
      </c>
      <c r="I272" s="1">
        <v>1</v>
      </c>
      <c r="J272" s="26">
        <v>0.06</v>
      </c>
      <c r="K272" s="26">
        <v>7.5800000000000006E-2</v>
      </c>
      <c r="L272" s="27">
        <v>0.45</v>
      </c>
      <c r="M272" s="27">
        <v>0.1343</v>
      </c>
      <c r="N272" s="28">
        <v>0</v>
      </c>
      <c r="O272" s="1">
        <v>2</v>
      </c>
      <c r="P272" s="30">
        <v>2</v>
      </c>
      <c r="Q272" s="35"/>
      <c r="R272" s="32" t="str">
        <f t="shared" si="16"/>
        <v>09-Feb-2011</v>
      </c>
      <c r="S272" s="32" t="str">
        <f t="shared" si="17"/>
        <v>09</v>
      </c>
      <c r="T272" s="32" t="str">
        <f t="shared" si="18"/>
        <v>2011</v>
      </c>
      <c r="U272" s="32">
        <f t="shared" si="19"/>
        <v>11</v>
      </c>
    </row>
    <row r="273" spans="1:21" x14ac:dyDescent="0.35">
      <c r="A273" s="1">
        <v>882</v>
      </c>
      <c r="B273" s="25">
        <v>40583</v>
      </c>
      <c r="C273" s="1">
        <v>1</v>
      </c>
      <c r="D273" s="1">
        <v>0</v>
      </c>
      <c r="E273" s="1">
        <v>2</v>
      </c>
      <c r="F273" s="1">
        <v>5</v>
      </c>
      <c r="G273" s="1" t="b">
        <v>0</v>
      </c>
      <c r="H273" s="1">
        <v>3</v>
      </c>
      <c r="I273" s="1">
        <v>1</v>
      </c>
      <c r="J273" s="26">
        <v>0.06</v>
      </c>
      <c r="K273" s="26">
        <v>0.1061</v>
      </c>
      <c r="L273" s="27">
        <v>0.45</v>
      </c>
      <c r="M273" s="27">
        <v>0.1045</v>
      </c>
      <c r="N273" s="28">
        <v>0</v>
      </c>
      <c r="O273" s="1">
        <v>7</v>
      </c>
      <c r="P273" s="30">
        <v>7</v>
      </c>
      <c r="Q273" s="35"/>
      <c r="R273" s="32" t="str">
        <f t="shared" si="16"/>
        <v>09-Feb-2011</v>
      </c>
      <c r="S273" s="32" t="str">
        <f t="shared" si="17"/>
        <v>09</v>
      </c>
      <c r="T273" s="32" t="str">
        <f t="shared" si="18"/>
        <v>2011</v>
      </c>
      <c r="U273" s="32">
        <f t="shared" si="19"/>
        <v>11</v>
      </c>
    </row>
    <row r="274" spans="1:21" x14ac:dyDescent="0.35">
      <c r="A274" s="1">
        <v>883</v>
      </c>
      <c r="B274" s="25">
        <v>40583</v>
      </c>
      <c r="C274" s="1">
        <v>1</v>
      </c>
      <c r="D274" s="1">
        <v>0</v>
      </c>
      <c r="E274" s="1">
        <v>2</v>
      </c>
      <c r="F274" s="1">
        <v>6</v>
      </c>
      <c r="G274" s="1" t="b">
        <v>0</v>
      </c>
      <c r="H274" s="1">
        <v>3</v>
      </c>
      <c r="I274" s="1">
        <v>1</v>
      </c>
      <c r="J274" s="26">
        <v>0.06</v>
      </c>
      <c r="K274" s="26">
        <v>0.1515</v>
      </c>
      <c r="L274" s="27">
        <v>0.45</v>
      </c>
      <c r="M274" s="27">
        <v>0</v>
      </c>
      <c r="N274" s="28">
        <v>0</v>
      </c>
      <c r="O274" s="1">
        <v>43</v>
      </c>
      <c r="P274" s="30">
        <v>43</v>
      </c>
      <c r="Q274" s="35"/>
      <c r="R274" s="32" t="str">
        <f t="shared" si="16"/>
        <v>09-Feb-2011</v>
      </c>
      <c r="S274" s="32" t="str">
        <f t="shared" si="17"/>
        <v>09</v>
      </c>
      <c r="T274" s="32" t="str">
        <f t="shared" si="18"/>
        <v>2011</v>
      </c>
      <c r="U274" s="32">
        <f t="shared" si="19"/>
        <v>11</v>
      </c>
    </row>
    <row r="275" spans="1:21" x14ac:dyDescent="0.35">
      <c r="A275" s="1">
        <v>884</v>
      </c>
      <c r="B275" s="25">
        <v>40583</v>
      </c>
      <c r="C275" s="1">
        <v>1</v>
      </c>
      <c r="D275" s="1">
        <v>0</v>
      </c>
      <c r="E275" s="1">
        <v>2</v>
      </c>
      <c r="F275" s="1">
        <v>7</v>
      </c>
      <c r="G275" s="1" t="b">
        <v>0</v>
      </c>
      <c r="H275" s="1">
        <v>3</v>
      </c>
      <c r="I275" s="1">
        <v>1</v>
      </c>
      <c r="J275" s="26">
        <v>0.06</v>
      </c>
      <c r="K275" s="26">
        <v>0.1061</v>
      </c>
      <c r="L275" s="27">
        <v>0.49</v>
      </c>
      <c r="M275" s="27">
        <v>0.1045</v>
      </c>
      <c r="N275" s="28">
        <v>4</v>
      </c>
      <c r="O275" s="1">
        <v>95</v>
      </c>
      <c r="P275" s="30">
        <v>99</v>
      </c>
      <c r="Q275" s="35"/>
      <c r="R275" s="32" t="str">
        <f t="shared" si="16"/>
        <v>09-Feb-2011</v>
      </c>
      <c r="S275" s="32" t="str">
        <f t="shared" si="17"/>
        <v>09</v>
      </c>
      <c r="T275" s="32" t="str">
        <f t="shared" si="18"/>
        <v>2011</v>
      </c>
      <c r="U275" s="32">
        <f t="shared" si="19"/>
        <v>11</v>
      </c>
    </row>
    <row r="276" spans="1:21" x14ac:dyDescent="0.35">
      <c r="A276" s="1">
        <v>885</v>
      </c>
      <c r="B276" s="25">
        <v>40583</v>
      </c>
      <c r="C276" s="1">
        <v>1</v>
      </c>
      <c r="D276" s="1">
        <v>0</v>
      </c>
      <c r="E276" s="1">
        <v>2</v>
      </c>
      <c r="F276" s="1">
        <v>8</v>
      </c>
      <c r="G276" s="1" t="b">
        <v>0</v>
      </c>
      <c r="H276" s="1">
        <v>3</v>
      </c>
      <c r="I276" s="1">
        <v>1</v>
      </c>
      <c r="J276" s="26">
        <v>0.1</v>
      </c>
      <c r="K276" s="26">
        <v>0.13639999999999999</v>
      </c>
      <c r="L276" s="27">
        <v>0.42</v>
      </c>
      <c r="M276" s="27">
        <v>0</v>
      </c>
      <c r="N276" s="28">
        <v>1</v>
      </c>
      <c r="O276" s="1">
        <v>198</v>
      </c>
      <c r="P276" s="30">
        <v>199</v>
      </c>
      <c r="Q276" s="35"/>
      <c r="R276" s="32" t="str">
        <f t="shared" si="16"/>
        <v>09-Feb-2011</v>
      </c>
      <c r="S276" s="32" t="str">
        <f t="shared" si="17"/>
        <v>09</v>
      </c>
      <c r="T276" s="32" t="str">
        <f t="shared" si="18"/>
        <v>2011</v>
      </c>
      <c r="U276" s="32">
        <f t="shared" si="19"/>
        <v>11</v>
      </c>
    </row>
    <row r="277" spans="1:21" x14ac:dyDescent="0.35">
      <c r="A277" s="1">
        <v>886</v>
      </c>
      <c r="B277" s="25">
        <v>40583</v>
      </c>
      <c r="C277" s="1">
        <v>1</v>
      </c>
      <c r="D277" s="1">
        <v>0</v>
      </c>
      <c r="E277" s="1">
        <v>2</v>
      </c>
      <c r="F277" s="1">
        <v>9</v>
      </c>
      <c r="G277" s="1" t="b">
        <v>0</v>
      </c>
      <c r="H277" s="1">
        <v>3</v>
      </c>
      <c r="I277" s="1">
        <v>1</v>
      </c>
      <c r="J277" s="26">
        <v>0.12</v>
      </c>
      <c r="K277" s="26">
        <v>0.13639999999999999</v>
      </c>
      <c r="L277" s="27">
        <v>0.39</v>
      </c>
      <c r="M277" s="27">
        <v>0.16420000000000001</v>
      </c>
      <c r="N277" s="28">
        <v>4</v>
      </c>
      <c r="O277" s="1">
        <v>119</v>
      </c>
      <c r="P277" s="30">
        <v>123</v>
      </c>
      <c r="Q277" s="35"/>
      <c r="R277" s="32" t="str">
        <f t="shared" si="16"/>
        <v>09-Feb-2011</v>
      </c>
      <c r="S277" s="32" t="str">
        <f t="shared" si="17"/>
        <v>09</v>
      </c>
      <c r="T277" s="32" t="str">
        <f t="shared" si="18"/>
        <v>2011</v>
      </c>
      <c r="U277" s="32">
        <f t="shared" si="19"/>
        <v>11</v>
      </c>
    </row>
    <row r="278" spans="1:21" x14ac:dyDescent="0.35">
      <c r="A278" s="1">
        <v>887</v>
      </c>
      <c r="B278" s="25">
        <v>40583</v>
      </c>
      <c r="C278" s="1">
        <v>1</v>
      </c>
      <c r="D278" s="1">
        <v>0</v>
      </c>
      <c r="E278" s="1">
        <v>2</v>
      </c>
      <c r="F278" s="1">
        <v>10</v>
      </c>
      <c r="G278" s="1" t="b">
        <v>0</v>
      </c>
      <c r="H278" s="1">
        <v>3</v>
      </c>
      <c r="I278" s="1">
        <v>1</v>
      </c>
      <c r="J278" s="26">
        <v>0.14000000000000001</v>
      </c>
      <c r="K278" s="26">
        <v>0.18179999999999999</v>
      </c>
      <c r="L278" s="27">
        <v>0.36</v>
      </c>
      <c r="M278" s="27">
        <v>0</v>
      </c>
      <c r="N278" s="28">
        <v>8</v>
      </c>
      <c r="O278" s="1">
        <v>51</v>
      </c>
      <c r="P278" s="30">
        <v>59</v>
      </c>
      <c r="Q278" s="35"/>
      <c r="R278" s="32" t="str">
        <f t="shared" si="16"/>
        <v>09-Feb-2011</v>
      </c>
      <c r="S278" s="32" t="str">
        <f t="shared" si="17"/>
        <v>09</v>
      </c>
      <c r="T278" s="32" t="str">
        <f t="shared" si="18"/>
        <v>2011</v>
      </c>
      <c r="U278" s="32">
        <f t="shared" si="19"/>
        <v>11</v>
      </c>
    </row>
    <row r="279" spans="1:21" x14ac:dyDescent="0.35">
      <c r="A279" s="1">
        <v>888</v>
      </c>
      <c r="B279" s="25">
        <v>40583</v>
      </c>
      <c r="C279" s="1">
        <v>1</v>
      </c>
      <c r="D279" s="1">
        <v>0</v>
      </c>
      <c r="E279" s="1">
        <v>2</v>
      </c>
      <c r="F279" s="1">
        <v>11</v>
      </c>
      <c r="G279" s="1" t="b">
        <v>0</v>
      </c>
      <c r="H279" s="1">
        <v>3</v>
      </c>
      <c r="I279" s="1">
        <v>2</v>
      </c>
      <c r="J279" s="26">
        <v>0.14000000000000001</v>
      </c>
      <c r="K279" s="26">
        <v>0.1515</v>
      </c>
      <c r="L279" s="27">
        <v>0.43</v>
      </c>
      <c r="M279" s="27">
        <v>0.16420000000000001</v>
      </c>
      <c r="N279" s="28">
        <v>1</v>
      </c>
      <c r="O279" s="1">
        <v>40</v>
      </c>
      <c r="P279" s="30">
        <v>41</v>
      </c>
      <c r="Q279" s="35"/>
      <c r="R279" s="32" t="str">
        <f t="shared" si="16"/>
        <v>09-Feb-2011</v>
      </c>
      <c r="S279" s="32" t="str">
        <f t="shared" si="17"/>
        <v>09</v>
      </c>
      <c r="T279" s="32" t="str">
        <f t="shared" si="18"/>
        <v>2011</v>
      </c>
      <c r="U279" s="32">
        <f t="shared" si="19"/>
        <v>11</v>
      </c>
    </row>
    <row r="280" spans="1:21" x14ac:dyDescent="0.35">
      <c r="A280" s="1">
        <v>889</v>
      </c>
      <c r="B280" s="25">
        <v>40583</v>
      </c>
      <c r="C280" s="1">
        <v>1</v>
      </c>
      <c r="D280" s="1">
        <v>0</v>
      </c>
      <c r="E280" s="1">
        <v>2</v>
      </c>
      <c r="F280" s="1">
        <v>12</v>
      </c>
      <c r="G280" s="1" t="b">
        <v>0</v>
      </c>
      <c r="H280" s="1">
        <v>3</v>
      </c>
      <c r="I280" s="1">
        <v>2</v>
      </c>
      <c r="J280" s="26">
        <v>0.18</v>
      </c>
      <c r="K280" s="26">
        <v>0.18179999999999999</v>
      </c>
      <c r="L280" s="27">
        <v>0.4</v>
      </c>
      <c r="M280" s="27">
        <v>0.22389999999999999</v>
      </c>
      <c r="N280" s="28">
        <v>4</v>
      </c>
      <c r="O280" s="1">
        <v>57</v>
      </c>
      <c r="P280" s="30">
        <v>61</v>
      </c>
      <c r="Q280" s="35"/>
      <c r="R280" s="32" t="str">
        <f t="shared" si="16"/>
        <v>09-Feb-2011</v>
      </c>
      <c r="S280" s="32" t="str">
        <f t="shared" si="17"/>
        <v>09</v>
      </c>
      <c r="T280" s="32" t="str">
        <f t="shared" si="18"/>
        <v>2011</v>
      </c>
      <c r="U280" s="32">
        <f t="shared" si="19"/>
        <v>11</v>
      </c>
    </row>
    <row r="281" spans="1:21" x14ac:dyDescent="0.35">
      <c r="A281" s="1">
        <v>890</v>
      </c>
      <c r="B281" s="25">
        <v>40583</v>
      </c>
      <c r="C281" s="1">
        <v>1</v>
      </c>
      <c r="D281" s="1">
        <v>0</v>
      </c>
      <c r="E281" s="1">
        <v>2</v>
      </c>
      <c r="F281" s="1">
        <v>13</v>
      </c>
      <c r="G281" s="1" t="b">
        <v>0</v>
      </c>
      <c r="H281" s="1">
        <v>3</v>
      </c>
      <c r="I281" s="1">
        <v>1</v>
      </c>
      <c r="J281" s="26">
        <v>0.18</v>
      </c>
      <c r="K281" s="26">
        <v>0.16669999999999999</v>
      </c>
      <c r="L281" s="27">
        <v>0.4</v>
      </c>
      <c r="M281" s="27">
        <v>0.25369999999999998</v>
      </c>
      <c r="N281" s="28">
        <v>2</v>
      </c>
      <c r="O281" s="1">
        <v>67</v>
      </c>
      <c r="P281" s="30">
        <v>69</v>
      </c>
      <c r="Q281" s="35"/>
      <c r="R281" s="32" t="str">
        <f t="shared" si="16"/>
        <v>09-Feb-2011</v>
      </c>
      <c r="S281" s="32" t="str">
        <f t="shared" si="17"/>
        <v>09</v>
      </c>
      <c r="T281" s="32" t="str">
        <f t="shared" si="18"/>
        <v>2011</v>
      </c>
      <c r="U281" s="32">
        <f t="shared" si="19"/>
        <v>11</v>
      </c>
    </row>
    <row r="282" spans="1:21" x14ac:dyDescent="0.35">
      <c r="A282" s="1">
        <v>891</v>
      </c>
      <c r="B282" s="25">
        <v>40583</v>
      </c>
      <c r="C282" s="1">
        <v>1</v>
      </c>
      <c r="D282" s="1">
        <v>0</v>
      </c>
      <c r="E282" s="1">
        <v>2</v>
      </c>
      <c r="F282" s="1">
        <v>14</v>
      </c>
      <c r="G282" s="1" t="b">
        <v>0</v>
      </c>
      <c r="H282" s="1">
        <v>3</v>
      </c>
      <c r="I282" s="1">
        <v>1</v>
      </c>
      <c r="J282" s="26">
        <v>0.2</v>
      </c>
      <c r="K282" s="26">
        <v>0.18179999999999999</v>
      </c>
      <c r="L282" s="27">
        <v>0.34</v>
      </c>
      <c r="M282" s="27">
        <v>0.29849999999999999</v>
      </c>
      <c r="N282" s="28">
        <v>2</v>
      </c>
      <c r="O282" s="1">
        <v>56</v>
      </c>
      <c r="P282" s="30">
        <v>58</v>
      </c>
      <c r="Q282" s="35"/>
      <c r="R282" s="32" t="str">
        <f t="shared" si="16"/>
        <v>09-Feb-2011</v>
      </c>
      <c r="S282" s="32" t="str">
        <f t="shared" si="17"/>
        <v>09</v>
      </c>
      <c r="T282" s="32" t="str">
        <f t="shared" si="18"/>
        <v>2011</v>
      </c>
      <c r="U282" s="32">
        <f t="shared" si="19"/>
        <v>11</v>
      </c>
    </row>
    <row r="283" spans="1:21" x14ac:dyDescent="0.35">
      <c r="A283" s="1">
        <v>892</v>
      </c>
      <c r="B283" s="25">
        <v>40583</v>
      </c>
      <c r="C283" s="1">
        <v>1</v>
      </c>
      <c r="D283" s="1">
        <v>0</v>
      </c>
      <c r="E283" s="1">
        <v>2</v>
      </c>
      <c r="F283" s="1">
        <v>15</v>
      </c>
      <c r="G283" s="1" t="b">
        <v>0</v>
      </c>
      <c r="H283" s="1">
        <v>3</v>
      </c>
      <c r="I283" s="1">
        <v>2</v>
      </c>
      <c r="J283" s="26">
        <v>0.2</v>
      </c>
      <c r="K283" s="26">
        <v>0.18179999999999999</v>
      </c>
      <c r="L283" s="27">
        <v>0.34</v>
      </c>
      <c r="M283" s="27">
        <v>0.28360000000000002</v>
      </c>
      <c r="N283" s="28">
        <v>3</v>
      </c>
      <c r="O283" s="1">
        <v>61</v>
      </c>
      <c r="P283" s="30">
        <v>64</v>
      </c>
      <c r="Q283" s="35"/>
      <c r="R283" s="32" t="str">
        <f t="shared" si="16"/>
        <v>09-Feb-2011</v>
      </c>
      <c r="S283" s="32" t="str">
        <f t="shared" si="17"/>
        <v>09</v>
      </c>
      <c r="T283" s="32" t="str">
        <f t="shared" si="18"/>
        <v>2011</v>
      </c>
      <c r="U283" s="32">
        <f t="shared" si="19"/>
        <v>11</v>
      </c>
    </row>
    <row r="284" spans="1:21" x14ac:dyDescent="0.35">
      <c r="A284" s="1">
        <v>893</v>
      </c>
      <c r="B284" s="25">
        <v>40583</v>
      </c>
      <c r="C284" s="1">
        <v>1</v>
      </c>
      <c r="D284" s="1">
        <v>0</v>
      </c>
      <c r="E284" s="1">
        <v>2</v>
      </c>
      <c r="F284" s="1">
        <v>16</v>
      </c>
      <c r="G284" s="1" t="b">
        <v>0</v>
      </c>
      <c r="H284" s="1">
        <v>3</v>
      </c>
      <c r="I284" s="1">
        <v>2</v>
      </c>
      <c r="J284" s="26">
        <v>0.2</v>
      </c>
      <c r="K284" s="26">
        <v>0.19700000000000001</v>
      </c>
      <c r="L284" s="27">
        <v>0.37</v>
      </c>
      <c r="M284" s="27">
        <v>0.25369999999999998</v>
      </c>
      <c r="N284" s="28">
        <v>7</v>
      </c>
      <c r="O284" s="1">
        <v>72</v>
      </c>
      <c r="P284" s="30">
        <v>79</v>
      </c>
      <c r="Q284" s="35"/>
      <c r="R284" s="32" t="str">
        <f t="shared" si="16"/>
        <v>09-Feb-2011</v>
      </c>
      <c r="S284" s="32" t="str">
        <f t="shared" si="17"/>
        <v>09</v>
      </c>
      <c r="T284" s="32" t="str">
        <f t="shared" si="18"/>
        <v>2011</v>
      </c>
      <c r="U284" s="32">
        <f t="shared" si="19"/>
        <v>11</v>
      </c>
    </row>
    <row r="285" spans="1:21" x14ac:dyDescent="0.35">
      <c r="A285" s="1">
        <v>894</v>
      </c>
      <c r="B285" s="25">
        <v>40583</v>
      </c>
      <c r="C285" s="1">
        <v>1</v>
      </c>
      <c r="D285" s="1">
        <v>0</v>
      </c>
      <c r="E285" s="1">
        <v>2</v>
      </c>
      <c r="F285" s="1">
        <v>17</v>
      </c>
      <c r="G285" s="1" t="b">
        <v>0</v>
      </c>
      <c r="H285" s="1">
        <v>3</v>
      </c>
      <c r="I285" s="1">
        <v>2</v>
      </c>
      <c r="J285" s="26">
        <v>0.2</v>
      </c>
      <c r="K285" s="26">
        <v>0.19700000000000001</v>
      </c>
      <c r="L285" s="27">
        <v>0.34</v>
      </c>
      <c r="M285" s="27">
        <v>0.25369999999999998</v>
      </c>
      <c r="N285" s="28">
        <v>9</v>
      </c>
      <c r="O285" s="1">
        <v>157</v>
      </c>
      <c r="P285" s="30">
        <v>166</v>
      </c>
      <c r="Q285" s="35"/>
      <c r="R285" s="32" t="str">
        <f t="shared" si="16"/>
        <v>09-Feb-2011</v>
      </c>
      <c r="S285" s="32" t="str">
        <f t="shared" si="17"/>
        <v>09</v>
      </c>
      <c r="T285" s="32" t="str">
        <f t="shared" si="18"/>
        <v>2011</v>
      </c>
      <c r="U285" s="32">
        <f t="shared" si="19"/>
        <v>11</v>
      </c>
    </row>
    <row r="286" spans="1:21" x14ac:dyDescent="0.35">
      <c r="A286" s="1">
        <v>895</v>
      </c>
      <c r="B286" s="25">
        <v>40583</v>
      </c>
      <c r="C286" s="1">
        <v>1</v>
      </c>
      <c r="D286" s="1">
        <v>0</v>
      </c>
      <c r="E286" s="1">
        <v>2</v>
      </c>
      <c r="F286" s="1">
        <v>18</v>
      </c>
      <c r="G286" s="1" t="b">
        <v>0</v>
      </c>
      <c r="H286" s="1">
        <v>3</v>
      </c>
      <c r="I286" s="1">
        <v>2</v>
      </c>
      <c r="J286" s="26">
        <v>0.18</v>
      </c>
      <c r="K286" s="26">
        <v>0.16669999999999999</v>
      </c>
      <c r="L286" s="27">
        <v>0.47</v>
      </c>
      <c r="M286" s="27">
        <v>0.29849999999999999</v>
      </c>
      <c r="N286" s="28">
        <v>2</v>
      </c>
      <c r="O286" s="1">
        <v>168</v>
      </c>
      <c r="P286" s="30">
        <v>170</v>
      </c>
      <c r="Q286" s="35"/>
      <c r="R286" s="32" t="str">
        <f t="shared" si="16"/>
        <v>09-Feb-2011</v>
      </c>
      <c r="S286" s="32" t="str">
        <f t="shared" si="17"/>
        <v>09</v>
      </c>
      <c r="T286" s="32" t="str">
        <f t="shared" si="18"/>
        <v>2011</v>
      </c>
      <c r="U286" s="32">
        <f t="shared" si="19"/>
        <v>11</v>
      </c>
    </row>
    <row r="287" spans="1:21" x14ac:dyDescent="0.35">
      <c r="A287" s="1">
        <v>896</v>
      </c>
      <c r="B287" s="25">
        <v>40583</v>
      </c>
      <c r="C287" s="1">
        <v>1</v>
      </c>
      <c r="D287" s="1">
        <v>0</v>
      </c>
      <c r="E287" s="1">
        <v>2</v>
      </c>
      <c r="F287" s="1">
        <v>19</v>
      </c>
      <c r="G287" s="1" t="b">
        <v>0</v>
      </c>
      <c r="H287" s="1">
        <v>3</v>
      </c>
      <c r="I287" s="1">
        <v>3</v>
      </c>
      <c r="J287" s="26">
        <v>0.14000000000000001</v>
      </c>
      <c r="K287" s="26">
        <v>0.1212</v>
      </c>
      <c r="L287" s="27">
        <v>0.86</v>
      </c>
      <c r="M287" s="27">
        <v>0.25369999999999998</v>
      </c>
      <c r="N287" s="28">
        <v>1</v>
      </c>
      <c r="O287" s="1">
        <v>87</v>
      </c>
      <c r="P287" s="30">
        <v>88</v>
      </c>
      <c r="Q287" s="35"/>
      <c r="R287" s="32" t="str">
        <f t="shared" si="16"/>
        <v>09-Feb-2011</v>
      </c>
      <c r="S287" s="32" t="str">
        <f t="shared" si="17"/>
        <v>09</v>
      </c>
      <c r="T287" s="32" t="str">
        <f t="shared" si="18"/>
        <v>2011</v>
      </c>
      <c r="U287" s="32">
        <f t="shared" si="19"/>
        <v>11</v>
      </c>
    </row>
    <row r="288" spans="1:21" x14ac:dyDescent="0.35">
      <c r="A288" s="1">
        <v>897</v>
      </c>
      <c r="B288" s="25">
        <v>40583</v>
      </c>
      <c r="C288" s="1">
        <v>1</v>
      </c>
      <c r="D288" s="1">
        <v>0</v>
      </c>
      <c r="E288" s="1">
        <v>2</v>
      </c>
      <c r="F288" s="1">
        <v>20</v>
      </c>
      <c r="G288" s="1" t="b">
        <v>0</v>
      </c>
      <c r="H288" s="1">
        <v>3</v>
      </c>
      <c r="I288" s="1">
        <v>3</v>
      </c>
      <c r="J288" s="26">
        <v>0.14000000000000001</v>
      </c>
      <c r="K288" s="26">
        <v>0.1515</v>
      </c>
      <c r="L288" s="27">
        <v>0.86</v>
      </c>
      <c r="M288" s="27">
        <v>0.16420000000000001</v>
      </c>
      <c r="N288" s="28">
        <v>0</v>
      </c>
      <c r="O288" s="1">
        <v>84</v>
      </c>
      <c r="P288" s="30">
        <v>84</v>
      </c>
      <c r="Q288" s="35"/>
      <c r="R288" s="32" t="str">
        <f t="shared" si="16"/>
        <v>09-Feb-2011</v>
      </c>
      <c r="S288" s="32" t="str">
        <f t="shared" si="17"/>
        <v>09</v>
      </c>
      <c r="T288" s="32" t="str">
        <f t="shared" si="18"/>
        <v>2011</v>
      </c>
      <c r="U288" s="32">
        <f t="shared" si="19"/>
        <v>11</v>
      </c>
    </row>
    <row r="289" spans="1:21" x14ac:dyDescent="0.35">
      <c r="A289" s="1">
        <v>898</v>
      </c>
      <c r="B289" s="25">
        <v>40583</v>
      </c>
      <c r="C289" s="1">
        <v>1</v>
      </c>
      <c r="D289" s="1">
        <v>0</v>
      </c>
      <c r="E289" s="1">
        <v>2</v>
      </c>
      <c r="F289" s="1">
        <v>21</v>
      </c>
      <c r="G289" s="1" t="b">
        <v>0</v>
      </c>
      <c r="H289" s="1">
        <v>3</v>
      </c>
      <c r="I289" s="1">
        <v>2</v>
      </c>
      <c r="J289" s="26">
        <v>0.14000000000000001</v>
      </c>
      <c r="K289" s="26">
        <v>0.1515</v>
      </c>
      <c r="L289" s="27">
        <v>0.86</v>
      </c>
      <c r="M289" s="27">
        <v>0.16420000000000001</v>
      </c>
      <c r="N289" s="28">
        <v>0</v>
      </c>
      <c r="O289" s="1">
        <v>83</v>
      </c>
      <c r="P289" s="30">
        <v>83</v>
      </c>
      <c r="Q289" s="35"/>
      <c r="R289" s="32" t="str">
        <f t="shared" si="16"/>
        <v>09-Feb-2011</v>
      </c>
      <c r="S289" s="32" t="str">
        <f t="shared" si="17"/>
        <v>09</v>
      </c>
      <c r="T289" s="32" t="str">
        <f t="shared" si="18"/>
        <v>2011</v>
      </c>
      <c r="U289" s="32">
        <f t="shared" si="19"/>
        <v>11</v>
      </c>
    </row>
    <row r="290" spans="1:21" x14ac:dyDescent="0.35">
      <c r="A290" s="1">
        <v>899</v>
      </c>
      <c r="B290" s="25">
        <v>40583</v>
      </c>
      <c r="C290" s="1">
        <v>1</v>
      </c>
      <c r="D290" s="1">
        <v>0</v>
      </c>
      <c r="E290" s="1">
        <v>2</v>
      </c>
      <c r="F290" s="1">
        <v>22</v>
      </c>
      <c r="G290" s="1" t="b">
        <v>0</v>
      </c>
      <c r="H290" s="1">
        <v>3</v>
      </c>
      <c r="I290" s="1">
        <v>3</v>
      </c>
      <c r="J290" s="26">
        <v>0.16</v>
      </c>
      <c r="K290" s="26">
        <v>0.16669999999999999</v>
      </c>
      <c r="L290" s="27">
        <v>0.8</v>
      </c>
      <c r="M290" s="27">
        <v>0.16420000000000001</v>
      </c>
      <c r="N290" s="28">
        <v>4</v>
      </c>
      <c r="O290" s="1">
        <v>42</v>
      </c>
      <c r="P290" s="30">
        <v>46</v>
      </c>
      <c r="Q290" s="35"/>
      <c r="R290" s="32" t="str">
        <f t="shared" si="16"/>
        <v>09-Feb-2011</v>
      </c>
      <c r="S290" s="32" t="str">
        <f t="shared" si="17"/>
        <v>09</v>
      </c>
      <c r="T290" s="32" t="str">
        <f t="shared" si="18"/>
        <v>2011</v>
      </c>
      <c r="U290" s="32">
        <f t="shared" si="19"/>
        <v>11</v>
      </c>
    </row>
    <row r="291" spans="1:21" x14ac:dyDescent="0.35">
      <c r="A291" s="1">
        <v>900</v>
      </c>
      <c r="B291" s="25">
        <v>40583</v>
      </c>
      <c r="C291" s="1">
        <v>1</v>
      </c>
      <c r="D291" s="1">
        <v>0</v>
      </c>
      <c r="E291" s="1">
        <v>2</v>
      </c>
      <c r="F291" s="1">
        <v>23</v>
      </c>
      <c r="G291" s="1" t="b">
        <v>0</v>
      </c>
      <c r="H291" s="1">
        <v>3</v>
      </c>
      <c r="I291" s="1">
        <v>3</v>
      </c>
      <c r="J291" s="26">
        <v>0.16</v>
      </c>
      <c r="K291" s="26">
        <v>0.1515</v>
      </c>
      <c r="L291" s="27">
        <v>0.8</v>
      </c>
      <c r="M291" s="27">
        <v>0.19400000000000001</v>
      </c>
      <c r="N291" s="28">
        <v>0</v>
      </c>
      <c r="O291" s="1">
        <v>37</v>
      </c>
      <c r="P291" s="30">
        <v>37</v>
      </c>
      <c r="Q291" s="35"/>
      <c r="R291" s="32" t="str">
        <f t="shared" si="16"/>
        <v>09-Feb-2011</v>
      </c>
      <c r="S291" s="32" t="str">
        <f t="shared" si="17"/>
        <v>09</v>
      </c>
      <c r="T291" s="32" t="str">
        <f t="shared" si="18"/>
        <v>2011</v>
      </c>
      <c r="U291" s="32">
        <f t="shared" si="19"/>
        <v>11</v>
      </c>
    </row>
    <row r="292" spans="1:21" x14ac:dyDescent="0.35">
      <c r="A292" s="1">
        <v>901</v>
      </c>
      <c r="B292" s="25">
        <v>40584</v>
      </c>
      <c r="C292" s="1">
        <v>1</v>
      </c>
      <c r="D292" s="1">
        <v>0</v>
      </c>
      <c r="E292" s="1">
        <v>2</v>
      </c>
      <c r="F292" s="1">
        <v>0</v>
      </c>
      <c r="G292" s="1" t="b">
        <v>0</v>
      </c>
      <c r="H292" s="1">
        <v>4</v>
      </c>
      <c r="I292" s="1">
        <v>3</v>
      </c>
      <c r="J292" s="26">
        <v>0.14000000000000001</v>
      </c>
      <c r="K292" s="26">
        <v>0.13639999999999999</v>
      </c>
      <c r="L292" s="27">
        <v>0.86</v>
      </c>
      <c r="M292" s="27">
        <v>0.19400000000000001</v>
      </c>
      <c r="N292" s="28">
        <v>0</v>
      </c>
      <c r="O292" s="1">
        <v>16</v>
      </c>
      <c r="P292" s="30">
        <v>16</v>
      </c>
      <c r="Q292" s="35"/>
      <c r="R292" s="32" t="str">
        <f t="shared" si="16"/>
        <v>10-Feb-2011</v>
      </c>
      <c r="S292" s="32" t="str">
        <f t="shared" si="17"/>
        <v>10</v>
      </c>
      <c r="T292" s="32" t="str">
        <f t="shared" si="18"/>
        <v>2011</v>
      </c>
      <c r="U292" s="32">
        <f t="shared" si="19"/>
        <v>11</v>
      </c>
    </row>
    <row r="293" spans="1:21" x14ac:dyDescent="0.35">
      <c r="A293" s="1">
        <v>902</v>
      </c>
      <c r="B293" s="25">
        <v>40584</v>
      </c>
      <c r="C293" s="1">
        <v>1</v>
      </c>
      <c r="D293" s="1">
        <v>0</v>
      </c>
      <c r="E293" s="1">
        <v>2</v>
      </c>
      <c r="F293" s="1">
        <v>1</v>
      </c>
      <c r="G293" s="1" t="b">
        <v>0</v>
      </c>
      <c r="H293" s="1">
        <v>4</v>
      </c>
      <c r="I293" s="1">
        <v>3</v>
      </c>
      <c r="J293" s="26">
        <v>0.14000000000000001</v>
      </c>
      <c r="K293" s="26">
        <v>0.1515</v>
      </c>
      <c r="L293" s="27">
        <v>0.8</v>
      </c>
      <c r="M293" s="27">
        <v>0.1343</v>
      </c>
      <c r="N293" s="28">
        <v>0</v>
      </c>
      <c r="O293" s="1">
        <v>7</v>
      </c>
      <c r="P293" s="30">
        <v>7</v>
      </c>
      <c r="Q293" s="35"/>
      <c r="R293" s="32" t="str">
        <f t="shared" si="16"/>
        <v>10-Feb-2011</v>
      </c>
      <c r="S293" s="32" t="str">
        <f t="shared" si="17"/>
        <v>10</v>
      </c>
      <c r="T293" s="32" t="str">
        <f t="shared" si="18"/>
        <v>2011</v>
      </c>
      <c r="U293" s="32">
        <f t="shared" si="19"/>
        <v>11</v>
      </c>
    </row>
    <row r="294" spans="1:21" x14ac:dyDescent="0.35">
      <c r="A294" s="1">
        <v>903</v>
      </c>
      <c r="B294" s="25">
        <v>40584</v>
      </c>
      <c r="C294" s="1">
        <v>1</v>
      </c>
      <c r="D294" s="1">
        <v>0</v>
      </c>
      <c r="E294" s="1">
        <v>2</v>
      </c>
      <c r="F294" s="1">
        <v>2</v>
      </c>
      <c r="G294" s="1" t="b">
        <v>0</v>
      </c>
      <c r="H294" s="1">
        <v>4</v>
      </c>
      <c r="I294" s="1">
        <v>3</v>
      </c>
      <c r="J294" s="26">
        <v>0.14000000000000001</v>
      </c>
      <c r="K294" s="26">
        <v>0.1515</v>
      </c>
      <c r="L294" s="27">
        <v>0.8</v>
      </c>
      <c r="M294" s="27">
        <v>0.1343</v>
      </c>
      <c r="N294" s="28">
        <v>0</v>
      </c>
      <c r="O294" s="1">
        <v>3</v>
      </c>
      <c r="P294" s="30">
        <v>3</v>
      </c>
      <c r="Q294" s="35"/>
      <c r="R294" s="32" t="str">
        <f t="shared" si="16"/>
        <v>10-Feb-2011</v>
      </c>
      <c r="S294" s="32" t="str">
        <f t="shared" si="17"/>
        <v>10</v>
      </c>
      <c r="T294" s="32" t="str">
        <f t="shared" si="18"/>
        <v>2011</v>
      </c>
      <c r="U294" s="32">
        <f t="shared" si="19"/>
        <v>11</v>
      </c>
    </row>
    <row r="295" spans="1:21" x14ac:dyDescent="0.35">
      <c r="A295" s="1">
        <v>904</v>
      </c>
      <c r="B295" s="25">
        <v>40584</v>
      </c>
      <c r="C295" s="1">
        <v>1</v>
      </c>
      <c r="D295" s="1">
        <v>0</v>
      </c>
      <c r="E295" s="1">
        <v>2</v>
      </c>
      <c r="F295" s="1">
        <v>4</v>
      </c>
      <c r="G295" s="1" t="b">
        <v>0</v>
      </c>
      <c r="H295" s="1">
        <v>4</v>
      </c>
      <c r="I295" s="1">
        <v>2</v>
      </c>
      <c r="J295" s="26">
        <v>0.14000000000000001</v>
      </c>
      <c r="K295" s="26">
        <v>0.13639999999999999</v>
      </c>
      <c r="L295" s="27">
        <v>0.59</v>
      </c>
      <c r="M295" s="27">
        <v>0.22389999999999999</v>
      </c>
      <c r="N295" s="28">
        <v>0</v>
      </c>
      <c r="O295" s="1">
        <v>1</v>
      </c>
      <c r="P295" s="30">
        <v>1</v>
      </c>
      <c r="Q295" s="35"/>
      <c r="R295" s="32" t="str">
        <f t="shared" si="16"/>
        <v>10-Feb-2011</v>
      </c>
      <c r="S295" s="32" t="str">
        <f t="shared" si="17"/>
        <v>10</v>
      </c>
      <c r="T295" s="32" t="str">
        <f t="shared" si="18"/>
        <v>2011</v>
      </c>
      <c r="U295" s="32">
        <f t="shared" si="19"/>
        <v>11</v>
      </c>
    </row>
    <row r="296" spans="1:21" x14ac:dyDescent="0.35">
      <c r="A296" s="1">
        <v>905</v>
      </c>
      <c r="B296" s="25">
        <v>40584</v>
      </c>
      <c r="C296" s="1">
        <v>1</v>
      </c>
      <c r="D296" s="1">
        <v>0</v>
      </c>
      <c r="E296" s="1">
        <v>2</v>
      </c>
      <c r="F296" s="1">
        <v>5</v>
      </c>
      <c r="G296" s="1" t="b">
        <v>0</v>
      </c>
      <c r="H296" s="1">
        <v>4</v>
      </c>
      <c r="I296" s="1">
        <v>2</v>
      </c>
      <c r="J296" s="26">
        <v>0.12</v>
      </c>
      <c r="K296" s="26">
        <v>0.1212</v>
      </c>
      <c r="L296" s="27">
        <v>0.5</v>
      </c>
      <c r="M296" s="27">
        <v>0.22389999999999999</v>
      </c>
      <c r="N296" s="28">
        <v>0</v>
      </c>
      <c r="O296" s="1">
        <v>6</v>
      </c>
      <c r="P296" s="30">
        <v>6</v>
      </c>
      <c r="Q296" s="35"/>
      <c r="R296" s="32" t="str">
        <f t="shared" si="16"/>
        <v>10-Feb-2011</v>
      </c>
      <c r="S296" s="32" t="str">
        <f t="shared" si="17"/>
        <v>10</v>
      </c>
      <c r="T296" s="32" t="str">
        <f t="shared" si="18"/>
        <v>2011</v>
      </c>
      <c r="U296" s="32">
        <f t="shared" si="19"/>
        <v>11</v>
      </c>
    </row>
    <row r="297" spans="1:21" x14ac:dyDescent="0.35">
      <c r="A297" s="1">
        <v>906</v>
      </c>
      <c r="B297" s="25">
        <v>40584</v>
      </c>
      <c r="C297" s="1">
        <v>1</v>
      </c>
      <c r="D297" s="1">
        <v>0</v>
      </c>
      <c r="E297" s="1">
        <v>2</v>
      </c>
      <c r="F297" s="1">
        <v>6</v>
      </c>
      <c r="G297" s="1" t="b">
        <v>0</v>
      </c>
      <c r="H297" s="1">
        <v>4</v>
      </c>
      <c r="I297" s="1">
        <v>2</v>
      </c>
      <c r="J297" s="26">
        <v>0.12</v>
      </c>
      <c r="K297" s="26">
        <v>0.1212</v>
      </c>
      <c r="L297" s="27">
        <v>0.54</v>
      </c>
      <c r="M297" s="27">
        <v>0.28360000000000002</v>
      </c>
      <c r="N297" s="28">
        <v>0</v>
      </c>
      <c r="O297" s="1">
        <v>26</v>
      </c>
      <c r="P297" s="30">
        <v>26</v>
      </c>
      <c r="Q297" s="35"/>
      <c r="R297" s="32" t="str">
        <f t="shared" si="16"/>
        <v>10-Feb-2011</v>
      </c>
      <c r="S297" s="32" t="str">
        <f t="shared" si="17"/>
        <v>10</v>
      </c>
      <c r="T297" s="32" t="str">
        <f t="shared" si="18"/>
        <v>2011</v>
      </c>
      <c r="U297" s="32">
        <f t="shared" si="19"/>
        <v>11</v>
      </c>
    </row>
    <row r="298" spans="1:21" x14ac:dyDescent="0.35">
      <c r="A298" s="1">
        <v>907</v>
      </c>
      <c r="B298" s="25">
        <v>40584</v>
      </c>
      <c r="C298" s="1">
        <v>1</v>
      </c>
      <c r="D298" s="1">
        <v>0</v>
      </c>
      <c r="E298" s="1">
        <v>2</v>
      </c>
      <c r="F298" s="1">
        <v>7</v>
      </c>
      <c r="G298" s="1" t="b">
        <v>0</v>
      </c>
      <c r="H298" s="1">
        <v>4</v>
      </c>
      <c r="I298" s="1">
        <v>1</v>
      </c>
      <c r="J298" s="26">
        <v>0.1</v>
      </c>
      <c r="K298" s="26">
        <v>7.5800000000000006E-2</v>
      </c>
      <c r="L298" s="27">
        <v>0.5</v>
      </c>
      <c r="M298" s="27">
        <v>0.41789999999999999</v>
      </c>
      <c r="N298" s="28">
        <v>0</v>
      </c>
      <c r="O298" s="1">
        <v>99</v>
      </c>
      <c r="P298" s="30">
        <v>99</v>
      </c>
      <c r="Q298" s="35"/>
      <c r="R298" s="32" t="str">
        <f t="shared" si="16"/>
        <v>10-Feb-2011</v>
      </c>
      <c r="S298" s="32" t="str">
        <f t="shared" si="17"/>
        <v>10</v>
      </c>
      <c r="T298" s="32" t="str">
        <f t="shared" si="18"/>
        <v>2011</v>
      </c>
      <c r="U298" s="32">
        <f t="shared" si="19"/>
        <v>11</v>
      </c>
    </row>
    <row r="299" spans="1:21" x14ac:dyDescent="0.35">
      <c r="A299" s="1">
        <v>908</v>
      </c>
      <c r="B299" s="25">
        <v>40584</v>
      </c>
      <c r="C299" s="1">
        <v>1</v>
      </c>
      <c r="D299" s="1">
        <v>0</v>
      </c>
      <c r="E299" s="1">
        <v>2</v>
      </c>
      <c r="F299" s="1">
        <v>8</v>
      </c>
      <c r="G299" s="1" t="b">
        <v>0</v>
      </c>
      <c r="H299" s="1">
        <v>4</v>
      </c>
      <c r="I299" s="1">
        <v>1</v>
      </c>
      <c r="J299" s="26">
        <v>0.1</v>
      </c>
      <c r="K299" s="26">
        <v>7.5800000000000006E-2</v>
      </c>
      <c r="L299" s="27">
        <v>0.49</v>
      </c>
      <c r="M299" s="27">
        <v>0.32840000000000003</v>
      </c>
      <c r="N299" s="28">
        <v>5</v>
      </c>
      <c r="O299" s="1">
        <v>173</v>
      </c>
      <c r="P299" s="30">
        <v>178</v>
      </c>
      <c r="Q299" s="35"/>
      <c r="R299" s="32" t="str">
        <f t="shared" si="16"/>
        <v>10-Feb-2011</v>
      </c>
      <c r="S299" s="32" t="str">
        <f t="shared" si="17"/>
        <v>10</v>
      </c>
      <c r="T299" s="32" t="str">
        <f t="shared" si="18"/>
        <v>2011</v>
      </c>
      <c r="U299" s="32">
        <f t="shared" si="19"/>
        <v>11</v>
      </c>
    </row>
    <row r="300" spans="1:21" x14ac:dyDescent="0.35">
      <c r="A300" s="1">
        <v>909</v>
      </c>
      <c r="B300" s="25">
        <v>40584</v>
      </c>
      <c r="C300" s="1">
        <v>1</v>
      </c>
      <c r="D300" s="1">
        <v>0</v>
      </c>
      <c r="E300" s="1">
        <v>2</v>
      </c>
      <c r="F300" s="1">
        <v>9</v>
      </c>
      <c r="G300" s="1" t="b">
        <v>0</v>
      </c>
      <c r="H300" s="1">
        <v>4</v>
      </c>
      <c r="I300" s="1">
        <v>1</v>
      </c>
      <c r="J300" s="26">
        <v>0.12</v>
      </c>
      <c r="K300" s="26">
        <v>0.1061</v>
      </c>
      <c r="L300" s="27">
        <v>0.42</v>
      </c>
      <c r="M300" s="27">
        <v>0.35820000000000002</v>
      </c>
      <c r="N300" s="28">
        <v>1</v>
      </c>
      <c r="O300" s="1">
        <v>121</v>
      </c>
      <c r="P300" s="30">
        <v>122</v>
      </c>
      <c r="Q300" s="35"/>
      <c r="R300" s="32" t="str">
        <f t="shared" si="16"/>
        <v>10-Feb-2011</v>
      </c>
      <c r="S300" s="32" t="str">
        <f t="shared" si="17"/>
        <v>10</v>
      </c>
      <c r="T300" s="32" t="str">
        <f t="shared" si="18"/>
        <v>2011</v>
      </c>
      <c r="U300" s="32">
        <f t="shared" si="19"/>
        <v>11</v>
      </c>
    </row>
    <row r="301" spans="1:21" x14ac:dyDescent="0.35">
      <c r="A301" s="1">
        <v>910</v>
      </c>
      <c r="B301" s="25">
        <v>40584</v>
      </c>
      <c r="C301" s="1">
        <v>1</v>
      </c>
      <c r="D301" s="1">
        <v>0</v>
      </c>
      <c r="E301" s="1">
        <v>2</v>
      </c>
      <c r="F301" s="1">
        <v>10</v>
      </c>
      <c r="G301" s="1" t="b">
        <v>0</v>
      </c>
      <c r="H301" s="1">
        <v>4</v>
      </c>
      <c r="I301" s="1">
        <v>1</v>
      </c>
      <c r="J301" s="26">
        <v>0.12</v>
      </c>
      <c r="K301" s="26">
        <v>0.1061</v>
      </c>
      <c r="L301" s="27">
        <v>0.42</v>
      </c>
      <c r="M301" s="27">
        <v>0.29849999999999999</v>
      </c>
      <c r="N301" s="28">
        <v>1</v>
      </c>
      <c r="O301" s="1">
        <v>34</v>
      </c>
      <c r="P301" s="30">
        <v>35</v>
      </c>
      <c r="Q301" s="35"/>
      <c r="R301" s="32" t="str">
        <f t="shared" si="16"/>
        <v>10-Feb-2011</v>
      </c>
      <c r="S301" s="32" t="str">
        <f t="shared" si="17"/>
        <v>10</v>
      </c>
      <c r="T301" s="32" t="str">
        <f t="shared" si="18"/>
        <v>2011</v>
      </c>
      <c r="U301" s="32">
        <f t="shared" si="19"/>
        <v>11</v>
      </c>
    </row>
    <row r="302" spans="1:21" x14ac:dyDescent="0.35">
      <c r="A302" s="1">
        <v>911</v>
      </c>
      <c r="B302" s="25">
        <v>40584</v>
      </c>
      <c r="C302" s="1">
        <v>1</v>
      </c>
      <c r="D302" s="1">
        <v>0</v>
      </c>
      <c r="E302" s="1">
        <v>2</v>
      </c>
      <c r="F302" s="1">
        <v>11</v>
      </c>
      <c r="G302" s="1" t="b">
        <v>0</v>
      </c>
      <c r="H302" s="1">
        <v>4</v>
      </c>
      <c r="I302" s="1">
        <v>1</v>
      </c>
      <c r="J302" s="26">
        <v>0.14000000000000001</v>
      </c>
      <c r="K302" s="26">
        <v>0.1212</v>
      </c>
      <c r="L302" s="27">
        <v>0.39</v>
      </c>
      <c r="M302" s="27">
        <v>0.35820000000000002</v>
      </c>
      <c r="N302" s="28">
        <v>1</v>
      </c>
      <c r="O302" s="1">
        <v>44</v>
      </c>
      <c r="P302" s="30">
        <v>45</v>
      </c>
      <c r="Q302" s="35"/>
      <c r="R302" s="32" t="str">
        <f t="shared" si="16"/>
        <v>10-Feb-2011</v>
      </c>
      <c r="S302" s="32" t="str">
        <f t="shared" si="17"/>
        <v>10</v>
      </c>
      <c r="T302" s="32" t="str">
        <f t="shared" si="18"/>
        <v>2011</v>
      </c>
      <c r="U302" s="32">
        <f t="shared" si="19"/>
        <v>11</v>
      </c>
    </row>
    <row r="303" spans="1:21" x14ac:dyDescent="0.35">
      <c r="A303" s="1">
        <v>912</v>
      </c>
      <c r="B303" s="25">
        <v>40584</v>
      </c>
      <c r="C303" s="1">
        <v>1</v>
      </c>
      <c r="D303" s="1">
        <v>0</v>
      </c>
      <c r="E303" s="1">
        <v>2</v>
      </c>
      <c r="F303" s="1">
        <v>12</v>
      </c>
      <c r="G303" s="1" t="b">
        <v>0</v>
      </c>
      <c r="H303" s="1">
        <v>4</v>
      </c>
      <c r="I303" s="1">
        <v>1</v>
      </c>
      <c r="J303" s="26">
        <v>0.16</v>
      </c>
      <c r="K303" s="26">
        <v>0.13639999999999999</v>
      </c>
      <c r="L303" s="27">
        <v>0.34</v>
      </c>
      <c r="M303" s="27">
        <v>0.3881</v>
      </c>
      <c r="N303" s="28">
        <v>4</v>
      </c>
      <c r="O303" s="1">
        <v>65</v>
      </c>
      <c r="P303" s="30">
        <v>69</v>
      </c>
      <c r="Q303" s="35"/>
      <c r="R303" s="32" t="str">
        <f t="shared" si="16"/>
        <v>10-Feb-2011</v>
      </c>
      <c r="S303" s="32" t="str">
        <f t="shared" si="17"/>
        <v>10</v>
      </c>
      <c r="T303" s="32" t="str">
        <f t="shared" si="18"/>
        <v>2011</v>
      </c>
      <c r="U303" s="32">
        <f t="shared" si="19"/>
        <v>11</v>
      </c>
    </row>
    <row r="304" spans="1:21" x14ac:dyDescent="0.35">
      <c r="A304" s="1">
        <v>913</v>
      </c>
      <c r="B304" s="25">
        <v>40584</v>
      </c>
      <c r="C304" s="1">
        <v>1</v>
      </c>
      <c r="D304" s="1">
        <v>0</v>
      </c>
      <c r="E304" s="1">
        <v>2</v>
      </c>
      <c r="F304" s="1">
        <v>13</v>
      </c>
      <c r="G304" s="1" t="b">
        <v>0</v>
      </c>
      <c r="H304" s="1">
        <v>4</v>
      </c>
      <c r="I304" s="1">
        <v>1</v>
      </c>
      <c r="J304" s="26">
        <v>0.18</v>
      </c>
      <c r="K304" s="26">
        <v>0.16669999999999999</v>
      </c>
      <c r="L304" s="27">
        <v>0.28999999999999998</v>
      </c>
      <c r="M304" s="27">
        <v>0.29849999999999999</v>
      </c>
      <c r="N304" s="28">
        <v>3</v>
      </c>
      <c r="O304" s="1">
        <v>59</v>
      </c>
      <c r="P304" s="30">
        <v>62</v>
      </c>
      <c r="Q304" s="35"/>
      <c r="R304" s="32" t="str">
        <f t="shared" si="16"/>
        <v>10-Feb-2011</v>
      </c>
      <c r="S304" s="32" t="str">
        <f t="shared" si="17"/>
        <v>10</v>
      </c>
      <c r="T304" s="32" t="str">
        <f t="shared" si="18"/>
        <v>2011</v>
      </c>
      <c r="U304" s="32">
        <f t="shared" si="19"/>
        <v>11</v>
      </c>
    </row>
    <row r="305" spans="1:21" x14ac:dyDescent="0.35">
      <c r="A305" s="1">
        <v>914</v>
      </c>
      <c r="B305" s="25">
        <v>40584</v>
      </c>
      <c r="C305" s="1">
        <v>1</v>
      </c>
      <c r="D305" s="1">
        <v>0</v>
      </c>
      <c r="E305" s="1">
        <v>2</v>
      </c>
      <c r="F305" s="1">
        <v>14</v>
      </c>
      <c r="G305" s="1" t="b">
        <v>0</v>
      </c>
      <c r="H305" s="1">
        <v>4</v>
      </c>
      <c r="I305" s="1">
        <v>1</v>
      </c>
      <c r="J305" s="26">
        <v>0.2</v>
      </c>
      <c r="K305" s="26">
        <v>0.18179999999999999</v>
      </c>
      <c r="L305" s="27">
        <v>0.27</v>
      </c>
      <c r="M305" s="27">
        <v>0.28360000000000002</v>
      </c>
      <c r="N305" s="28">
        <v>6</v>
      </c>
      <c r="O305" s="1">
        <v>42</v>
      </c>
      <c r="P305" s="30">
        <v>48</v>
      </c>
      <c r="Q305" s="35"/>
      <c r="R305" s="32" t="str">
        <f t="shared" si="16"/>
        <v>10-Feb-2011</v>
      </c>
      <c r="S305" s="32" t="str">
        <f t="shared" si="17"/>
        <v>10</v>
      </c>
      <c r="T305" s="32" t="str">
        <f t="shared" si="18"/>
        <v>2011</v>
      </c>
      <c r="U305" s="32">
        <f t="shared" si="19"/>
        <v>11</v>
      </c>
    </row>
    <row r="306" spans="1:21" x14ac:dyDescent="0.35">
      <c r="A306" s="1">
        <v>915</v>
      </c>
      <c r="B306" s="25">
        <v>40584</v>
      </c>
      <c r="C306" s="1">
        <v>1</v>
      </c>
      <c r="D306" s="1">
        <v>0</v>
      </c>
      <c r="E306" s="1">
        <v>2</v>
      </c>
      <c r="F306" s="1">
        <v>15</v>
      </c>
      <c r="G306" s="1" t="b">
        <v>0</v>
      </c>
      <c r="H306" s="1">
        <v>4</v>
      </c>
      <c r="I306" s="1">
        <v>1</v>
      </c>
      <c r="J306" s="26">
        <v>0.2</v>
      </c>
      <c r="K306" s="26">
        <v>0.19700000000000001</v>
      </c>
      <c r="L306" s="27">
        <v>0.25</v>
      </c>
      <c r="M306" s="27">
        <v>0.25369999999999998</v>
      </c>
      <c r="N306" s="28">
        <v>0</v>
      </c>
      <c r="O306" s="1">
        <v>50</v>
      </c>
      <c r="P306" s="30">
        <v>50</v>
      </c>
      <c r="Q306" s="35"/>
      <c r="R306" s="32" t="str">
        <f t="shared" si="16"/>
        <v>10-Feb-2011</v>
      </c>
      <c r="S306" s="32" t="str">
        <f t="shared" si="17"/>
        <v>10</v>
      </c>
      <c r="T306" s="32" t="str">
        <f t="shared" si="18"/>
        <v>2011</v>
      </c>
      <c r="U306" s="32">
        <f t="shared" si="19"/>
        <v>11</v>
      </c>
    </row>
    <row r="307" spans="1:21" x14ac:dyDescent="0.35">
      <c r="A307" s="1">
        <v>916</v>
      </c>
      <c r="B307" s="25">
        <v>40584</v>
      </c>
      <c r="C307" s="1">
        <v>1</v>
      </c>
      <c r="D307" s="1">
        <v>0</v>
      </c>
      <c r="E307" s="1">
        <v>2</v>
      </c>
      <c r="F307" s="1">
        <v>16</v>
      </c>
      <c r="G307" s="1" t="b">
        <v>0</v>
      </c>
      <c r="H307" s="1">
        <v>4</v>
      </c>
      <c r="I307" s="1">
        <v>1</v>
      </c>
      <c r="J307" s="26">
        <v>0.2</v>
      </c>
      <c r="K307" s="26">
        <v>0.18179999999999999</v>
      </c>
      <c r="L307" s="27">
        <v>0.27</v>
      </c>
      <c r="M307" s="27">
        <v>0.29849999999999999</v>
      </c>
      <c r="N307" s="28">
        <v>4</v>
      </c>
      <c r="O307" s="1">
        <v>76</v>
      </c>
      <c r="P307" s="30">
        <v>80</v>
      </c>
      <c r="Q307" s="35"/>
      <c r="R307" s="32" t="str">
        <f t="shared" si="16"/>
        <v>10-Feb-2011</v>
      </c>
      <c r="S307" s="32" t="str">
        <f t="shared" si="17"/>
        <v>10</v>
      </c>
      <c r="T307" s="32" t="str">
        <f t="shared" si="18"/>
        <v>2011</v>
      </c>
      <c r="U307" s="32">
        <f t="shared" si="19"/>
        <v>11</v>
      </c>
    </row>
    <row r="308" spans="1:21" x14ac:dyDescent="0.35">
      <c r="A308" s="1">
        <v>917</v>
      </c>
      <c r="B308" s="25">
        <v>40584</v>
      </c>
      <c r="C308" s="1">
        <v>1</v>
      </c>
      <c r="D308" s="1">
        <v>0</v>
      </c>
      <c r="E308" s="1">
        <v>2</v>
      </c>
      <c r="F308" s="1">
        <v>17</v>
      </c>
      <c r="G308" s="1" t="b">
        <v>0</v>
      </c>
      <c r="H308" s="1">
        <v>4</v>
      </c>
      <c r="I308" s="1">
        <v>1</v>
      </c>
      <c r="J308" s="26">
        <v>0.18</v>
      </c>
      <c r="K308" s="26">
        <v>0.18179999999999999</v>
      </c>
      <c r="L308" s="27">
        <v>0.26</v>
      </c>
      <c r="M308" s="27">
        <v>0.19400000000000001</v>
      </c>
      <c r="N308" s="28">
        <v>6</v>
      </c>
      <c r="O308" s="1">
        <v>159</v>
      </c>
      <c r="P308" s="30">
        <v>165</v>
      </c>
      <c r="Q308" s="35"/>
      <c r="R308" s="32" t="str">
        <f t="shared" si="16"/>
        <v>10-Feb-2011</v>
      </c>
      <c r="S308" s="32" t="str">
        <f t="shared" si="17"/>
        <v>10</v>
      </c>
      <c r="T308" s="32" t="str">
        <f t="shared" si="18"/>
        <v>2011</v>
      </c>
      <c r="U308" s="32">
        <f t="shared" si="19"/>
        <v>11</v>
      </c>
    </row>
    <row r="309" spans="1:21" x14ac:dyDescent="0.35">
      <c r="A309" s="1">
        <v>918</v>
      </c>
      <c r="B309" s="25">
        <v>40584</v>
      </c>
      <c r="C309" s="1">
        <v>1</v>
      </c>
      <c r="D309" s="1">
        <v>0</v>
      </c>
      <c r="E309" s="1">
        <v>2</v>
      </c>
      <c r="F309" s="1">
        <v>18</v>
      </c>
      <c r="G309" s="1" t="b">
        <v>0</v>
      </c>
      <c r="H309" s="1">
        <v>4</v>
      </c>
      <c r="I309" s="1">
        <v>1</v>
      </c>
      <c r="J309" s="26">
        <v>0.16</v>
      </c>
      <c r="K309" s="26">
        <v>0.18179999999999999</v>
      </c>
      <c r="L309" s="27">
        <v>0.28000000000000003</v>
      </c>
      <c r="M309" s="27">
        <v>0.1343</v>
      </c>
      <c r="N309" s="28">
        <v>3</v>
      </c>
      <c r="O309" s="1">
        <v>157</v>
      </c>
      <c r="P309" s="30">
        <v>160</v>
      </c>
      <c r="Q309" s="35"/>
      <c r="R309" s="32" t="str">
        <f t="shared" si="16"/>
        <v>10-Feb-2011</v>
      </c>
      <c r="S309" s="32" t="str">
        <f t="shared" si="17"/>
        <v>10</v>
      </c>
      <c r="T309" s="32" t="str">
        <f t="shared" si="18"/>
        <v>2011</v>
      </c>
      <c r="U309" s="32">
        <f t="shared" si="19"/>
        <v>11</v>
      </c>
    </row>
    <row r="310" spans="1:21" x14ac:dyDescent="0.35">
      <c r="A310" s="1">
        <v>919</v>
      </c>
      <c r="B310" s="25">
        <v>40584</v>
      </c>
      <c r="C310" s="1">
        <v>1</v>
      </c>
      <c r="D310" s="1">
        <v>0</v>
      </c>
      <c r="E310" s="1">
        <v>2</v>
      </c>
      <c r="F310" s="1">
        <v>19</v>
      </c>
      <c r="G310" s="1" t="b">
        <v>0</v>
      </c>
      <c r="H310" s="1">
        <v>4</v>
      </c>
      <c r="I310" s="1">
        <v>1</v>
      </c>
      <c r="J310" s="26">
        <v>0.14000000000000001</v>
      </c>
      <c r="K310" s="26">
        <v>0.16669999999999999</v>
      </c>
      <c r="L310" s="27">
        <v>0.28000000000000003</v>
      </c>
      <c r="M310" s="27">
        <v>0.1045</v>
      </c>
      <c r="N310" s="28">
        <v>2</v>
      </c>
      <c r="O310" s="1">
        <v>110</v>
      </c>
      <c r="P310" s="30">
        <v>112</v>
      </c>
      <c r="Q310" s="35"/>
      <c r="R310" s="32" t="str">
        <f t="shared" si="16"/>
        <v>10-Feb-2011</v>
      </c>
      <c r="S310" s="32" t="str">
        <f t="shared" si="17"/>
        <v>10</v>
      </c>
      <c r="T310" s="32" t="str">
        <f t="shared" si="18"/>
        <v>2011</v>
      </c>
      <c r="U310" s="32">
        <f t="shared" si="19"/>
        <v>11</v>
      </c>
    </row>
    <row r="311" spans="1:21" x14ac:dyDescent="0.35">
      <c r="A311" s="1">
        <v>920</v>
      </c>
      <c r="B311" s="25">
        <v>40584</v>
      </c>
      <c r="C311" s="1">
        <v>1</v>
      </c>
      <c r="D311" s="1">
        <v>0</v>
      </c>
      <c r="E311" s="1">
        <v>2</v>
      </c>
      <c r="F311" s="1">
        <v>20</v>
      </c>
      <c r="G311" s="1" t="b">
        <v>0</v>
      </c>
      <c r="H311" s="1">
        <v>4</v>
      </c>
      <c r="I311" s="1">
        <v>1</v>
      </c>
      <c r="J311" s="26">
        <v>0.14000000000000001</v>
      </c>
      <c r="K311" s="26">
        <v>0.18179999999999999</v>
      </c>
      <c r="L311" s="27">
        <v>0.31</v>
      </c>
      <c r="M311" s="27">
        <v>8.9599999999999999E-2</v>
      </c>
      <c r="N311" s="28">
        <v>4</v>
      </c>
      <c r="O311" s="1">
        <v>93</v>
      </c>
      <c r="P311" s="30">
        <v>97</v>
      </c>
      <c r="Q311" s="35"/>
      <c r="R311" s="32" t="str">
        <f t="shared" si="16"/>
        <v>10-Feb-2011</v>
      </c>
      <c r="S311" s="32" t="str">
        <f t="shared" si="17"/>
        <v>10</v>
      </c>
      <c r="T311" s="32" t="str">
        <f t="shared" si="18"/>
        <v>2011</v>
      </c>
      <c r="U311" s="32">
        <f t="shared" si="19"/>
        <v>11</v>
      </c>
    </row>
    <row r="312" spans="1:21" x14ac:dyDescent="0.35">
      <c r="A312" s="1">
        <v>921</v>
      </c>
      <c r="B312" s="25">
        <v>40584</v>
      </c>
      <c r="C312" s="1">
        <v>1</v>
      </c>
      <c r="D312" s="1">
        <v>0</v>
      </c>
      <c r="E312" s="1">
        <v>2</v>
      </c>
      <c r="F312" s="1">
        <v>21</v>
      </c>
      <c r="G312" s="1" t="b">
        <v>0</v>
      </c>
      <c r="H312" s="1">
        <v>4</v>
      </c>
      <c r="I312" s="1">
        <v>1</v>
      </c>
      <c r="J312" s="26">
        <v>0.14000000000000001</v>
      </c>
      <c r="K312" s="26">
        <v>0.21210000000000001</v>
      </c>
      <c r="L312" s="27">
        <v>0.39</v>
      </c>
      <c r="M312" s="27">
        <v>0</v>
      </c>
      <c r="N312" s="28">
        <v>2</v>
      </c>
      <c r="O312" s="1">
        <v>70</v>
      </c>
      <c r="P312" s="30">
        <v>72</v>
      </c>
      <c r="Q312" s="35"/>
      <c r="R312" s="32" t="str">
        <f t="shared" si="16"/>
        <v>10-Feb-2011</v>
      </c>
      <c r="S312" s="32" t="str">
        <f t="shared" si="17"/>
        <v>10</v>
      </c>
      <c r="T312" s="32" t="str">
        <f t="shared" si="18"/>
        <v>2011</v>
      </c>
      <c r="U312" s="32">
        <f t="shared" si="19"/>
        <v>11</v>
      </c>
    </row>
    <row r="313" spans="1:21" x14ac:dyDescent="0.35">
      <c r="A313" s="1">
        <v>922</v>
      </c>
      <c r="B313" s="25">
        <v>40584</v>
      </c>
      <c r="C313" s="1">
        <v>1</v>
      </c>
      <c r="D313" s="1">
        <v>0</v>
      </c>
      <c r="E313" s="1">
        <v>2</v>
      </c>
      <c r="F313" s="1">
        <v>22</v>
      </c>
      <c r="G313" s="1" t="b">
        <v>0</v>
      </c>
      <c r="H313" s="1">
        <v>4</v>
      </c>
      <c r="I313" s="1">
        <v>1</v>
      </c>
      <c r="J313" s="26">
        <v>0.12</v>
      </c>
      <c r="K313" s="26">
        <v>0.19700000000000001</v>
      </c>
      <c r="L313" s="27">
        <v>0.39</v>
      </c>
      <c r="M313" s="27">
        <v>0</v>
      </c>
      <c r="N313" s="28">
        <v>4</v>
      </c>
      <c r="O313" s="1">
        <v>47</v>
      </c>
      <c r="P313" s="30">
        <v>51</v>
      </c>
      <c r="Q313" s="35"/>
      <c r="R313" s="32" t="str">
        <f t="shared" si="16"/>
        <v>10-Feb-2011</v>
      </c>
      <c r="S313" s="32" t="str">
        <f t="shared" si="17"/>
        <v>10</v>
      </c>
      <c r="T313" s="32" t="str">
        <f t="shared" si="18"/>
        <v>2011</v>
      </c>
      <c r="U313" s="32">
        <f t="shared" si="19"/>
        <v>11</v>
      </c>
    </row>
    <row r="314" spans="1:21" x14ac:dyDescent="0.35">
      <c r="A314" s="1">
        <v>923</v>
      </c>
      <c r="B314" s="25">
        <v>40584</v>
      </c>
      <c r="C314" s="1">
        <v>1</v>
      </c>
      <c r="D314" s="1">
        <v>0</v>
      </c>
      <c r="E314" s="1">
        <v>2</v>
      </c>
      <c r="F314" s="1">
        <v>23</v>
      </c>
      <c r="G314" s="1" t="b">
        <v>0</v>
      </c>
      <c r="H314" s="1">
        <v>4</v>
      </c>
      <c r="I314" s="1">
        <v>1</v>
      </c>
      <c r="J314" s="26">
        <v>0.12</v>
      </c>
      <c r="K314" s="26">
        <v>0.1515</v>
      </c>
      <c r="L314" s="27">
        <v>0.42</v>
      </c>
      <c r="M314" s="27">
        <v>0.1045</v>
      </c>
      <c r="N314" s="28">
        <v>1</v>
      </c>
      <c r="O314" s="1">
        <v>33</v>
      </c>
      <c r="P314" s="30">
        <v>34</v>
      </c>
      <c r="Q314" s="35"/>
      <c r="R314" s="32" t="str">
        <f t="shared" si="16"/>
        <v>10-Feb-2011</v>
      </c>
      <c r="S314" s="32" t="str">
        <f t="shared" si="17"/>
        <v>10</v>
      </c>
      <c r="T314" s="32" t="str">
        <f t="shared" si="18"/>
        <v>2011</v>
      </c>
      <c r="U314" s="32">
        <f t="shared" si="19"/>
        <v>11</v>
      </c>
    </row>
    <row r="315" spans="1:21" x14ac:dyDescent="0.35">
      <c r="A315" s="1">
        <v>924</v>
      </c>
      <c r="B315" s="25">
        <v>40585</v>
      </c>
      <c r="C315" s="1">
        <v>1</v>
      </c>
      <c r="D315" s="1">
        <v>0</v>
      </c>
      <c r="E315" s="1">
        <v>2</v>
      </c>
      <c r="F315" s="1">
        <v>0</v>
      </c>
      <c r="G315" s="1" t="b">
        <v>0</v>
      </c>
      <c r="H315" s="1">
        <v>5</v>
      </c>
      <c r="I315" s="1">
        <v>1</v>
      </c>
      <c r="J315" s="26">
        <v>0.1</v>
      </c>
      <c r="K315" s="26">
        <v>0.13639999999999999</v>
      </c>
      <c r="L315" s="27">
        <v>0.49</v>
      </c>
      <c r="M315" s="27">
        <v>0.1045</v>
      </c>
      <c r="N315" s="28">
        <v>2</v>
      </c>
      <c r="O315" s="1">
        <v>12</v>
      </c>
      <c r="P315" s="30">
        <v>14</v>
      </c>
      <c r="Q315" s="35"/>
      <c r="R315" s="32" t="str">
        <f t="shared" si="16"/>
        <v>11-Feb-2011</v>
      </c>
      <c r="S315" s="32" t="str">
        <f t="shared" si="17"/>
        <v>11</v>
      </c>
      <c r="T315" s="32" t="str">
        <f t="shared" si="18"/>
        <v>2011</v>
      </c>
      <c r="U315" s="32">
        <f t="shared" si="19"/>
        <v>11</v>
      </c>
    </row>
    <row r="316" spans="1:21" x14ac:dyDescent="0.35">
      <c r="A316" s="1">
        <v>925</v>
      </c>
      <c r="B316" s="25">
        <v>40585</v>
      </c>
      <c r="C316" s="1">
        <v>1</v>
      </c>
      <c r="D316" s="1">
        <v>0</v>
      </c>
      <c r="E316" s="1">
        <v>2</v>
      </c>
      <c r="F316" s="1">
        <v>1</v>
      </c>
      <c r="G316" s="1" t="b">
        <v>0</v>
      </c>
      <c r="H316" s="1">
        <v>5</v>
      </c>
      <c r="I316" s="1">
        <v>1</v>
      </c>
      <c r="J316" s="26">
        <v>0.1</v>
      </c>
      <c r="K316" s="26">
        <v>0.13639999999999999</v>
      </c>
      <c r="L316" s="27">
        <v>0.54</v>
      </c>
      <c r="M316" s="27">
        <v>8.9599999999999999E-2</v>
      </c>
      <c r="N316" s="28">
        <v>1</v>
      </c>
      <c r="O316" s="1">
        <v>6</v>
      </c>
      <c r="P316" s="30">
        <v>7</v>
      </c>
      <c r="Q316" s="35"/>
      <c r="R316" s="32" t="str">
        <f t="shared" si="16"/>
        <v>11-Feb-2011</v>
      </c>
      <c r="S316" s="32" t="str">
        <f t="shared" si="17"/>
        <v>11</v>
      </c>
      <c r="T316" s="32" t="str">
        <f t="shared" si="18"/>
        <v>2011</v>
      </c>
      <c r="U316" s="32">
        <f t="shared" si="19"/>
        <v>11</v>
      </c>
    </row>
    <row r="317" spans="1:21" x14ac:dyDescent="0.35">
      <c r="A317" s="1">
        <v>926</v>
      </c>
      <c r="B317" s="25">
        <v>40585</v>
      </c>
      <c r="C317" s="1">
        <v>1</v>
      </c>
      <c r="D317" s="1">
        <v>0</v>
      </c>
      <c r="E317" s="1">
        <v>2</v>
      </c>
      <c r="F317" s="1">
        <v>2</v>
      </c>
      <c r="G317" s="1" t="b">
        <v>0</v>
      </c>
      <c r="H317" s="1">
        <v>5</v>
      </c>
      <c r="I317" s="1">
        <v>1</v>
      </c>
      <c r="J317" s="26">
        <v>0.1</v>
      </c>
      <c r="K317" s="26">
        <v>0.13639999999999999</v>
      </c>
      <c r="L317" s="27">
        <v>0.54</v>
      </c>
      <c r="M317" s="27">
        <v>8.9599999999999999E-2</v>
      </c>
      <c r="N317" s="28">
        <v>0</v>
      </c>
      <c r="O317" s="1">
        <v>3</v>
      </c>
      <c r="P317" s="30">
        <v>3</v>
      </c>
      <c r="Q317" s="35"/>
      <c r="R317" s="32" t="str">
        <f t="shared" si="16"/>
        <v>11-Feb-2011</v>
      </c>
      <c r="S317" s="32" t="str">
        <f t="shared" si="17"/>
        <v>11</v>
      </c>
      <c r="T317" s="32" t="str">
        <f t="shared" si="18"/>
        <v>2011</v>
      </c>
      <c r="U317" s="32">
        <f t="shared" si="19"/>
        <v>11</v>
      </c>
    </row>
    <row r="318" spans="1:21" x14ac:dyDescent="0.35">
      <c r="A318" s="1">
        <v>927</v>
      </c>
      <c r="B318" s="25">
        <v>40585</v>
      </c>
      <c r="C318" s="1">
        <v>1</v>
      </c>
      <c r="D318" s="1">
        <v>0</v>
      </c>
      <c r="E318" s="1">
        <v>2</v>
      </c>
      <c r="F318" s="1">
        <v>5</v>
      </c>
      <c r="G318" s="1" t="b">
        <v>0</v>
      </c>
      <c r="H318" s="1">
        <v>5</v>
      </c>
      <c r="I318" s="1">
        <v>1</v>
      </c>
      <c r="J318" s="26">
        <v>0.08</v>
      </c>
      <c r="K318" s="26">
        <v>0.1212</v>
      </c>
      <c r="L318" s="27">
        <v>0.63</v>
      </c>
      <c r="M318" s="27">
        <v>8.9599999999999999E-2</v>
      </c>
      <c r="N318" s="28">
        <v>0</v>
      </c>
      <c r="O318" s="1">
        <v>4</v>
      </c>
      <c r="P318" s="30">
        <v>4</v>
      </c>
      <c r="Q318" s="35"/>
      <c r="R318" s="32" t="str">
        <f t="shared" si="16"/>
        <v>11-Feb-2011</v>
      </c>
      <c r="S318" s="32" t="str">
        <f t="shared" si="17"/>
        <v>11</v>
      </c>
      <c r="T318" s="32" t="str">
        <f t="shared" si="18"/>
        <v>2011</v>
      </c>
      <c r="U318" s="32">
        <f t="shared" si="19"/>
        <v>11</v>
      </c>
    </row>
    <row r="319" spans="1:21" x14ac:dyDescent="0.35">
      <c r="A319" s="1">
        <v>928</v>
      </c>
      <c r="B319" s="25">
        <v>40585</v>
      </c>
      <c r="C319" s="1">
        <v>1</v>
      </c>
      <c r="D319" s="1">
        <v>0</v>
      </c>
      <c r="E319" s="1">
        <v>2</v>
      </c>
      <c r="F319" s="1">
        <v>6</v>
      </c>
      <c r="G319" s="1" t="b">
        <v>0</v>
      </c>
      <c r="H319" s="1">
        <v>5</v>
      </c>
      <c r="I319" s="1">
        <v>1</v>
      </c>
      <c r="J319" s="26">
        <v>0.1</v>
      </c>
      <c r="K319" s="26">
        <v>0.18179999999999999</v>
      </c>
      <c r="L319" s="27">
        <v>0.68</v>
      </c>
      <c r="M319" s="27">
        <v>0</v>
      </c>
      <c r="N319" s="28">
        <v>1</v>
      </c>
      <c r="O319" s="1">
        <v>23</v>
      </c>
      <c r="P319" s="30">
        <v>24</v>
      </c>
      <c r="Q319" s="35"/>
      <c r="R319" s="32" t="str">
        <f t="shared" si="16"/>
        <v>11-Feb-2011</v>
      </c>
      <c r="S319" s="32" t="str">
        <f t="shared" si="17"/>
        <v>11</v>
      </c>
      <c r="T319" s="32" t="str">
        <f t="shared" si="18"/>
        <v>2011</v>
      </c>
      <c r="U319" s="32">
        <f t="shared" si="19"/>
        <v>11</v>
      </c>
    </row>
    <row r="320" spans="1:21" x14ac:dyDescent="0.35">
      <c r="A320" s="1">
        <v>929</v>
      </c>
      <c r="B320" s="25">
        <v>40585</v>
      </c>
      <c r="C320" s="1">
        <v>1</v>
      </c>
      <c r="D320" s="1">
        <v>0</v>
      </c>
      <c r="E320" s="1">
        <v>2</v>
      </c>
      <c r="F320" s="1">
        <v>7</v>
      </c>
      <c r="G320" s="1" t="b">
        <v>0</v>
      </c>
      <c r="H320" s="1">
        <v>5</v>
      </c>
      <c r="I320" s="1">
        <v>1</v>
      </c>
      <c r="J320" s="26">
        <v>0.08</v>
      </c>
      <c r="K320" s="26">
        <v>0.16669999999999999</v>
      </c>
      <c r="L320" s="27">
        <v>0.73</v>
      </c>
      <c r="M320" s="27">
        <v>0</v>
      </c>
      <c r="N320" s="28">
        <v>1</v>
      </c>
      <c r="O320" s="1">
        <v>73</v>
      </c>
      <c r="P320" s="30">
        <v>74</v>
      </c>
      <c r="Q320" s="35"/>
      <c r="R320" s="32" t="str">
        <f t="shared" si="16"/>
        <v>11-Feb-2011</v>
      </c>
      <c r="S320" s="32" t="str">
        <f t="shared" si="17"/>
        <v>11</v>
      </c>
      <c r="T320" s="32" t="str">
        <f t="shared" si="18"/>
        <v>2011</v>
      </c>
      <c r="U320" s="32">
        <f t="shared" si="19"/>
        <v>11</v>
      </c>
    </row>
    <row r="321" spans="1:21" x14ac:dyDescent="0.35">
      <c r="A321" s="1">
        <v>930</v>
      </c>
      <c r="B321" s="25">
        <v>40585</v>
      </c>
      <c r="C321" s="1">
        <v>1</v>
      </c>
      <c r="D321" s="1">
        <v>0</v>
      </c>
      <c r="E321" s="1">
        <v>2</v>
      </c>
      <c r="F321" s="1">
        <v>8</v>
      </c>
      <c r="G321" s="1" t="b">
        <v>0</v>
      </c>
      <c r="H321" s="1">
        <v>5</v>
      </c>
      <c r="I321" s="1">
        <v>1</v>
      </c>
      <c r="J321" s="26">
        <v>0.1</v>
      </c>
      <c r="K321" s="26">
        <v>0.1212</v>
      </c>
      <c r="L321" s="27">
        <v>0.74</v>
      </c>
      <c r="M321" s="27">
        <v>0.16420000000000001</v>
      </c>
      <c r="N321" s="28">
        <v>4</v>
      </c>
      <c r="O321" s="1">
        <v>212</v>
      </c>
      <c r="P321" s="30">
        <v>216</v>
      </c>
      <c r="Q321" s="35"/>
      <c r="R321" s="32" t="str">
        <f t="shared" si="16"/>
        <v>11-Feb-2011</v>
      </c>
      <c r="S321" s="32" t="str">
        <f t="shared" si="17"/>
        <v>11</v>
      </c>
      <c r="T321" s="32" t="str">
        <f t="shared" si="18"/>
        <v>2011</v>
      </c>
      <c r="U321" s="32">
        <f t="shared" si="19"/>
        <v>11</v>
      </c>
    </row>
    <row r="322" spans="1:21" x14ac:dyDescent="0.35">
      <c r="A322" s="1">
        <v>931</v>
      </c>
      <c r="B322" s="25">
        <v>40585</v>
      </c>
      <c r="C322" s="1">
        <v>1</v>
      </c>
      <c r="D322" s="1">
        <v>0</v>
      </c>
      <c r="E322" s="1">
        <v>2</v>
      </c>
      <c r="F322" s="1">
        <v>9</v>
      </c>
      <c r="G322" s="1" t="b">
        <v>0</v>
      </c>
      <c r="H322" s="1">
        <v>5</v>
      </c>
      <c r="I322" s="1">
        <v>1</v>
      </c>
      <c r="J322" s="26">
        <v>0.12</v>
      </c>
      <c r="K322" s="26">
        <v>0.1212</v>
      </c>
      <c r="L322" s="27">
        <v>0.74</v>
      </c>
      <c r="M322" s="27">
        <v>0.22389999999999999</v>
      </c>
      <c r="N322" s="28">
        <v>8</v>
      </c>
      <c r="O322" s="1">
        <v>132</v>
      </c>
      <c r="P322" s="30">
        <v>140</v>
      </c>
      <c r="Q322" s="35"/>
      <c r="R322" s="32" t="str">
        <f t="shared" ref="R322:R385" si="20">TEXT(B322,"dd-mmm-yyyy")</f>
        <v>11-Feb-2011</v>
      </c>
      <c r="S322" s="32" t="str">
        <f t="shared" si="17"/>
        <v>11</v>
      </c>
      <c r="T322" s="32" t="str">
        <f t="shared" si="18"/>
        <v>2011</v>
      </c>
      <c r="U322" s="32">
        <f t="shared" si="19"/>
        <v>11</v>
      </c>
    </row>
    <row r="323" spans="1:21" x14ac:dyDescent="0.35">
      <c r="A323" s="1">
        <v>932</v>
      </c>
      <c r="B323" s="25">
        <v>40585</v>
      </c>
      <c r="C323" s="1">
        <v>1</v>
      </c>
      <c r="D323" s="1">
        <v>0</v>
      </c>
      <c r="E323" s="1">
        <v>2</v>
      </c>
      <c r="F323" s="1">
        <v>10</v>
      </c>
      <c r="G323" s="1" t="b">
        <v>0</v>
      </c>
      <c r="H323" s="1">
        <v>5</v>
      </c>
      <c r="I323" s="1">
        <v>1</v>
      </c>
      <c r="J323" s="26">
        <v>0.14000000000000001</v>
      </c>
      <c r="K323" s="26">
        <v>0.13639999999999999</v>
      </c>
      <c r="L323" s="27">
        <v>0.69</v>
      </c>
      <c r="M323" s="27">
        <v>0.19400000000000001</v>
      </c>
      <c r="N323" s="28">
        <v>5</v>
      </c>
      <c r="O323" s="1">
        <v>39</v>
      </c>
      <c r="P323" s="30">
        <v>44</v>
      </c>
      <c r="Q323" s="35"/>
      <c r="R323" s="32" t="str">
        <f t="shared" si="20"/>
        <v>11-Feb-2011</v>
      </c>
      <c r="S323" s="32" t="str">
        <f t="shared" ref="S323:S386" si="21">LEFT(R323,2)</f>
        <v>11</v>
      </c>
      <c r="T323" s="32" t="str">
        <f t="shared" ref="T323:T386" si="22">RIGHT(R323,4)</f>
        <v>2011</v>
      </c>
      <c r="U323" s="32">
        <f t="shared" ref="U323:U386" si="23">LEN(R323)</f>
        <v>11</v>
      </c>
    </row>
    <row r="324" spans="1:21" x14ac:dyDescent="0.35">
      <c r="A324" s="1">
        <v>933</v>
      </c>
      <c r="B324" s="25">
        <v>40585</v>
      </c>
      <c r="C324" s="1">
        <v>1</v>
      </c>
      <c r="D324" s="1">
        <v>0</v>
      </c>
      <c r="E324" s="1">
        <v>2</v>
      </c>
      <c r="F324" s="1">
        <v>11</v>
      </c>
      <c r="G324" s="1" t="b">
        <v>0</v>
      </c>
      <c r="H324" s="1">
        <v>5</v>
      </c>
      <c r="I324" s="1">
        <v>1</v>
      </c>
      <c r="J324" s="26">
        <v>0.22</v>
      </c>
      <c r="K324" s="26">
        <v>0.2273</v>
      </c>
      <c r="L324" s="27">
        <v>0.47</v>
      </c>
      <c r="M324" s="27">
        <v>0.1343</v>
      </c>
      <c r="N324" s="28">
        <v>12</v>
      </c>
      <c r="O324" s="1">
        <v>52</v>
      </c>
      <c r="P324" s="30">
        <v>64</v>
      </c>
      <c r="Q324" s="35"/>
      <c r="R324" s="32" t="str">
        <f t="shared" si="20"/>
        <v>11-Feb-2011</v>
      </c>
      <c r="S324" s="32" t="str">
        <f t="shared" si="21"/>
        <v>11</v>
      </c>
      <c r="T324" s="32" t="str">
        <f t="shared" si="22"/>
        <v>2011</v>
      </c>
      <c r="U324" s="32">
        <f t="shared" si="23"/>
        <v>11</v>
      </c>
    </row>
    <row r="325" spans="1:21" x14ac:dyDescent="0.35">
      <c r="A325" s="1">
        <v>934</v>
      </c>
      <c r="B325" s="25">
        <v>40585</v>
      </c>
      <c r="C325" s="1">
        <v>1</v>
      </c>
      <c r="D325" s="1">
        <v>0</v>
      </c>
      <c r="E325" s="1">
        <v>2</v>
      </c>
      <c r="F325" s="1">
        <v>12</v>
      </c>
      <c r="G325" s="1" t="b">
        <v>0</v>
      </c>
      <c r="H325" s="1">
        <v>5</v>
      </c>
      <c r="I325" s="1">
        <v>1</v>
      </c>
      <c r="J325" s="26">
        <v>0.22</v>
      </c>
      <c r="K325" s="26">
        <v>0.2273</v>
      </c>
      <c r="L325" s="27">
        <v>0.47</v>
      </c>
      <c r="M325" s="27">
        <v>0.1343</v>
      </c>
      <c r="N325" s="28">
        <v>7</v>
      </c>
      <c r="O325" s="1">
        <v>64</v>
      </c>
      <c r="P325" s="30">
        <v>71</v>
      </c>
      <c r="Q325" s="35"/>
      <c r="R325" s="32" t="str">
        <f t="shared" si="20"/>
        <v>11-Feb-2011</v>
      </c>
      <c r="S325" s="32" t="str">
        <f t="shared" si="21"/>
        <v>11</v>
      </c>
      <c r="T325" s="32" t="str">
        <f t="shared" si="22"/>
        <v>2011</v>
      </c>
      <c r="U325" s="32">
        <f t="shared" si="23"/>
        <v>11</v>
      </c>
    </row>
    <row r="326" spans="1:21" x14ac:dyDescent="0.35">
      <c r="A326" s="1">
        <v>935</v>
      </c>
      <c r="B326" s="25">
        <v>40585</v>
      </c>
      <c r="C326" s="1">
        <v>1</v>
      </c>
      <c r="D326" s="1">
        <v>0</v>
      </c>
      <c r="E326" s="1">
        <v>2</v>
      </c>
      <c r="F326" s="1">
        <v>13</v>
      </c>
      <c r="G326" s="1" t="b">
        <v>0</v>
      </c>
      <c r="H326" s="1">
        <v>5</v>
      </c>
      <c r="I326" s="1">
        <v>1</v>
      </c>
      <c r="J326" s="26">
        <v>0.24</v>
      </c>
      <c r="K326" s="26">
        <v>0.2273</v>
      </c>
      <c r="L326" s="27">
        <v>0.35</v>
      </c>
      <c r="M326" s="27">
        <v>0.19400000000000001</v>
      </c>
      <c r="N326" s="28">
        <v>21</v>
      </c>
      <c r="O326" s="1">
        <v>89</v>
      </c>
      <c r="P326" s="30">
        <v>110</v>
      </c>
      <c r="Q326" s="35"/>
      <c r="R326" s="32" t="str">
        <f t="shared" si="20"/>
        <v>11-Feb-2011</v>
      </c>
      <c r="S326" s="32" t="str">
        <f t="shared" si="21"/>
        <v>11</v>
      </c>
      <c r="T326" s="32" t="str">
        <f t="shared" si="22"/>
        <v>2011</v>
      </c>
      <c r="U326" s="32">
        <f t="shared" si="23"/>
        <v>11</v>
      </c>
    </row>
    <row r="327" spans="1:21" x14ac:dyDescent="0.35">
      <c r="A327" s="1">
        <v>936</v>
      </c>
      <c r="B327" s="25">
        <v>40585</v>
      </c>
      <c r="C327" s="1">
        <v>1</v>
      </c>
      <c r="D327" s="1">
        <v>0</v>
      </c>
      <c r="E327" s="1">
        <v>2</v>
      </c>
      <c r="F327" s="1">
        <v>14</v>
      </c>
      <c r="G327" s="1" t="b">
        <v>0</v>
      </c>
      <c r="H327" s="1">
        <v>5</v>
      </c>
      <c r="I327" s="1">
        <v>1</v>
      </c>
      <c r="J327" s="26">
        <v>0.3</v>
      </c>
      <c r="K327" s="26">
        <v>0.28789999999999999</v>
      </c>
      <c r="L327" s="27">
        <v>0.26</v>
      </c>
      <c r="M327" s="27">
        <v>0.25369999999999998</v>
      </c>
      <c r="N327" s="28">
        <v>17</v>
      </c>
      <c r="O327" s="1">
        <v>67</v>
      </c>
      <c r="P327" s="30">
        <v>84</v>
      </c>
      <c r="Q327" s="35"/>
      <c r="R327" s="32" t="str">
        <f t="shared" si="20"/>
        <v>11-Feb-2011</v>
      </c>
      <c r="S327" s="32" t="str">
        <f t="shared" si="21"/>
        <v>11</v>
      </c>
      <c r="T327" s="32" t="str">
        <f t="shared" si="22"/>
        <v>2011</v>
      </c>
      <c r="U327" s="32">
        <f t="shared" si="23"/>
        <v>11</v>
      </c>
    </row>
    <row r="328" spans="1:21" x14ac:dyDescent="0.35">
      <c r="A328" s="1">
        <v>937</v>
      </c>
      <c r="B328" s="25">
        <v>40585</v>
      </c>
      <c r="C328" s="1">
        <v>1</v>
      </c>
      <c r="D328" s="1">
        <v>0</v>
      </c>
      <c r="E328" s="1">
        <v>2</v>
      </c>
      <c r="F328" s="1">
        <v>15</v>
      </c>
      <c r="G328" s="1" t="b">
        <v>0</v>
      </c>
      <c r="H328" s="1">
        <v>5</v>
      </c>
      <c r="I328" s="1">
        <v>1</v>
      </c>
      <c r="J328" s="26">
        <v>0.32</v>
      </c>
      <c r="K328" s="26">
        <v>0.31819999999999998</v>
      </c>
      <c r="L328" s="27">
        <v>0.21</v>
      </c>
      <c r="M328" s="27">
        <v>0.16420000000000001</v>
      </c>
      <c r="N328" s="28">
        <v>12</v>
      </c>
      <c r="O328" s="1">
        <v>62</v>
      </c>
      <c r="P328" s="30">
        <v>74</v>
      </c>
      <c r="Q328" s="35"/>
      <c r="R328" s="32" t="str">
        <f t="shared" si="20"/>
        <v>11-Feb-2011</v>
      </c>
      <c r="S328" s="32" t="str">
        <f t="shared" si="21"/>
        <v>11</v>
      </c>
      <c r="T328" s="32" t="str">
        <f t="shared" si="22"/>
        <v>2011</v>
      </c>
      <c r="U328" s="32">
        <f t="shared" si="23"/>
        <v>11</v>
      </c>
    </row>
    <row r="329" spans="1:21" x14ac:dyDescent="0.35">
      <c r="A329" s="1">
        <v>938</v>
      </c>
      <c r="B329" s="25">
        <v>40585</v>
      </c>
      <c r="C329" s="1">
        <v>1</v>
      </c>
      <c r="D329" s="1">
        <v>0</v>
      </c>
      <c r="E329" s="1">
        <v>2</v>
      </c>
      <c r="F329" s="1">
        <v>16</v>
      </c>
      <c r="G329" s="1" t="b">
        <v>0</v>
      </c>
      <c r="H329" s="1">
        <v>5</v>
      </c>
      <c r="I329" s="1">
        <v>1</v>
      </c>
      <c r="J329" s="26">
        <v>0.3</v>
      </c>
      <c r="K329" s="26">
        <v>0.28789999999999999</v>
      </c>
      <c r="L329" s="27">
        <v>0.28000000000000003</v>
      </c>
      <c r="M329" s="27">
        <v>0.19400000000000001</v>
      </c>
      <c r="N329" s="28">
        <v>14</v>
      </c>
      <c r="O329" s="1">
        <v>111</v>
      </c>
      <c r="P329" s="30">
        <v>125</v>
      </c>
      <c r="Q329" s="35"/>
      <c r="R329" s="32" t="str">
        <f t="shared" si="20"/>
        <v>11-Feb-2011</v>
      </c>
      <c r="S329" s="32" t="str">
        <f t="shared" si="21"/>
        <v>11</v>
      </c>
      <c r="T329" s="32" t="str">
        <f t="shared" si="22"/>
        <v>2011</v>
      </c>
      <c r="U329" s="32">
        <f t="shared" si="23"/>
        <v>11</v>
      </c>
    </row>
    <row r="330" spans="1:21" x14ac:dyDescent="0.35">
      <c r="A330" s="1">
        <v>939</v>
      </c>
      <c r="B330" s="25">
        <v>40585</v>
      </c>
      <c r="C330" s="1">
        <v>1</v>
      </c>
      <c r="D330" s="1">
        <v>0</v>
      </c>
      <c r="E330" s="1">
        <v>2</v>
      </c>
      <c r="F330" s="1">
        <v>17</v>
      </c>
      <c r="G330" s="1" t="b">
        <v>0</v>
      </c>
      <c r="H330" s="1">
        <v>5</v>
      </c>
      <c r="I330" s="1">
        <v>1</v>
      </c>
      <c r="J330" s="26">
        <v>0.3</v>
      </c>
      <c r="K330" s="26">
        <v>0.33329999999999999</v>
      </c>
      <c r="L330" s="27">
        <v>0.24</v>
      </c>
      <c r="M330" s="27">
        <v>0</v>
      </c>
      <c r="N330" s="28">
        <v>18</v>
      </c>
      <c r="O330" s="1">
        <v>193</v>
      </c>
      <c r="P330" s="30">
        <v>211</v>
      </c>
      <c r="Q330" s="35"/>
      <c r="R330" s="32" t="str">
        <f t="shared" si="20"/>
        <v>11-Feb-2011</v>
      </c>
      <c r="S330" s="32" t="str">
        <f t="shared" si="21"/>
        <v>11</v>
      </c>
      <c r="T330" s="32" t="str">
        <f t="shared" si="22"/>
        <v>2011</v>
      </c>
      <c r="U330" s="32">
        <f t="shared" si="23"/>
        <v>11</v>
      </c>
    </row>
    <row r="331" spans="1:21" x14ac:dyDescent="0.35">
      <c r="A331" s="1">
        <v>940</v>
      </c>
      <c r="B331" s="25">
        <v>40585</v>
      </c>
      <c r="C331" s="1">
        <v>1</v>
      </c>
      <c r="D331" s="1">
        <v>0</v>
      </c>
      <c r="E331" s="1">
        <v>2</v>
      </c>
      <c r="F331" s="1">
        <v>18</v>
      </c>
      <c r="G331" s="1" t="b">
        <v>0</v>
      </c>
      <c r="H331" s="1">
        <v>5</v>
      </c>
      <c r="I331" s="1">
        <v>1</v>
      </c>
      <c r="J331" s="26">
        <v>0.28000000000000003</v>
      </c>
      <c r="K331" s="26">
        <v>0.31819999999999998</v>
      </c>
      <c r="L331" s="27">
        <v>0.28000000000000003</v>
      </c>
      <c r="M331" s="27">
        <v>0</v>
      </c>
      <c r="N331" s="28">
        <v>9</v>
      </c>
      <c r="O331" s="1">
        <v>165</v>
      </c>
      <c r="P331" s="30">
        <v>174</v>
      </c>
      <c r="Q331" s="35"/>
      <c r="R331" s="32" t="str">
        <f t="shared" si="20"/>
        <v>11-Feb-2011</v>
      </c>
      <c r="S331" s="32" t="str">
        <f t="shared" si="21"/>
        <v>11</v>
      </c>
      <c r="T331" s="32" t="str">
        <f t="shared" si="22"/>
        <v>2011</v>
      </c>
      <c r="U331" s="32">
        <f t="shared" si="23"/>
        <v>11</v>
      </c>
    </row>
    <row r="332" spans="1:21" x14ac:dyDescent="0.35">
      <c r="A332" s="1">
        <v>941</v>
      </c>
      <c r="B332" s="25">
        <v>40585</v>
      </c>
      <c r="C332" s="1">
        <v>1</v>
      </c>
      <c r="D332" s="1">
        <v>0</v>
      </c>
      <c r="E332" s="1">
        <v>2</v>
      </c>
      <c r="F332" s="1">
        <v>19</v>
      </c>
      <c r="G332" s="1" t="b">
        <v>0</v>
      </c>
      <c r="H332" s="1">
        <v>5</v>
      </c>
      <c r="I332" s="1">
        <v>1</v>
      </c>
      <c r="J332" s="26">
        <v>0.26</v>
      </c>
      <c r="K332" s="26">
        <v>0.30299999999999999</v>
      </c>
      <c r="L332" s="27">
        <v>0.33</v>
      </c>
      <c r="M332" s="27">
        <v>0</v>
      </c>
      <c r="N332" s="28">
        <v>7</v>
      </c>
      <c r="O332" s="1">
        <v>94</v>
      </c>
      <c r="P332" s="30">
        <v>101</v>
      </c>
      <c r="Q332" s="35"/>
      <c r="R332" s="32" t="str">
        <f t="shared" si="20"/>
        <v>11-Feb-2011</v>
      </c>
      <c r="S332" s="32" t="str">
        <f t="shared" si="21"/>
        <v>11</v>
      </c>
      <c r="T332" s="32" t="str">
        <f t="shared" si="22"/>
        <v>2011</v>
      </c>
      <c r="U332" s="32">
        <f t="shared" si="23"/>
        <v>11</v>
      </c>
    </row>
    <row r="333" spans="1:21" x14ac:dyDescent="0.35">
      <c r="A333" s="1">
        <v>942</v>
      </c>
      <c r="B333" s="25">
        <v>40585</v>
      </c>
      <c r="C333" s="1">
        <v>1</v>
      </c>
      <c r="D333" s="1">
        <v>0</v>
      </c>
      <c r="E333" s="1">
        <v>2</v>
      </c>
      <c r="F333" s="1">
        <v>20</v>
      </c>
      <c r="G333" s="1" t="b">
        <v>0</v>
      </c>
      <c r="H333" s="1">
        <v>5</v>
      </c>
      <c r="I333" s="1">
        <v>1</v>
      </c>
      <c r="J333" s="26">
        <v>0.22</v>
      </c>
      <c r="K333" s="26">
        <v>0.2273</v>
      </c>
      <c r="L333" s="27">
        <v>0.55000000000000004</v>
      </c>
      <c r="M333" s="27">
        <v>0.1343</v>
      </c>
      <c r="N333" s="28">
        <v>2</v>
      </c>
      <c r="O333" s="1">
        <v>61</v>
      </c>
      <c r="P333" s="30">
        <v>63</v>
      </c>
      <c r="Q333" s="35"/>
      <c r="R333" s="32" t="str">
        <f t="shared" si="20"/>
        <v>11-Feb-2011</v>
      </c>
      <c r="S333" s="32" t="str">
        <f t="shared" si="21"/>
        <v>11</v>
      </c>
      <c r="T333" s="32" t="str">
        <f t="shared" si="22"/>
        <v>2011</v>
      </c>
      <c r="U333" s="32">
        <f t="shared" si="23"/>
        <v>11</v>
      </c>
    </row>
    <row r="334" spans="1:21" x14ac:dyDescent="0.35">
      <c r="A334" s="1">
        <v>943</v>
      </c>
      <c r="B334" s="25">
        <v>40585</v>
      </c>
      <c r="C334" s="1">
        <v>1</v>
      </c>
      <c r="D334" s="1">
        <v>0</v>
      </c>
      <c r="E334" s="1">
        <v>2</v>
      </c>
      <c r="F334" s="1">
        <v>21</v>
      </c>
      <c r="G334" s="1" t="b">
        <v>0</v>
      </c>
      <c r="H334" s="1">
        <v>5</v>
      </c>
      <c r="I334" s="1">
        <v>1</v>
      </c>
      <c r="J334" s="26">
        <v>0.2</v>
      </c>
      <c r="K334" s="26">
        <v>0.21210000000000001</v>
      </c>
      <c r="L334" s="27">
        <v>0.59</v>
      </c>
      <c r="M334" s="27">
        <v>0.1343</v>
      </c>
      <c r="N334" s="28">
        <v>1</v>
      </c>
      <c r="O334" s="1">
        <v>46</v>
      </c>
      <c r="P334" s="30">
        <v>47</v>
      </c>
      <c r="Q334" s="35"/>
      <c r="R334" s="32" t="str">
        <f t="shared" si="20"/>
        <v>11-Feb-2011</v>
      </c>
      <c r="S334" s="32" t="str">
        <f t="shared" si="21"/>
        <v>11</v>
      </c>
      <c r="T334" s="32" t="str">
        <f t="shared" si="22"/>
        <v>2011</v>
      </c>
      <c r="U334" s="32">
        <f t="shared" si="23"/>
        <v>11</v>
      </c>
    </row>
    <row r="335" spans="1:21" x14ac:dyDescent="0.35">
      <c r="A335" s="1">
        <v>944</v>
      </c>
      <c r="B335" s="25">
        <v>40585</v>
      </c>
      <c r="C335" s="1">
        <v>1</v>
      </c>
      <c r="D335" s="1">
        <v>0</v>
      </c>
      <c r="E335" s="1">
        <v>2</v>
      </c>
      <c r="F335" s="1">
        <v>22</v>
      </c>
      <c r="G335" s="1" t="b">
        <v>0</v>
      </c>
      <c r="H335" s="1">
        <v>5</v>
      </c>
      <c r="I335" s="1">
        <v>1</v>
      </c>
      <c r="J335" s="26">
        <v>0.2</v>
      </c>
      <c r="K335" s="26">
        <v>0.2273</v>
      </c>
      <c r="L335" s="27">
        <v>0.64</v>
      </c>
      <c r="M335" s="27">
        <v>8.9599999999999999E-2</v>
      </c>
      <c r="N335" s="28">
        <v>2</v>
      </c>
      <c r="O335" s="1">
        <v>41</v>
      </c>
      <c r="P335" s="30">
        <v>43</v>
      </c>
      <c r="Q335" s="35"/>
      <c r="R335" s="32" t="str">
        <f t="shared" si="20"/>
        <v>11-Feb-2011</v>
      </c>
      <c r="S335" s="32" t="str">
        <f t="shared" si="21"/>
        <v>11</v>
      </c>
      <c r="T335" s="32" t="str">
        <f t="shared" si="22"/>
        <v>2011</v>
      </c>
      <c r="U335" s="32">
        <f t="shared" si="23"/>
        <v>11</v>
      </c>
    </row>
    <row r="336" spans="1:21" x14ac:dyDescent="0.35">
      <c r="A336" s="1">
        <v>945</v>
      </c>
      <c r="B336" s="25">
        <v>40585</v>
      </c>
      <c r="C336" s="1">
        <v>1</v>
      </c>
      <c r="D336" s="1">
        <v>0</v>
      </c>
      <c r="E336" s="1">
        <v>2</v>
      </c>
      <c r="F336" s="1">
        <v>23</v>
      </c>
      <c r="G336" s="1" t="b">
        <v>0</v>
      </c>
      <c r="H336" s="1">
        <v>5</v>
      </c>
      <c r="I336" s="1">
        <v>1</v>
      </c>
      <c r="J336" s="26">
        <v>0.18</v>
      </c>
      <c r="K336" s="26">
        <v>0.2424</v>
      </c>
      <c r="L336" s="27">
        <v>0.69</v>
      </c>
      <c r="M336" s="27">
        <v>0</v>
      </c>
      <c r="N336" s="28">
        <v>5</v>
      </c>
      <c r="O336" s="1">
        <v>48</v>
      </c>
      <c r="P336" s="30">
        <v>53</v>
      </c>
      <c r="Q336" s="35"/>
      <c r="R336" s="32" t="str">
        <f t="shared" si="20"/>
        <v>11-Feb-2011</v>
      </c>
      <c r="S336" s="32" t="str">
        <f t="shared" si="21"/>
        <v>11</v>
      </c>
      <c r="T336" s="32" t="str">
        <f t="shared" si="22"/>
        <v>2011</v>
      </c>
      <c r="U336" s="32">
        <f t="shared" si="23"/>
        <v>11</v>
      </c>
    </row>
    <row r="337" spans="1:21" x14ac:dyDescent="0.35">
      <c r="A337" s="1">
        <v>946</v>
      </c>
      <c r="B337" s="25">
        <v>40586</v>
      </c>
      <c r="C337" s="1">
        <v>1</v>
      </c>
      <c r="D337" s="1">
        <v>0</v>
      </c>
      <c r="E337" s="1">
        <v>2</v>
      </c>
      <c r="F337" s="1">
        <v>0</v>
      </c>
      <c r="G337" s="1" t="b">
        <v>0</v>
      </c>
      <c r="H337" s="1">
        <v>6</v>
      </c>
      <c r="I337" s="1">
        <v>1</v>
      </c>
      <c r="J337" s="26">
        <v>0.16</v>
      </c>
      <c r="K337" s="26">
        <v>0.19700000000000001</v>
      </c>
      <c r="L337" s="27">
        <v>0.69</v>
      </c>
      <c r="M337" s="27">
        <v>8.9599999999999999E-2</v>
      </c>
      <c r="N337" s="28">
        <v>3</v>
      </c>
      <c r="O337" s="1">
        <v>27</v>
      </c>
      <c r="P337" s="30">
        <v>30</v>
      </c>
      <c r="Q337" s="35"/>
      <c r="R337" s="32" t="str">
        <f t="shared" si="20"/>
        <v>12-Feb-2011</v>
      </c>
      <c r="S337" s="32" t="str">
        <f t="shared" si="21"/>
        <v>12</v>
      </c>
      <c r="T337" s="32" t="str">
        <f t="shared" si="22"/>
        <v>2011</v>
      </c>
      <c r="U337" s="32">
        <f t="shared" si="23"/>
        <v>11</v>
      </c>
    </row>
    <row r="338" spans="1:21" x14ac:dyDescent="0.35">
      <c r="A338" s="1">
        <v>947</v>
      </c>
      <c r="B338" s="25">
        <v>40586</v>
      </c>
      <c r="C338" s="1">
        <v>1</v>
      </c>
      <c r="D338" s="1">
        <v>0</v>
      </c>
      <c r="E338" s="1">
        <v>2</v>
      </c>
      <c r="F338" s="1">
        <v>1</v>
      </c>
      <c r="G338" s="1" t="b">
        <v>0</v>
      </c>
      <c r="H338" s="1">
        <v>6</v>
      </c>
      <c r="I338" s="1">
        <v>1</v>
      </c>
      <c r="J338" s="26">
        <v>0.14000000000000001</v>
      </c>
      <c r="K338" s="26">
        <v>0.21210000000000001</v>
      </c>
      <c r="L338" s="27">
        <v>0.86</v>
      </c>
      <c r="M338" s="27">
        <v>0</v>
      </c>
      <c r="N338" s="28">
        <v>2</v>
      </c>
      <c r="O338" s="1">
        <v>22</v>
      </c>
      <c r="P338" s="30">
        <v>24</v>
      </c>
      <c r="Q338" s="35"/>
      <c r="R338" s="32" t="str">
        <f t="shared" si="20"/>
        <v>12-Feb-2011</v>
      </c>
      <c r="S338" s="32" t="str">
        <f t="shared" si="21"/>
        <v>12</v>
      </c>
      <c r="T338" s="32" t="str">
        <f t="shared" si="22"/>
        <v>2011</v>
      </c>
      <c r="U338" s="32">
        <f t="shared" si="23"/>
        <v>11</v>
      </c>
    </row>
    <row r="339" spans="1:21" x14ac:dyDescent="0.35">
      <c r="A339" s="1">
        <v>948</v>
      </c>
      <c r="B339" s="25">
        <v>40586</v>
      </c>
      <c r="C339" s="1">
        <v>1</v>
      </c>
      <c r="D339" s="1">
        <v>0</v>
      </c>
      <c r="E339" s="1">
        <v>2</v>
      </c>
      <c r="F339" s="1">
        <v>2</v>
      </c>
      <c r="G339" s="1" t="b">
        <v>0</v>
      </c>
      <c r="H339" s="1">
        <v>6</v>
      </c>
      <c r="I339" s="1">
        <v>1</v>
      </c>
      <c r="J339" s="26">
        <v>0.14000000000000001</v>
      </c>
      <c r="K339" s="26">
        <v>0.21210000000000001</v>
      </c>
      <c r="L339" s="27">
        <v>0.8</v>
      </c>
      <c r="M339" s="27">
        <v>0</v>
      </c>
      <c r="N339" s="28">
        <v>2</v>
      </c>
      <c r="O339" s="1">
        <v>13</v>
      </c>
      <c r="P339" s="30">
        <v>15</v>
      </c>
      <c r="Q339" s="35"/>
      <c r="R339" s="32" t="str">
        <f t="shared" si="20"/>
        <v>12-Feb-2011</v>
      </c>
      <c r="S339" s="32" t="str">
        <f t="shared" si="21"/>
        <v>12</v>
      </c>
      <c r="T339" s="32" t="str">
        <f t="shared" si="22"/>
        <v>2011</v>
      </c>
      <c r="U339" s="32">
        <f t="shared" si="23"/>
        <v>11</v>
      </c>
    </row>
    <row r="340" spans="1:21" x14ac:dyDescent="0.35">
      <c r="A340" s="1">
        <v>949</v>
      </c>
      <c r="B340" s="25">
        <v>40586</v>
      </c>
      <c r="C340" s="1">
        <v>1</v>
      </c>
      <c r="D340" s="1">
        <v>0</v>
      </c>
      <c r="E340" s="1">
        <v>2</v>
      </c>
      <c r="F340" s="1">
        <v>3</v>
      </c>
      <c r="G340" s="1" t="b">
        <v>0</v>
      </c>
      <c r="H340" s="1">
        <v>6</v>
      </c>
      <c r="I340" s="1">
        <v>1</v>
      </c>
      <c r="J340" s="26">
        <v>0.12</v>
      </c>
      <c r="K340" s="26">
        <v>0.19700000000000001</v>
      </c>
      <c r="L340" s="27">
        <v>0.8</v>
      </c>
      <c r="M340" s="27">
        <v>0</v>
      </c>
      <c r="N340" s="28">
        <v>3</v>
      </c>
      <c r="O340" s="1">
        <v>7</v>
      </c>
      <c r="P340" s="30">
        <v>10</v>
      </c>
      <c r="Q340" s="35"/>
      <c r="R340" s="32" t="str">
        <f t="shared" si="20"/>
        <v>12-Feb-2011</v>
      </c>
      <c r="S340" s="32" t="str">
        <f t="shared" si="21"/>
        <v>12</v>
      </c>
      <c r="T340" s="32" t="str">
        <f t="shared" si="22"/>
        <v>2011</v>
      </c>
      <c r="U340" s="32">
        <f t="shared" si="23"/>
        <v>11</v>
      </c>
    </row>
    <row r="341" spans="1:21" x14ac:dyDescent="0.35">
      <c r="A341" s="1">
        <v>950</v>
      </c>
      <c r="B341" s="25">
        <v>40586</v>
      </c>
      <c r="C341" s="1">
        <v>1</v>
      </c>
      <c r="D341" s="1">
        <v>0</v>
      </c>
      <c r="E341" s="1">
        <v>2</v>
      </c>
      <c r="F341" s="1">
        <v>4</v>
      </c>
      <c r="G341" s="1" t="b">
        <v>0</v>
      </c>
      <c r="H341" s="1">
        <v>6</v>
      </c>
      <c r="I341" s="1">
        <v>1</v>
      </c>
      <c r="J341" s="26">
        <v>0.12</v>
      </c>
      <c r="K341" s="26">
        <v>0.16669999999999999</v>
      </c>
      <c r="L341" s="27">
        <v>0.74</v>
      </c>
      <c r="M341" s="27">
        <v>8.9599999999999999E-2</v>
      </c>
      <c r="N341" s="28">
        <v>0</v>
      </c>
      <c r="O341" s="1">
        <v>4</v>
      </c>
      <c r="P341" s="30">
        <v>4</v>
      </c>
      <c r="Q341" s="35"/>
      <c r="R341" s="32" t="str">
        <f t="shared" si="20"/>
        <v>12-Feb-2011</v>
      </c>
      <c r="S341" s="32" t="str">
        <f t="shared" si="21"/>
        <v>12</v>
      </c>
      <c r="T341" s="32" t="str">
        <f t="shared" si="22"/>
        <v>2011</v>
      </c>
      <c r="U341" s="32">
        <f t="shared" si="23"/>
        <v>11</v>
      </c>
    </row>
    <row r="342" spans="1:21" x14ac:dyDescent="0.35">
      <c r="A342" s="1">
        <v>951</v>
      </c>
      <c r="B342" s="25">
        <v>40586</v>
      </c>
      <c r="C342" s="1">
        <v>1</v>
      </c>
      <c r="D342" s="1">
        <v>0</v>
      </c>
      <c r="E342" s="1">
        <v>2</v>
      </c>
      <c r="F342" s="1">
        <v>5</v>
      </c>
      <c r="G342" s="1" t="b">
        <v>0</v>
      </c>
      <c r="H342" s="1">
        <v>6</v>
      </c>
      <c r="I342" s="1">
        <v>1</v>
      </c>
      <c r="J342" s="26">
        <v>0.12</v>
      </c>
      <c r="K342" s="26">
        <v>0.16669999999999999</v>
      </c>
      <c r="L342" s="27">
        <v>0.74</v>
      </c>
      <c r="M342" s="27">
        <v>8.9599999999999999E-2</v>
      </c>
      <c r="N342" s="28">
        <v>0</v>
      </c>
      <c r="O342" s="1">
        <v>1</v>
      </c>
      <c r="P342" s="30">
        <v>1</v>
      </c>
      <c r="Q342" s="35"/>
      <c r="R342" s="32" t="str">
        <f t="shared" si="20"/>
        <v>12-Feb-2011</v>
      </c>
      <c r="S342" s="32" t="str">
        <f t="shared" si="21"/>
        <v>12</v>
      </c>
      <c r="T342" s="32" t="str">
        <f t="shared" si="22"/>
        <v>2011</v>
      </c>
      <c r="U342" s="32">
        <f t="shared" si="23"/>
        <v>11</v>
      </c>
    </row>
    <row r="343" spans="1:21" x14ac:dyDescent="0.35">
      <c r="A343" s="1">
        <v>952</v>
      </c>
      <c r="B343" s="25">
        <v>40586</v>
      </c>
      <c r="C343" s="1">
        <v>1</v>
      </c>
      <c r="D343" s="1">
        <v>0</v>
      </c>
      <c r="E343" s="1">
        <v>2</v>
      </c>
      <c r="F343" s="1">
        <v>6</v>
      </c>
      <c r="G343" s="1" t="b">
        <v>0</v>
      </c>
      <c r="H343" s="1">
        <v>6</v>
      </c>
      <c r="I343" s="1">
        <v>1</v>
      </c>
      <c r="J343" s="26">
        <v>0.12</v>
      </c>
      <c r="K343" s="26">
        <v>0.13639999999999999</v>
      </c>
      <c r="L343" s="27">
        <v>0.93</v>
      </c>
      <c r="M343" s="27">
        <v>0.19400000000000001</v>
      </c>
      <c r="N343" s="28">
        <v>1</v>
      </c>
      <c r="O343" s="1">
        <v>1</v>
      </c>
      <c r="P343" s="30">
        <v>2</v>
      </c>
      <c r="Q343" s="35"/>
      <c r="R343" s="32" t="str">
        <f t="shared" si="20"/>
        <v>12-Feb-2011</v>
      </c>
      <c r="S343" s="32" t="str">
        <f t="shared" si="21"/>
        <v>12</v>
      </c>
      <c r="T343" s="32" t="str">
        <f t="shared" si="22"/>
        <v>2011</v>
      </c>
      <c r="U343" s="32">
        <f t="shared" si="23"/>
        <v>11</v>
      </c>
    </row>
    <row r="344" spans="1:21" x14ac:dyDescent="0.35">
      <c r="A344" s="1">
        <v>953</v>
      </c>
      <c r="B344" s="25">
        <v>40586</v>
      </c>
      <c r="C344" s="1">
        <v>1</v>
      </c>
      <c r="D344" s="1">
        <v>0</v>
      </c>
      <c r="E344" s="1">
        <v>2</v>
      </c>
      <c r="F344" s="1">
        <v>7</v>
      </c>
      <c r="G344" s="1" t="b">
        <v>0</v>
      </c>
      <c r="H344" s="1">
        <v>6</v>
      </c>
      <c r="I344" s="1">
        <v>1</v>
      </c>
      <c r="J344" s="26">
        <v>0.12</v>
      </c>
      <c r="K344" s="26">
        <v>0.1515</v>
      </c>
      <c r="L344" s="27">
        <v>0.8</v>
      </c>
      <c r="M344" s="27">
        <v>0.1045</v>
      </c>
      <c r="N344" s="28">
        <v>2</v>
      </c>
      <c r="O344" s="1">
        <v>9</v>
      </c>
      <c r="P344" s="30">
        <v>11</v>
      </c>
      <c r="Q344" s="35"/>
      <c r="R344" s="32" t="str">
        <f t="shared" si="20"/>
        <v>12-Feb-2011</v>
      </c>
      <c r="S344" s="32" t="str">
        <f t="shared" si="21"/>
        <v>12</v>
      </c>
      <c r="T344" s="32" t="str">
        <f t="shared" si="22"/>
        <v>2011</v>
      </c>
      <c r="U344" s="32">
        <f t="shared" si="23"/>
        <v>11</v>
      </c>
    </row>
    <row r="345" spans="1:21" x14ac:dyDescent="0.35">
      <c r="A345" s="1">
        <v>954</v>
      </c>
      <c r="B345" s="25">
        <v>40586</v>
      </c>
      <c r="C345" s="1">
        <v>1</v>
      </c>
      <c r="D345" s="1">
        <v>0</v>
      </c>
      <c r="E345" s="1">
        <v>2</v>
      </c>
      <c r="F345" s="1">
        <v>8</v>
      </c>
      <c r="G345" s="1" t="b">
        <v>0</v>
      </c>
      <c r="H345" s="1">
        <v>6</v>
      </c>
      <c r="I345" s="1">
        <v>1</v>
      </c>
      <c r="J345" s="26">
        <v>0.14000000000000001</v>
      </c>
      <c r="K345" s="26">
        <v>0.1515</v>
      </c>
      <c r="L345" s="27">
        <v>0.86</v>
      </c>
      <c r="M345" s="27">
        <v>0.1343</v>
      </c>
      <c r="N345" s="28">
        <v>2</v>
      </c>
      <c r="O345" s="1">
        <v>28</v>
      </c>
      <c r="P345" s="30">
        <v>30</v>
      </c>
      <c r="Q345" s="35"/>
      <c r="R345" s="32" t="str">
        <f t="shared" si="20"/>
        <v>12-Feb-2011</v>
      </c>
      <c r="S345" s="32" t="str">
        <f t="shared" si="21"/>
        <v>12</v>
      </c>
      <c r="T345" s="32" t="str">
        <f t="shared" si="22"/>
        <v>2011</v>
      </c>
      <c r="U345" s="32">
        <f t="shared" si="23"/>
        <v>11</v>
      </c>
    </row>
    <row r="346" spans="1:21" x14ac:dyDescent="0.35">
      <c r="A346" s="1">
        <v>955</v>
      </c>
      <c r="B346" s="25">
        <v>40586</v>
      </c>
      <c r="C346" s="1">
        <v>1</v>
      </c>
      <c r="D346" s="1">
        <v>0</v>
      </c>
      <c r="E346" s="1">
        <v>2</v>
      </c>
      <c r="F346" s="1">
        <v>9</v>
      </c>
      <c r="G346" s="1" t="b">
        <v>0</v>
      </c>
      <c r="H346" s="1">
        <v>6</v>
      </c>
      <c r="I346" s="1">
        <v>1</v>
      </c>
      <c r="J346" s="26">
        <v>0.16</v>
      </c>
      <c r="K346" s="26">
        <v>0.18179999999999999</v>
      </c>
      <c r="L346" s="27">
        <v>0.64</v>
      </c>
      <c r="M346" s="27">
        <v>0.1343</v>
      </c>
      <c r="N346" s="28">
        <v>5</v>
      </c>
      <c r="O346" s="1">
        <v>38</v>
      </c>
      <c r="P346" s="30">
        <v>43</v>
      </c>
      <c r="Q346" s="35"/>
      <c r="R346" s="32" t="str">
        <f t="shared" si="20"/>
        <v>12-Feb-2011</v>
      </c>
      <c r="S346" s="32" t="str">
        <f t="shared" si="21"/>
        <v>12</v>
      </c>
      <c r="T346" s="32" t="str">
        <f t="shared" si="22"/>
        <v>2011</v>
      </c>
      <c r="U346" s="32">
        <f t="shared" si="23"/>
        <v>11</v>
      </c>
    </row>
    <row r="347" spans="1:21" x14ac:dyDescent="0.35">
      <c r="A347" s="1">
        <v>956</v>
      </c>
      <c r="B347" s="25">
        <v>40586</v>
      </c>
      <c r="C347" s="1">
        <v>1</v>
      </c>
      <c r="D347" s="1">
        <v>0</v>
      </c>
      <c r="E347" s="1">
        <v>2</v>
      </c>
      <c r="F347" s="1">
        <v>10</v>
      </c>
      <c r="G347" s="1" t="b">
        <v>0</v>
      </c>
      <c r="H347" s="1">
        <v>6</v>
      </c>
      <c r="I347" s="1">
        <v>1</v>
      </c>
      <c r="J347" s="26">
        <v>0.22</v>
      </c>
      <c r="K347" s="26">
        <v>0.21210000000000001</v>
      </c>
      <c r="L347" s="27">
        <v>0.41</v>
      </c>
      <c r="M347" s="27">
        <v>0.25369999999999998</v>
      </c>
      <c r="N347" s="28">
        <v>13</v>
      </c>
      <c r="O347" s="1">
        <v>71</v>
      </c>
      <c r="P347" s="30">
        <v>84</v>
      </c>
      <c r="Q347" s="35"/>
      <c r="R347" s="32" t="str">
        <f t="shared" si="20"/>
        <v>12-Feb-2011</v>
      </c>
      <c r="S347" s="32" t="str">
        <f t="shared" si="21"/>
        <v>12</v>
      </c>
      <c r="T347" s="32" t="str">
        <f t="shared" si="22"/>
        <v>2011</v>
      </c>
      <c r="U347" s="32">
        <f t="shared" si="23"/>
        <v>11</v>
      </c>
    </row>
    <row r="348" spans="1:21" x14ac:dyDescent="0.35">
      <c r="A348" s="1">
        <v>957</v>
      </c>
      <c r="B348" s="25">
        <v>40586</v>
      </c>
      <c r="C348" s="1">
        <v>1</v>
      </c>
      <c r="D348" s="1">
        <v>0</v>
      </c>
      <c r="E348" s="1">
        <v>2</v>
      </c>
      <c r="F348" s="1">
        <v>11</v>
      </c>
      <c r="G348" s="1" t="b">
        <v>0</v>
      </c>
      <c r="H348" s="1">
        <v>6</v>
      </c>
      <c r="I348" s="1">
        <v>1</v>
      </c>
      <c r="J348" s="26">
        <v>0.3</v>
      </c>
      <c r="K348" s="26">
        <v>0.2727</v>
      </c>
      <c r="L348" s="27">
        <v>0.28000000000000003</v>
      </c>
      <c r="M348" s="27">
        <v>0.32840000000000003</v>
      </c>
      <c r="N348" s="28">
        <v>30</v>
      </c>
      <c r="O348" s="1">
        <v>84</v>
      </c>
      <c r="P348" s="30">
        <v>114</v>
      </c>
      <c r="Q348" s="35"/>
      <c r="R348" s="32" t="str">
        <f t="shared" si="20"/>
        <v>12-Feb-2011</v>
      </c>
      <c r="S348" s="32" t="str">
        <f t="shared" si="21"/>
        <v>12</v>
      </c>
      <c r="T348" s="32" t="str">
        <f t="shared" si="22"/>
        <v>2011</v>
      </c>
      <c r="U348" s="32">
        <f t="shared" si="23"/>
        <v>11</v>
      </c>
    </row>
    <row r="349" spans="1:21" x14ac:dyDescent="0.35">
      <c r="A349" s="1">
        <v>958</v>
      </c>
      <c r="B349" s="25">
        <v>40586</v>
      </c>
      <c r="C349" s="1">
        <v>1</v>
      </c>
      <c r="D349" s="1">
        <v>0</v>
      </c>
      <c r="E349" s="1">
        <v>2</v>
      </c>
      <c r="F349" s="1">
        <v>12</v>
      </c>
      <c r="G349" s="1" t="b">
        <v>0</v>
      </c>
      <c r="H349" s="1">
        <v>6</v>
      </c>
      <c r="I349" s="1">
        <v>1</v>
      </c>
      <c r="J349" s="26">
        <v>0.3</v>
      </c>
      <c r="K349" s="26">
        <v>0.2727</v>
      </c>
      <c r="L349" s="27">
        <v>0.39</v>
      </c>
      <c r="M349" s="27">
        <v>0.4627</v>
      </c>
      <c r="N349" s="28">
        <v>27</v>
      </c>
      <c r="O349" s="1">
        <v>93</v>
      </c>
      <c r="P349" s="30">
        <v>120</v>
      </c>
      <c r="Q349" s="35"/>
      <c r="R349" s="32" t="str">
        <f t="shared" si="20"/>
        <v>12-Feb-2011</v>
      </c>
      <c r="S349" s="32" t="str">
        <f t="shared" si="21"/>
        <v>12</v>
      </c>
      <c r="T349" s="32" t="str">
        <f t="shared" si="22"/>
        <v>2011</v>
      </c>
      <c r="U349" s="32">
        <f t="shared" si="23"/>
        <v>11</v>
      </c>
    </row>
    <row r="350" spans="1:21" x14ac:dyDescent="0.35">
      <c r="A350" s="1">
        <v>959</v>
      </c>
      <c r="B350" s="25">
        <v>40586</v>
      </c>
      <c r="C350" s="1">
        <v>1</v>
      </c>
      <c r="D350" s="1">
        <v>0</v>
      </c>
      <c r="E350" s="1">
        <v>2</v>
      </c>
      <c r="F350" s="1">
        <v>13</v>
      </c>
      <c r="G350" s="1" t="b">
        <v>0</v>
      </c>
      <c r="H350" s="1">
        <v>6</v>
      </c>
      <c r="I350" s="1">
        <v>1</v>
      </c>
      <c r="J350" s="26">
        <v>0.3</v>
      </c>
      <c r="K350" s="26">
        <v>0.2727</v>
      </c>
      <c r="L350" s="27">
        <v>0.39</v>
      </c>
      <c r="M350" s="27">
        <v>0.41789999999999999</v>
      </c>
      <c r="N350" s="28">
        <v>32</v>
      </c>
      <c r="O350" s="1">
        <v>103</v>
      </c>
      <c r="P350" s="30">
        <v>135</v>
      </c>
      <c r="Q350" s="35"/>
      <c r="R350" s="32" t="str">
        <f t="shared" si="20"/>
        <v>12-Feb-2011</v>
      </c>
      <c r="S350" s="32" t="str">
        <f t="shared" si="21"/>
        <v>12</v>
      </c>
      <c r="T350" s="32" t="str">
        <f t="shared" si="22"/>
        <v>2011</v>
      </c>
      <c r="U350" s="32">
        <f t="shared" si="23"/>
        <v>11</v>
      </c>
    </row>
    <row r="351" spans="1:21" x14ac:dyDescent="0.35">
      <c r="A351" s="1">
        <v>960</v>
      </c>
      <c r="B351" s="25">
        <v>40586</v>
      </c>
      <c r="C351" s="1">
        <v>1</v>
      </c>
      <c r="D351" s="1">
        <v>0</v>
      </c>
      <c r="E351" s="1">
        <v>2</v>
      </c>
      <c r="F351" s="1">
        <v>14</v>
      </c>
      <c r="G351" s="1" t="b">
        <v>0</v>
      </c>
      <c r="H351" s="1">
        <v>6</v>
      </c>
      <c r="I351" s="1">
        <v>1</v>
      </c>
      <c r="J351" s="26">
        <v>0.34</v>
      </c>
      <c r="K351" s="26">
        <v>0.31819999999999998</v>
      </c>
      <c r="L351" s="27">
        <v>0.31</v>
      </c>
      <c r="M351" s="27">
        <v>0.28360000000000002</v>
      </c>
      <c r="N351" s="28">
        <v>30</v>
      </c>
      <c r="O351" s="1">
        <v>90</v>
      </c>
      <c r="P351" s="30">
        <v>120</v>
      </c>
      <c r="Q351" s="35"/>
      <c r="R351" s="32" t="str">
        <f t="shared" si="20"/>
        <v>12-Feb-2011</v>
      </c>
      <c r="S351" s="32" t="str">
        <f t="shared" si="21"/>
        <v>12</v>
      </c>
      <c r="T351" s="32" t="str">
        <f t="shared" si="22"/>
        <v>2011</v>
      </c>
      <c r="U351" s="32">
        <f t="shared" si="23"/>
        <v>11</v>
      </c>
    </row>
    <row r="352" spans="1:21" x14ac:dyDescent="0.35">
      <c r="A352" s="1">
        <v>961</v>
      </c>
      <c r="B352" s="25">
        <v>40586</v>
      </c>
      <c r="C352" s="1">
        <v>1</v>
      </c>
      <c r="D352" s="1">
        <v>0</v>
      </c>
      <c r="E352" s="1">
        <v>2</v>
      </c>
      <c r="F352" s="1">
        <v>15</v>
      </c>
      <c r="G352" s="1" t="b">
        <v>0</v>
      </c>
      <c r="H352" s="1">
        <v>6</v>
      </c>
      <c r="I352" s="1">
        <v>1</v>
      </c>
      <c r="J352" s="26">
        <v>0.34</v>
      </c>
      <c r="K352" s="26">
        <v>0.30299999999999999</v>
      </c>
      <c r="L352" s="27">
        <v>0.28999999999999998</v>
      </c>
      <c r="M352" s="27">
        <v>0.41789999999999999</v>
      </c>
      <c r="N352" s="28">
        <v>47</v>
      </c>
      <c r="O352" s="1">
        <v>127</v>
      </c>
      <c r="P352" s="30">
        <v>174</v>
      </c>
      <c r="Q352" s="35"/>
      <c r="R352" s="32" t="str">
        <f t="shared" si="20"/>
        <v>12-Feb-2011</v>
      </c>
      <c r="S352" s="32" t="str">
        <f t="shared" si="21"/>
        <v>12</v>
      </c>
      <c r="T352" s="32" t="str">
        <f t="shared" si="22"/>
        <v>2011</v>
      </c>
      <c r="U352" s="32">
        <f t="shared" si="23"/>
        <v>11</v>
      </c>
    </row>
    <row r="353" spans="1:21" x14ac:dyDescent="0.35">
      <c r="A353" s="1">
        <v>962</v>
      </c>
      <c r="B353" s="25">
        <v>40586</v>
      </c>
      <c r="C353" s="1">
        <v>1</v>
      </c>
      <c r="D353" s="1">
        <v>0</v>
      </c>
      <c r="E353" s="1">
        <v>2</v>
      </c>
      <c r="F353" s="1">
        <v>16</v>
      </c>
      <c r="G353" s="1" t="b">
        <v>0</v>
      </c>
      <c r="H353" s="1">
        <v>6</v>
      </c>
      <c r="I353" s="1">
        <v>1</v>
      </c>
      <c r="J353" s="26">
        <v>0.34</v>
      </c>
      <c r="K353" s="26">
        <v>0.30299999999999999</v>
      </c>
      <c r="L353" s="27">
        <v>0.28999999999999998</v>
      </c>
      <c r="M353" s="27">
        <v>0.41789999999999999</v>
      </c>
      <c r="N353" s="28">
        <v>42</v>
      </c>
      <c r="O353" s="1">
        <v>103</v>
      </c>
      <c r="P353" s="30">
        <v>145</v>
      </c>
      <c r="Q353" s="35"/>
      <c r="R353" s="32" t="str">
        <f t="shared" si="20"/>
        <v>12-Feb-2011</v>
      </c>
      <c r="S353" s="32" t="str">
        <f t="shared" si="21"/>
        <v>12</v>
      </c>
      <c r="T353" s="32" t="str">
        <f t="shared" si="22"/>
        <v>2011</v>
      </c>
      <c r="U353" s="32">
        <f t="shared" si="23"/>
        <v>11</v>
      </c>
    </row>
    <row r="354" spans="1:21" x14ac:dyDescent="0.35">
      <c r="A354" s="1">
        <v>963</v>
      </c>
      <c r="B354" s="25">
        <v>40586</v>
      </c>
      <c r="C354" s="1">
        <v>1</v>
      </c>
      <c r="D354" s="1">
        <v>0</v>
      </c>
      <c r="E354" s="1">
        <v>2</v>
      </c>
      <c r="F354" s="1">
        <v>17</v>
      </c>
      <c r="G354" s="1" t="b">
        <v>0</v>
      </c>
      <c r="H354" s="1">
        <v>6</v>
      </c>
      <c r="I354" s="1">
        <v>1</v>
      </c>
      <c r="J354" s="26">
        <v>0.32</v>
      </c>
      <c r="K354" s="26">
        <v>0.28789999999999999</v>
      </c>
      <c r="L354" s="27">
        <v>0.31</v>
      </c>
      <c r="M354" s="27">
        <v>0.52239999999999998</v>
      </c>
      <c r="N354" s="28">
        <v>24</v>
      </c>
      <c r="O354" s="1">
        <v>113</v>
      </c>
      <c r="P354" s="30">
        <v>137</v>
      </c>
      <c r="Q354" s="35"/>
      <c r="R354" s="32" t="str">
        <f t="shared" si="20"/>
        <v>12-Feb-2011</v>
      </c>
      <c r="S354" s="32" t="str">
        <f t="shared" si="21"/>
        <v>12</v>
      </c>
      <c r="T354" s="32" t="str">
        <f t="shared" si="22"/>
        <v>2011</v>
      </c>
      <c r="U354" s="32">
        <f t="shared" si="23"/>
        <v>11</v>
      </c>
    </row>
    <row r="355" spans="1:21" x14ac:dyDescent="0.35">
      <c r="A355" s="1">
        <v>964</v>
      </c>
      <c r="B355" s="25">
        <v>40586</v>
      </c>
      <c r="C355" s="1">
        <v>1</v>
      </c>
      <c r="D355" s="1">
        <v>0</v>
      </c>
      <c r="E355" s="1">
        <v>2</v>
      </c>
      <c r="F355" s="1">
        <v>18</v>
      </c>
      <c r="G355" s="1" t="b">
        <v>0</v>
      </c>
      <c r="H355" s="1">
        <v>6</v>
      </c>
      <c r="I355" s="1">
        <v>1</v>
      </c>
      <c r="J355" s="26">
        <v>0.28000000000000003</v>
      </c>
      <c r="K355" s="26">
        <v>0.2576</v>
      </c>
      <c r="L355" s="27">
        <v>0.38</v>
      </c>
      <c r="M355" s="27">
        <v>0.32840000000000003</v>
      </c>
      <c r="N355" s="28">
        <v>4</v>
      </c>
      <c r="O355" s="1">
        <v>60</v>
      </c>
      <c r="P355" s="30">
        <v>64</v>
      </c>
      <c r="Q355" s="35"/>
      <c r="R355" s="32" t="str">
        <f t="shared" si="20"/>
        <v>12-Feb-2011</v>
      </c>
      <c r="S355" s="32" t="str">
        <f t="shared" si="21"/>
        <v>12</v>
      </c>
      <c r="T355" s="32" t="str">
        <f t="shared" si="22"/>
        <v>2011</v>
      </c>
      <c r="U355" s="32">
        <f t="shared" si="23"/>
        <v>11</v>
      </c>
    </row>
    <row r="356" spans="1:21" x14ac:dyDescent="0.35">
      <c r="A356" s="1">
        <v>965</v>
      </c>
      <c r="B356" s="25">
        <v>40586</v>
      </c>
      <c r="C356" s="1">
        <v>1</v>
      </c>
      <c r="D356" s="1">
        <v>0</v>
      </c>
      <c r="E356" s="1">
        <v>2</v>
      </c>
      <c r="F356" s="1">
        <v>19</v>
      </c>
      <c r="G356" s="1" t="b">
        <v>0</v>
      </c>
      <c r="H356" s="1">
        <v>6</v>
      </c>
      <c r="I356" s="1">
        <v>1</v>
      </c>
      <c r="J356" s="26">
        <v>0.28000000000000003</v>
      </c>
      <c r="K356" s="26">
        <v>0.2727</v>
      </c>
      <c r="L356" s="27">
        <v>0.38</v>
      </c>
      <c r="M356" s="27">
        <v>0.16420000000000001</v>
      </c>
      <c r="N356" s="28">
        <v>2</v>
      </c>
      <c r="O356" s="1">
        <v>39</v>
      </c>
      <c r="P356" s="30">
        <v>41</v>
      </c>
      <c r="Q356" s="35"/>
      <c r="R356" s="32" t="str">
        <f t="shared" si="20"/>
        <v>12-Feb-2011</v>
      </c>
      <c r="S356" s="32" t="str">
        <f t="shared" si="21"/>
        <v>12</v>
      </c>
      <c r="T356" s="32" t="str">
        <f t="shared" si="22"/>
        <v>2011</v>
      </c>
      <c r="U356" s="32">
        <f t="shared" si="23"/>
        <v>11</v>
      </c>
    </row>
    <row r="357" spans="1:21" x14ac:dyDescent="0.35">
      <c r="A357" s="1">
        <v>966</v>
      </c>
      <c r="B357" s="25">
        <v>40586</v>
      </c>
      <c r="C357" s="1">
        <v>1</v>
      </c>
      <c r="D357" s="1">
        <v>0</v>
      </c>
      <c r="E357" s="1">
        <v>2</v>
      </c>
      <c r="F357" s="1">
        <v>20</v>
      </c>
      <c r="G357" s="1" t="b">
        <v>0</v>
      </c>
      <c r="H357" s="1">
        <v>6</v>
      </c>
      <c r="I357" s="1">
        <v>1</v>
      </c>
      <c r="J357" s="26">
        <v>0.26</v>
      </c>
      <c r="K357" s="26">
        <v>0.2576</v>
      </c>
      <c r="L357" s="27">
        <v>0.41</v>
      </c>
      <c r="M357" s="27">
        <v>0.22389999999999999</v>
      </c>
      <c r="N357" s="28">
        <v>1</v>
      </c>
      <c r="O357" s="1">
        <v>39</v>
      </c>
      <c r="P357" s="30">
        <v>40</v>
      </c>
      <c r="Q357" s="35"/>
      <c r="R357" s="32" t="str">
        <f t="shared" si="20"/>
        <v>12-Feb-2011</v>
      </c>
      <c r="S357" s="32" t="str">
        <f t="shared" si="21"/>
        <v>12</v>
      </c>
      <c r="T357" s="32" t="str">
        <f t="shared" si="22"/>
        <v>2011</v>
      </c>
      <c r="U357" s="32">
        <f t="shared" si="23"/>
        <v>11</v>
      </c>
    </row>
    <row r="358" spans="1:21" x14ac:dyDescent="0.35">
      <c r="A358" s="1">
        <v>967</v>
      </c>
      <c r="B358" s="25">
        <v>40586</v>
      </c>
      <c r="C358" s="1">
        <v>1</v>
      </c>
      <c r="D358" s="1">
        <v>0</v>
      </c>
      <c r="E358" s="1">
        <v>2</v>
      </c>
      <c r="F358" s="1">
        <v>21</v>
      </c>
      <c r="G358" s="1" t="b">
        <v>0</v>
      </c>
      <c r="H358" s="1">
        <v>6</v>
      </c>
      <c r="I358" s="1">
        <v>1</v>
      </c>
      <c r="J358" s="26">
        <v>0.26</v>
      </c>
      <c r="K358" s="26">
        <v>0.30299999999999999</v>
      </c>
      <c r="L358" s="27">
        <v>0.41</v>
      </c>
      <c r="M358" s="27">
        <v>0</v>
      </c>
      <c r="N358" s="28">
        <v>9</v>
      </c>
      <c r="O358" s="1">
        <v>42</v>
      </c>
      <c r="P358" s="30">
        <v>51</v>
      </c>
      <c r="Q358" s="35"/>
      <c r="R358" s="32" t="str">
        <f t="shared" si="20"/>
        <v>12-Feb-2011</v>
      </c>
      <c r="S358" s="32" t="str">
        <f t="shared" si="21"/>
        <v>12</v>
      </c>
      <c r="T358" s="32" t="str">
        <f t="shared" si="22"/>
        <v>2011</v>
      </c>
      <c r="U358" s="32">
        <f t="shared" si="23"/>
        <v>11</v>
      </c>
    </row>
    <row r="359" spans="1:21" x14ac:dyDescent="0.35">
      <c r="A359" s="1">
        <v>968</v>
      </c>
      <c r="B359" s="25">
        <v>40586</v>
      </c>
      <c r="C359" s="1">
        <v>1</v>
      </c>
      <c r="D359" s="1">
        <v>0</v>
      </c>
      <c r="E359" s="1">
        <v>2</v>
      </c>
      <c r="F359" s="1">
        <v>22</v>
      </c>
      <c r="G359" s="1" t="b">
        <v>0</v>
      </c>
      <c r="H359" s="1">
        <v>6</v>
      </c>
      <c r="I359" s="1">
        <v>1</v>
      </c>
      <c r="J359" s="26">
        <v>0.24</v>
      </c>
      <c r="K359" s="26">
        <v>0.2576</v>
      </c>
      <c r="L359" s="27">
        <v>0.44</v>
      </c>
      <c r="M359" s="27">
        <v>8.9599999999999999E-2</v>
      </c>
      <c r="N359" s="28">
        <v>6</v>
      </c>
      <c r="O359" s="1">
        <v>39</v>
      </c>
      <c r="P359" s="30">
        <v>45</v>
      </c>
      <c r="Q359" s="35"/>
      <c r="R359" s="32" t="str">
        <f t="shared" si="20"/>
        <v>12-Feb-2011</v>
      </c>
      <c r="S359" s="32" t="str">
        <f t="shared" si="21"/>
        <v>12</v>
      </c>
      <c r="T359" s="32" t="str">
        <f t="shared" si="22"/>
        <v>2011</v>
      </c>
      <c r="U359" s="32">
        <f t="shared" si="23"/>
        <v>11</v>
      </c>
    </row>
    <row r="360" spans="1:21" x14ac:dyDescent="0.35">
      <c r="A360" s="1">
        <v>969</v>
      </c>
      <c r="B360" s="25">
        <v>40586</v>
      </c>
      <c r="C360" s="1">
        <v>1</v>
      </c>
      <c r="D360" s="1">
        <v>0</v>
      </c>
      <c r="E360" s="1">
        <v>2</v>
      </c>
      <c r="F360" s="1">
        <v>23</v>
      </c>
      <c r="G360" s="1" t="b">
        <v>0</v>
      </c>
      <c r="H360" s="1">
        <v>6</v>
      </c>
      <c r="I360" s="1">
        <v>1</v>
      </c>
      <c r="J360" s="26">
        <v>0.22</v>
      </c>
      <c r="K360" s="26">
        <v>0.2273</v>
      </c>
      <c r="L360" s="27">
        <v>0.51</v>
      </c>
      <c r="M360" s="27">
        <v>0.1343</v>
      </c>
      <c r="N360" s="28">
        <v>1</v>
      </c>
      <c r="O360" s="1">
        <v>31</v>
      </c>
      <c r="P360" s="30">
        <v>32</v>
      </c>
      <c r="Q360" s="35"/>
      <c r="R360" s="32" t="str">
        <f t="shared" si="20"/>
        <v>12-Feb-2011</v>
      </c>
      <c r="S360" s="32" t="str">
        <f t="shared" si="21"/>
        <v>12</v>
      </c>
      <c r="T360" s="32" t="str">
        <f t="shared" si="22"/>
        <v>2011</v>
      </c>
      <c r="U360" s="32">
        <f t="shared" si="23"/>
        <v>11</v>
      </c>
    </row>
    <row r="361" spans="1:21" x14ac:dyDescent="0.35">
      <c r="A361" s="1">
        <v>970</v>
      </c>
      <c r="B361" s="25">
        <v>40587</v>
      </c>
      <c r="C361" s="1">
        <v>1</v>
      </c>
      <c r="D361" s="1">
        <v>0</v>
      </c>
      <c r="E361" s="1">
        <v>2</v>
      </c>
      <c r="F361" s="1">
        <v>0</v>
      </c>
      <c r="G361" s="1" t="b">
        <v>0</v>
      </c>
      <c r="H361" s="1">
        <v>0</v>
      </c>
      <c r="I361" s="1">
        <v>1</v>
      </c>
      <c r="J361" s="26">
        <v>0.2</v>
      </c>
      <c r="K361" s="26">
        <v>0.2273</v>
      </c>
      <c r="L361" s="27">
        <v>0.64</v>
      </c>
      <c r="M361" s="27">
        <v>0.1045</v>
      </c>
      <c r="N361" s="28">
        <v>5</v>
      </c>
      <c r="O361" s="1">
        <v>34</v>
      </c>
      <c r="P361" s="30">
        <v>39</v>
      </c>
      <c r="Q361" s="35"/>
      <c r="R361" s="32" t="str">
        <f t="shared" si="20"/>
        <v>13-Feb-2011</v>
      </c>
      <c r="S361" s="32" t="str">
        <f t="shared" si="21"/>
        <v>13</v>
      </c>
      <c r="T361" s="32" t="str">
        <f t="shared" si="22"/>
        <v>2011</v>
      </c>
      <c r="U361" s="32">
        <f t="shared" si="23"/>
        <v>11</v>
      </c>
    </row>
    <row r="362" spans="1:21" x14ac:dyDescent="0.35">
      <c r="A362" s="1">
        <v>971</v>
      </c>
      <c r="B362" s="25">
        <v>40587</v>
      </c>
      <c r="C362" s="1">
        <v>1</v>
      </c>
      <c r="D362" s="1">
        <v>0</v>
      </c>
      <c r="E362" s="1">
        <v>2</v>
      </c>
      <c r="F362" s="1">
        <v>1</v>
      </c>
      <c r="G362" s="1" t="b">
        <v>0</v>
      </c>
      <c r="H362" s="1">
        <v>0</v>
      </c>
      <c r="I362" s="1">
        <v>1</v>
      </c>
      <c r="J362" s="26">
        <v>0.2</v>
      </c>
      <c r="K362" s="26">
        <v>0.2273</v>
      </c>
      <c r="L362" s="27">
        <v>0.59</v>
      </c>
      <c r="M362" s="27">
        <v>8.9599999999999999E-2</v>
      </c>
      <c r="N362" s="28">
        <v>1</v>
      </c>
      <c r="O362" s="1">
        <v>23</v>
      </c>
      <c r="P362" s="30">
        <v>24</v>
      </c>
      <c r="Q362" s="35"/>
      <c r="R362" s="32" t="str">
        <f t="shared" si="20"/>
        <v>13-Feb-2011</v>
      </c>
      <c r="S362" s="32" t="str">
        <f t="shared" si="21"/>
        <v>13</v>
      </c>
      <c r="T362" s="32" t="str">
        <f t="shared" si="22"/>
        <v>2011</v>
      </c>
      <c r="U362" s="32">
        <f t="shared" si="23"/>
        <v>11</v>
      </c>
    </row>
    <row r="363" spans="1:21" x14ac:dyDescent="0.35">
      <c r="A363" s="1">
        <v>972</v>
      </c>
      <c r="B363" s="25">
        <v>40587</v>
      </c>
      <c r="C363" s="1">
        <v>1</v>
      </c>
      <c r="D363" s="1">
        <v>0</v>
      </c>
      <c r="E363" s="1">
        <v>2</v>
      </c>
      <c r="F363" s="1">
        <v>2</v>
      </c>
      <c r="G363" s="1" t="b">
        <v>0</v>
      </c>
      <c r="H363" s="1">
        <v>0</v>
      </c>
      <c r="I363" s="1">
        <v>2</v>
      </c>
      <c r="J363" s="26">
        <v>0.2</v>
      </c>
      <c r="K363" s="26">
        <v>0.2273</v>
      </c>
      <c r="L363" s="27">
        <v>0.75</v>
      </c>
      <c r="M363" s="27">
        <v>8.9599999999999999E-2</v>
      </c>
      <c r="N363" s="28">
        <v>1</v>
      </c>
      <c r="O363" s="1">
        <v>19</v>
      </c>
      <c r="P363" s="30">
        <v>20</v>
      </c>
      <c r="Q363" s="35"/>
      <c r="R363" s="32" t="str">
        <f t="shared" si="20"/>
        <v>13-Feb-2011</v>
      </c>
      <c r="S363" s="32" t="str">
        <f t="shared" si="21"/>
        <v>13</v>
      </c>
      <c r="T363" s="32" t="str">
        <f t="shared" si="22"/>
        <v>2011</v>
      </c>
      <c r="U363" s="32">
        <f t="shared" si="23"/>
        <v>11</v>
      </c>
    </row>
    <row r="364" spans="1:21" x14ac:dyDescent="0.35">
      <c r="A364" s="1">
        <v>973</v>
      </c>
      <c r="B364" s="25">
        <v>40587</v>
      </c>
      <c r="C364" s="1">
        <v>1</v>
      </c>
      <c r="D364" s="1">
        <v>0</v>
      </c>
      <c r="E364" s="1">
        <v>2</v>
      </c>
      <c r="F364" s="1">
        <v>3</v>
      </c>
      <c r="G364" s="1" t="b">
        <v>0</v>
      </c>
      <c r="H364" s="1">
        <v>0</v>
      </c>
      <c r="I364" s="1">
        <v>2</v>
      </c>
      <c r="J364" s="26">
        <v>0.2</v>
      </c>
      <c r="K364" s="26">
        <v>0.2273</v>
      </c>
      <c r="L364" s="27">
        <v>0.69</v>
      </c>
      <c r="M364" s="27">
        <v>0.1045</v>
      </c>
      <c r="N364" s="28">
        <v>4</v>
      </c>
      <c r="O364" s="1">
        <v>8</v>
      </c>
      <c r="P364" s="30">
        <v>12</v>
      </c>
      <c r="Q364" s="35"/>
      <c r="R364" s="32" t="str">
        <f t="shared" si="20"/>
        <v>13-Feb-2011</v>
      </c>
      <c r="S364" s="32" t="str">
        <f t="shared" si="21"/>
        <v>13</v>
      </c>
      <c r="T364" s="32" t="str">
        <f t="shared" si="22"/>
        <v>2011</v>
      </c>
      <c r="U364" s="32">
        <f t="shared" si="23"/>
        <v>11</v>
      </c>
    </row>
    <row r="365" spans="1:21" x14ac:dyDescent="0.35">
      <c r="A365" s="1">
        <v>974</v>
      </c>
      <c r="B365" s="25">
        <v>40587</v>
      </c>
      <c r="C365" s="1">
        <v>1</v>
      </c>
      <c r="D365" s="1">
        <v>0</v>
      </c>
      <c r="E365" s="1">
        <v>2</v>
      </c>
      <c r="F365" s="1">
        <v>4</v>
      </c>
      <c r="G365" s="1" t="b">
        <v>0</v>
      </c>
      <c r="H365" s="1">
        <v>0</v>
      </c>
      <c r="I365" s="1">
        <v>2</v>
      </c>
      <c r="J365" s="26">
        <v>0.2</v>
      </c>
      <c r="K365" s="26">
        <v>0.21210000000000001</v>
      </c>
      <c r="L365" s="27">
        <v>0.69</v>
      </c>
      <c r="M365" s="27">
        <v>0.16420000000000001</v>
      </c>
      <c r="N365" s="28">
        <v>0</v>
      </c>
      <c r="O365" s="1">
        <v>2</v>
      </c>
      <c r="P365" s="30">
        <v>2</v>
      </c>
      <c r="Q365" s="35"/>
      <c r="R365" s="32" t="str">
        <f t="shared" si="20"/>
        <v>13-Feb-2011</v>
      </c>
      <c r="S365" s="32" t="str">
        <f t="shared" si="21"/>
        <v>13</v>
      </c>
      <c r="T365" s="32" t="str">
        <f t="shared" si="22"/>
        <v>2011</v>
      </c>
      <c r="U365" s="32">
        <f t="shared" si="23"/>
        <v>11</v>
      </c>
    </row>
    <row r="366" spans="1:21" x14ac:dyDescent="0.35">
      <c r="A366" s="1">
        <v>975</v>
      </c>
      <c r="B366" s="25">
        <v>40587</v>
      </c>
      <c r="C366" s="1">
        <v>1</v>
      </c>
      <c r="D366" s="1">
        <v>0</v>
      </c>
      <c r="E366" s="1">
        <v>2</v>
      </c>
      <c r="F366" s="1">
        <v>6</v>
      </c>
      <c r="G366" s="1" t="b">
        <v>0</v>
      </c>
      <c r="H366" s="1">
        <v>0</v>
      </c>
      <c r="I366" s="1">
        <v>2</v>
      </c>
      <c r="J366" s="26">
        <v>0.2</v>
      </c>
      <c r="K366" s="26">
        <v>0.21210000000000001</v>
      </c>
      <c r="L366" s="27">
        <v>0.69</v>
      </c>
      <c r="M366" s="27">
        <v>0.1343</v>
      </c>
      <c r="N366" s="28">
        <v>2</v>
      </c>
      <c r="O366" s="1">
        <v>3</v>
      </c>
      <c r="P366" s="30">
        <v>5</v>
      </c>
      <c r="Q366" s="35"/>
      <c r="R366" s="32" t="str">
        <f t="shared" si="20"/>
        <v>13-Feb-2011</v>
      </c>
      <c r="S366" s="32" t="str">
        <f t="shared" si="21"/>
        <v>13</v>
      </c>
      <c r="T366" s="32" t="str">
        <f t="shared" si="22"/>
        <v>2011</v>
      </c>
      <c r="U366" s="32">
        <f t="shared" si="23"/>
        <v>11</v>
      </c>
    </row>
    <row r="367" spans="1:21" x14ac:dyDescent="0.35">
      <c r="A367" s="1">
        <v>976</v>
      </c>
      <c r="B367" s="25">
        <v>40587</v>
      </c>
      <c r="C367" s="1">
        <v>1</v>
      </c>
      <c r="D367" s="1">
        <v>0</v>
      </c>
      <c r="E367" s="1">
        <v>2</v>
      </c>
      <c r="F367" s="1">
        <v>7</v>
      </c>
      <c r="G367" s="1" t="b">
        <v>0</v>
      </c>
      <c r="H367" s="1">
        <v>0</v>
      </c>
      <c r="I367" s="1">
        <v>2</v>
      </c>
      <c r="J367" s="26">
        <v>0.22</v>
      </c>
      <c r="K367" s="26">
        <v>0.2727</v>
      </c>
      <c r="L367" s="27">
        <v>0.55000000000000004</v>
      </c>
      <c r="M367" s="27">
        <v>0</v>
      </c>
      <c r="N367" s="28">
        <v>0</v>
      </c>
      <c r="O367" s="1">
        <v>3</v>
      </c>
      <c r="P367" s="30">
        <v>3</v>
      </c>
      <c r="Q367" s="35"/>
      <c r="R367" s="32" t="str">
        <f t="shared" si="20"/>
        <v>13-Feb-2011</v>
      </c>
      <c r="S367" s="32" t="str">
        <f t="shared" si="21"/>
        <v>13</v>
      </c>
      <c r="T367" s="32" t="str">
        <f t="shared" si="22"/>
        <v>2011</v>
      </c>
      <c r="U367" s="32">
        <f t="shared" si="23"/>
        <v>11</v>
      </c>
    </row>
    <row r="368" spans="1:21" x14ac:dyDescent="0.35">
      <c r="A368" s="1">
        <v>977</v>
      </c>
      <c r="B368" s="25">
        <v>40587</v>
      </c>
      <c r="C368" s="1">
        <v>1</v>
      </c>
      <c r="D368" s="1">
        <v>0</v>
      </c>
      <c r="E368" s="1">
        <v>2</v>
      </c>
      <c r="F368" s="1">
        <v>8</v>
      </c>
      <c r="G368" s="1" t="b">
        <v>0</v>
      </c>
      <c r="H368" s="1">
        <v>0</v>
      </c>
      <c r="I368" s="1">
        <v>2</v>
      </c>
      <c r="J368" s="26">
        <v>0.22</v>
      </c>
      <c r="K368" s="26">
        <v>0.2273</v>
      </c>
      <c r="L368" s="27">
        <v>0.64</v>
      </c>
      <c r="M368" s="27">
        <v>0.19400000000000001</v>
      </c>
      <c r="N368" s="28">
        <v>1</v>
      </c>
      <c r="O368" s="1">
        <v>11</v>
      </c>
      <c r="P368" s="30">
        <v>12</v>
      </c>
      <c r="Q368" s="35"/>
      <c r="R368" s="32" t="str">
        <f t="shared" si="20"/>
        <v>13-Feb-2011</v>
      </c>
      <c r="S368" s="32" t="str">
        <f t="shared" si="21"/>
        <v>13</v>
      </c>
      <c r="T368" s="32" t="str">
        <f t="shared" si="22"/>
        <v>2011</v>
      </c>
      <c r="U368" s="32">
        <f t="shared" si="23"/>
        <v>11</v>
      </c>
    </row>
    <row r="369" spans="1:21" x14ac:dyDescent="0.35">
      <c r="A369" s="1">
        <v>978</v>
      </c>
      <c r="B369" s="25">
        <v>40587</v>
      </c>
      <c r="C369" s="1">
        <v>1</v>
      </c>
      <c r="D369" s="1">
        <v>0</v>
      </c>
      <c r="E369" s="1">
        <v>2</v>
      </c>
      <c r="F369" s="1">
        <v>9</v>
      </c>
      <c r="G369" s="1" t="b">
        <v>0</v>
      </c>
      <c r="H369" s="1">
        <v>0</v>
      </c>
      <c r="I369" s="1">
        <v>2</v>
      </c>
      <c r="J369" s="26">
        <v>0.24</v>
      </c>
      <c r="K369" s="26">
        <v>0.2273</v>
      </c>
      <c r="L369" s="27">
        <v>0.6</v>
      </c>
      <c r="M369" s="27">
        <v>0.22389999999999999</v>
      </c>
      <c r="N369" s="28">
        <v>12</v>
      </c>
      <c r="O369" s="1">
        <v>35</v>
      </c>
      <c r="P369" s="30">
        <v>47</v>
      </c>
      <c r="Q369" s="35"/>
      <c r="R369" s="32" t="str">
        <f t="shared" si="20"/>
        <v>13-Feb-2011</v>
      </c>
      <c r="S369" s="32" t="str">
        <f t="shared" si="21"/>
        <v>13</v>
      </c>
      <c r="T369" s="32" t="str">
        <f t="shared" si="22"/>
        <v>2011</v>
      </c>
      <c r="U369" s="32">
        <f t="shared" si="23"/>
        <v>11</v>
      </c>
    </row>
    <row r="370" spans="1:21" x14ac:dyDescent="0.35">
      <c r="A370" s="1">
        <v>979</v>
      </c>
      <c r="B370" s="25">
        <v>40587</v>
      </c>
      <c r="C370" s="1">
        <v>1</v>
      </c>
      <c r="D370" s="1">
        <v>0</v>
      </c>
      <c r="E370" s="1">
        <v>2</v>
      </c>
      <c r="F370" s="1">
        <v>10</v>
      </c>
      <c r="G370" s="1" t="b">
        <v>0</v>
      </c>
      <c r="H370" s="1">
        <v>0</v>
      </c>
      <c r="I370" s="1">
        <v>1</v>
      </c>
      <c r="J370" s="26">
        <v>0.3</v>
      </c>
      <c r="K370" s="26">
        <v>0.2727</v>
      </c>
      <c r="L370" s="27">
        <v>0.45</v>
      </c>
      <c r="M370" s="27">
        <v>0.32840000000000003</v>
      </c>
      <c r="N370" s="28">
        <v>19</v>
      </c>
      <c r="O370" s="1">
        <v>86</v>
      </c>
      <c r="P370" s="30">
        <v>105</v>
      </c>
      <c r="Q370" s="35"/>
      <c r="R370" s="32" t="str">
        <f t="shared" si="20"/>
        <v>13-Feb-2011</v>
      </c>
      <c r="S370" s="32" t="str">
        <f t="shared" si="21"/>
        <v>13</v>
      </c>
      <c r="T370" s="32" t="str">
        <f t="shared" si="22"/>
        <v>2011</v>
      </c>
      <c r="U370" s="32">
        <f t="shared" si="23"/>
        <v>11</v>
      </c>
    </row>
    <row r="371" spans="1:21" x14ac:dyDescent="0.35">
      <c r="A371" s="1">
        <v>980</v>
      </c>
      <c r="B371" s="25">
        <v>40587</v>
      </c>
      <c r="C371" s="1">
        <v>1</v>
      </c>
      <c r="D371" s="1">
        <v>0</v>
      </c>
      <c r="E371" s="1">
        <v>2</v>
      </c>
      <c r="F371" s="1">
        <v>11</v>
      </c>
      <c r="G371" s="1" t="b">
        <v>0</v>
      </c>
      <c r="H371" s="1">
        <v>0</v>
      </c>
      <c r="I371" s="1">
        <v>1</v>
      </c>
      <c r="J371" s="26">
        <v>0.32</v>
      </c>
      <c r="K371" s="26">
        <v>0.28789999999999999</v>
      </c>
      <c r="L371" s="27">
        <v>0.39</v>
      </c>
      <c r="M371" s="27">
        <v>0.44779999999999998</v>
      </c>
      <c r="N371" s="28">
        <v>26</v>
      </c>
      <c r="O371" s="1">
        <v>86</v>
      </c>
      <c r="P371" s="30">
        <v>112</v>
      </c>
      <c r="Q371" s="35"/>
      <c r="R371" s="32" t="str">
        <f t="shared" si="20"/>
        <v>13-Feb-2011</v>
      </c>
      <c r="S371" s="32" t="str">
        <f t="shared" si="21"/>
        <v>13</v>
      </c>
      <c r="T371" s="32" t="str">
        <f t="shared" si="22"/>
        <v>2011</v>
      </c>
      <c r="U371" s="32">
        <f t="shared" si="23"/>
        <v>11</v>
      </c>
    </row>
    <row r="372" spans="1:21" x14ac:dyDescent="0.35">
      <c r="A372" s="1">
        <v>981</v>
      </c>
      <c r="B372" s="25">
        <v>40587</v>
      </c>
      <c r="C372" s="1">
        <v>1</v>
      </c>
      <c r="D372" s="1">
        <v>0</v>
      </c>
      <c r="E372" s="1">
        <v>2</v>
      </c>
      <c r="F372" s="1">
        <v>12</v>
      </c>
      <c r="G372" s="1" t="b">
        <v>0</v>
      </c>
      <c r="H372" s="1">
        <v>0</v>
      </c>
      <c r="I372" s="1">
        <v>1</v>
      </c>
      <c r="J372" s="26">
        <v>0.36</v>
      </c>
      <c r="K372" s="26">
        <v>0.31819999999999998</v>
      </c>
      <c r="L372" s="27">
        <v>0.32</v>
      </c>
      <c r="M372" s="27">
        <v>0.4627</v>
      </c>
      <c r="N372" s="28">
        <v>58</v>
      </c>
      <c r="O372" s="1">
        <v>94</v>
      </c>
      <c r="P372" s="30">
        <v>152</v>
      </c>
      <c r="Q372" s="35"/>
      <c r="R372" s="32" t="str">
        <f t="shared" si="20"/>
        <v>13-Feb-2011</v>
      </c>
      <c r="S372" s="32" t="str">
        <f t="shared" si="21"/>
        <v>13</v>
      </c>
      <c r="T372" s="32" t="str">
        <f t="shared" si="22"/>
        <v>2011</v>
      </c>
      <c r="U372" s="32">
        <f t="shared" si="23"/>
        <v>11</v>
      </c>
    </row>
    <row r="373" spans="1:21" x14ac:dyDescent="0.35">
      <c r="A373" s="1">
        <v>982</v>
      </c>
      <c r="B373" s="25">
        <v>40587</v>
      </c>
      <c r="C373" s="1">
        <v>1</v>
      </c>
      <c r="D373" s="1">
        <v>0</v>
      </c>
      <c r="E373" s="1">
        <v>2</v>
      </c>
      <c r="F373" s="1">
        <v>13</v>
      </c>
      <c r="G373" s="1" t="b">
        <v>0</v>
      </c>
      <c r="H373" s="1">
        <v>0</v>
      </c>
      <c r="I373" s="1">
        <v>1</v>
      </c>
      <c r="J373" s="26">
        <v>0.38</v>
      </c>
      <c r="K373" s="26">
        <v>0.39389999999999997</v>
      </c>
      <c r="L373" s="27">
        <v>0.28999999999999998</v>
      </c>
      <c r="M373" s="27">
        <v>0.35820000000000002</v>
      </c>
      <c r="N373" s="28">
        <v>62</v>
      </c>
      <c r="O373" s="1">
        <v>92</v>
      </c>
      <c r="P373" s="30">
        <v>154</v>
      </c>
      <c r="Q373" s="35"/>
      <c r="R373" s="32" t="str">
        <f t="shared" si="20"/>
        <v>13-Feb-2011</v>
      </c>
      <c r="S373" s="32" t="str">
        <f t="shared" si="21"/>
        <v>13</v>
      </c>
      <c r="T373" s="32" t="str">
        <f t="shared" si="22"/>
        <v>2011</v>
      </c>
      <c r="U373" s="32">
        <f t="shared" si="23"/>
        <v>11</v>
      </c>
    </row>
    <row r="374" spans="1:21" x14ac:dyDescent="0.35">
      <c r="A374" s="1">
        <v>983</v>
      </c>
      <c r="B374" s="25">
        <v>40587</v>
      </c>
      <c r="C374" s="1">
        <v>1</v>
      </c>
      <c r="D374" s="1">
        <v>0</v>
      </c>
      <c r="E374" s="1">
        <v>2</v>
      </c>
      <c r="F374" s="1">
        <v>14</v>
      </c>
      <c r="G374" s="1" t="b">
        <v>0</v>
      </c>
      <c r="H374" s="1">
        <v>0</v>
      </c>
      <c r="I374" s="1">
        <v>2</v>
      </c>
      <c r="J374" s="26">
        <v>0.4</v>
      </c>
      <c r="K374" s="26">
        <v>0.40910000000000002</v>
      </c>
      <c r="L374" s="27">
        <v>0.3</v>
      </c>
      <c r="M374" s="27">
        <v>0.41789999999999999</v>
      </c>
      <c r="N374" s="28">
        <v>51</v>
      </c>
      <c r="O374" s="1">
        <v>110</v>
      </c>
      <c r="P374" s="30">
        <v>161</v>
      </c>
      <c r="Q374" s="35"/>
      <c r="R374" s="32" t="str">
        <f t="shared" si="20"/>
        <v>13-Feb-2011</v>
      </c>
      <c r="S374" s="32" t="str">
        <f t="shared" si="21"/>
        <v>13</v>
      </c>
      <c r="T374" s="32" t="str">
        <f t="shared" si="22"/>
        <v>2011</v>
      </c>
      <c r="U374" s="32">
        <f t="shared" si="23"/>
        <v>11</v>
      </c>
    </row>
    <row r="375" spans="1:21" x14ac:dyDescent="0.35">
      <c r="A375" s="1">
        <v>984</v>
      </c>
      <c r="B375" s="25">
        <v>40587</v>
      </c>
      <c r="C375" s="1">
        <v>1</v>
      </c>
      <c r="D375" s="1">
        <v>0</v>
      </c>
      <c r="E375" s="1">
        <v>2</v>
      </c>
      <c r="F375" s="1">
        <v>15</v>
      </c>
      <c r="G375" s="1" t="b">
        <v>0</v>
      </c>
      <c r="H375" s="1">
        <v>0</v>
      </c>
      <c r="I375" s="1">
        <v>2</v>
      </c>
      <c r="J375" s="26">
        <v>0.4</v>
      </c>
      <c r="K375" s="26">
        <v>0.40910000000000002</v>
      </c>
      <c r="L375" s="27">
        <v>0.3</v>
      </c>
      <c r="M375" s="27">
        <v>0.29849999999999999</v>
      </c>
      <c r="N375" s="28">
        <v>40</v>
      </c>
      <c r="O375" s="1">
        <v>122</v>
      </c>
      <c r="P375" s="30">
        <v>162</v>
      </c>
      <c r="Q375" s="35"/>
      <c r="R375" s="32" t="str">
        <f t="shared" si="20"/>
        <v>13-Feb-2011</v>
      </c>
      <c r="S375" s="32" t="str">
        <f t="shared" si="21"/>
        <v>13</v>
      </c>
      <c r="T375" s="32" t="str">
        <f t="shared" si="22"/>
        <v>2011</v>
      </c>
      <c r="U375" s="32">
        <f t="shared" si="23"/>
        <v>11</v>
      </c>
    </row>
    <row r="376" spans="1:21" x14ac:dyDescent="0.35">
      <c r="A376" s="1">
        <v>985</v>
      </c>
      <c r="B376" s="25">
        <v>40587</v>
      </c>
      <c r="C376" s="1">
        <v>1</v>
      </c>
      <c r="D376" s="1">
        <v>0</v>
      </c>
      <c r="E376" s="1">
        <v>2</v>
      </c>
      <c r="F376" s="1">
        <v>16</v>
      </c>
      <c r="G376" s="1" t="b">
        <v>0</v>
      </c>
      <c r="H376" s="1">
        <v>0</v>
      </c>
      <c r="I376" s="1">
        <v>2</v>
      </c>
      <c r="J376" s="26">
        <v>0.42</v>
      </c>
      <c r="K376" s="26">
        <v>0.42420000000000002</v>
      </c>
      <c r="L376" s="27">
        <v>0.28000000000000003</v>
      </c>
      <c r="M376" s="27">
        <v>0.32840000000000003</v>
      </c>
      <c r="N376" s="28">
        <v>28</v>
      </c>
      <c r="O376" s="1">
        <v>106</v>
      </c>
      <c r="P376" s="30">
        <v>134</v>
      </c>
      <c r="Q376" s="35"/>
      <c r="R376" s="32" t="str">
        <f t="shared" si="20"/>
        <v>13-Feb-2011</v>
      </c>
      <c r="S376" s="32" t="str">
        <f t="shared" si="21"/>
        <v>13</v>
      </c>
      <c r="T376" s="32" t="str">
        <f t="shared" si="22"/>
        <v>2011</v>
      </c>
      <c r="U376" s="32">
        <f t="shared" si="23"/>
        <v>11</v>
      </c>
    </row>
    <row r="377" spans="1:21" x14ac:dyDescent="0.35">
      <c r="A377" s="1">
        <v>986</v>
      </c>
      <c r="B377" s="25">
        <v>40587</v>
      </c>
      <c r="C377" s="1">
        <v>1</v>
      </c>
      <c r="D377" s="1">
        <v>0</v>
      </c>
      <c r="E377" s="1">
        <v>2</v>
      </c>
      <c r="F377" s="1">
        <v>17</v>
      </c>
      <c r="G377" s="1" t="b">
        <v>0</v>
      </c>
      <c r="H377" s="1">
        <v>0</v>
      </c>
      <c r="I377" s="1">
        <v>1</v>
      </c>
      <c r="J377" s="26">
        <v>0.42</v>
      </c>
      <c r="K377" s="26">
        <v>0.42420000000000002</v>
      </c>
      <c r="L377" s="27">
        <v>0.28000000000000003</v>
      </c>
      <c r="M377" s="27">
        <v>0.32840000000000003</v>
      </c>
      <c r="N377" s="28">
        <v>30</v>
      </c>
      <c r="O377" s="1">
        <v>95</v>
      </c>
      <c r="P377" s="30">
        <v>125</v>
      </c>
      <c r="Q377" s="35"/>
      <c r="R377" s="32" t="str">
        <f t="shared" si="20"/>
        <v>13-Feb-2011</v>
      </c>
      <c r="S377" s="32" t="str">
        <f t="shared" si="21"/>
        <v>13</v>
      </c>
      <c r="T377" s="32" t="str">
        <f t="shared" si="22"/>
        <v>2011</v>
      </c>
      <c r="U377" s="32">
        <f t="shared" si="23"/>
        <v>11</v>
      </c>
    </row>
    <row r="378" spans="1:21" x14ac:dyDescent="0.35">
      <c r="A378" s="1">
        <v>987</v>
      </c>
      <c r="B378" s="25">
        <v>40587</v>
      </c>
      <c r="C378" s="1">
        <v>1</v>
      </c>
      <c r="D378" s="1">
        <v>0</v>
      </c>
      <c r="E378" s="1">
        <v>2</v>
      </c>
      <c r="F378" s="1">
        <v>18</v>
      </c>
      <c r="G378" s="1" t="b">
        <v>0</v>
      </c>
      <c r="H378" s="1">
        <v>0</v>
      </c>
      <c r="I378" s="1">
        <v>1</v>
      </c>
      <c r="J378" s="26">
        <v>0.4</v>
      </c>
      <c r="K378" s="26">
        <v>0.40910000000000002</v>
      </c>
      <c r="L378" s="27">
        <v>0.32</v>
      </c>
      <c r="M378" s="27">
        <v>0.29849999999999999</v>
      </c>
      <c r="N378" s="28">
        <v>17</v>
      </c>
      <c r="O378" s="1">
        <v>78</v>
      </c>
      <c r="P378" s="30">
        <v>95</v>
      </c>
      <c r="Q378" s="35"/>
      <c r="R378" s="32" t="str">
        <f t="shared" si="20"/>
        <v>13-Feb-2011</v>
      </c>
      <c r="S378" s="32" t="str">
        <f t="shared" si="21"/>
        <v>13</v>
      </c>
      <c r="T378" s="32" t="str">
        <f t="shared" si="22"/>
        <v>2011</v>
      </c>
      <c r="U378" s="32">
        <f t="shared" si="23"/>
        <v>11</v>
      </c>
    </row>
    <row r="379" spans="1:21" x14ac:dyDescent="0.35">
      <c r="A379" s="1">
        <v>988</v>
      </c>
      <c r="B379" s="25">
        <v>40587</v>
      </c>
      <c r="C379" s="1">
        <v>1</v>
      </c>
      <c r="D379" s="1">
        <v>0</v>
      </c>
      <c r="E379" s="1">
        <v>2</v>
      </c>
      <c r="F379" s="1">
        <v>19</v>
      </c>
      <c r="G379" s="1" t="b">
        <v>0</v>
      </c>
      <c r="H379" s="1">
        <v>0</v>
      </c>
      <c r="I379" s="1">
        <v>1</v>
      </c>
      <c r="J379" s="26">
        <v>0.4</v>
      </c>
      <c r="K379" s="26">
        <v>0.40910000000000002</v>
      </c>
      <c r="L379" s="27">
        <v>0.35</v>
      </c>
      <c r="M379" s="27">
        <v>0.28360000000000002</v>
      </c>
      <c r="N379" s="28">
        <v>11</v>
      </c>
      <c r="O379" s="1">
        <v>50</v>
      </c>
      <c r="P379" s="30">
        <v>61</v>
      </c>
      <c r="Q379" s="35"/>
      <c r="R379" s="32" t="str">
        <f t="shared" si="20"/>
        <v>13-Feb-2011</v>
      </c>
      <c r="S379" s="32" t="str">
        <f t="shared" si="21"/>
        <v>13</v>
      </c>
      <c r="T379" s="32" t="str">
        <f t="shared" si="22"/>
        <v>2011</v>
      </c>
      <c r="U379" s="32">
        <f t="shared" si="23"/>
        <v>11</v>
      </c>
    </row>
    <row r="380" spans="1:21" x14ac:dyDescent="0.35">
      <c r="A380" s="1">
        <v>989</v>
      </c>
      <c r="B380" s="25">
        <v>40587</v>
      </c>
      <c r="C380" s="1">
        <v>1</v>
      </c>
      <c r="D380" s="1">
        <v>0</v>
      </c>
      <c r="E380" s="1">
        <v>2</v>
      </c>
      <c r="F380" s="1">
        <v>20</v>
      </c>
      <c r="G380" s="1" t="b">
        <v>0</v>
      </c>
      <c r="H380" s="1">
        <v>0</v>
      </c>
      <c r="I380" s="1">
        <v>1</v>
      </c>
      <c r="J380" s="26">
        <v>0.4</v>
      </c>
      <c r="K380" s="26">
        <v>0.40910000000000002</v>
      </c>
      <c r="L380" s="27">
        <v>0.35</v>
      </c>
      <c r="M380" s="27">
        <v>0.32840000000000003</v>
      </c>
      <c r="N380" s="28">
        <v>15</v>
      </c>
      <c r="O380" s="1">
        <v>32</v>
      </c>
      <c r="P380" s="30">
        <v>47</v>
      </c>
      <c r="Q380" s="35"/>
      <c r="R380" s="32" t="str">
        <f t="shared" si="20"/>
        <v>13-Feb-2011</v>
      </c>
      <c r="S380" s="32" t="str">
        <f t="shared" si="21"/>
        <v>13</v>
      </c>
      <c r="T380" s="32" t="str">
        <f t="shared" si="22"/>
        <v>2011</v>
      </c>
      <c r="U380" s="32">
        <f t="shared" si="23"/>
        <v>11</v>
      </c>
    </row>
    <row r="381" spans="1:21" x14ac:dyDescent="0.35">
      <c r="A381" s="1">
        <v>990</v>
      </c>
      <c r="B381" s="25">
        <v>40587</v>
      </c>
      <c r="C381" s="1">
        <v>1</v>
      </c>
      <c r="D381" s="1">
        <v>0</v>
      </c>
      <c r="E381" s="1">
        <v>2</v>
      </c>
      <c r="F381" s="1">
        <v>21</v>
      </c>
      <c r="G381" s="1" t="b">
        <v>0</v>
      </c>
      <c r="H381" s="1">
        <v>0</v>
      </c>
      <c r="I381" s="1">
        <v>1</v>
      </c>
      <c r="J381" s="26">
        <v>0.4</v>
      </c>
      <c r="K381" s="26">
        <v>0.40910000000000002</v>
      </c>
      <c r="L381" s="27">
        <v>0.35</v>
      </c>
      <c r="M381" s="27">
        <v>0.35820000000000002</v>
      </c>
      <c r="N381" s="28">
        <v>6</v>
      </c>
      <c r="O381" s="1">
        <v>45</v>
      </c>
      <c r="P381" s="30">
        <v>51</v>
      </c>
      <c r="Q381" s="35"/>
      <c r="R381" s="32" t="str">
        <f t="shared" si="20"/>
        <v>13-Feb-2011</v>
      </c>
      <c r="S381" s="32" t="str">
        <f t="shared" si="21"/>
        <v>13</v>
      </c>
      <c r="T381" s="32" t="str">
        <f t="shared" si="22"/>
        <v>2011</v>
      </c>
      <c r="U381" s="32">
        <f t="shared" si="23"/>
        <v>11</v>
      </c>
    </row>
    <row r="382" spans="1:21" x14ac:dyDescent="0.35">
      <c r="A382" s="1">
        <v>991</v>
      </c>
      <c r="B382" s="25">
        <v>40587</v>
      </c>
      <c r="C382" s="1">
        <v>1</v>
      </c>
      <c r="D382" s="1">
        <v>0</v>
      </c>
      <c r="E382" s="1">
        <v>2</v>
      </c>
      <c r="F382" s="1">
        <v>22</v>
      </c>
      <c r="G382" s="1" t="b">
        <v>0</v>
      </c>
      <c r="H382" s="1">
        <v>0</v>
      </c>
      <c r="I382" s="1">
        <v>1</v>
      </c>
      <c r="J382" s="26">
        <v>0.4</v>
      </c>
      <c r="K382" s="26">
        <v>0.40910000000000002</v>
      </c>
      <c r="L382" s="27">
        <v>0.35</v>
      </c>
      <c r="M382" s="27">
        <v>0.29849999999999999</v>
      </c>
      <c r="N382" s="28">
        <v>5</v>
      </c>
      <c r="O382" s="1">
        <v>31</v>
      </c>
      <c r="P382" s="30">
        <v>36</v>
      </c>
      <c r="Q382" s="35"/>
      <c r="R382" s="32" t="str">
        <f t="shared" si="20"/>
        <v>13-Feb-2011</v>
      </c>
      <c r="S382" s="32" t="str">
        <f t="shared" si="21"/>
        <v>13</v>
      </c>
      <c r="T382" s="32" t="str">
        <f t="shared" si="22"/>
        <v>2011</v>
      </c>
      <c r="U382" s="32">
        <f t="shared" si="23"/>
        <v>11</v>
      </c>
    </row>
    <row r="383" spans="1:21" x14ac:dyDescent="0.35">
      <c r="A383" s="1">
        <v>992</v>
      </c>
      <c r="B383" s="25">
        <v>40587</v>
      </c>
      <c r="C383" s="1">
        <v>1</v>
      </c>
      <c r="D383" s="1">
        <v>0</v>
      </c>
      <c r="E383" s="1">
        <v>2</v>
      </c>
      <c r="F383" s="1">
        <v>23</v>
      </c>
      <c r="G383" s="1" t="b">
        <v>0</v>
      </c>
      <c r="H383" s="1">
        <v>0</v>
      </c>
      <c r="I383" s="1">
        <v>1</v>
      </c>
      <c r="J383" s="26">
        <v>0.4</v>
      </c>
      <c r="K383" s="26">
        <v>0.40910000000000002</v>
      </c>
      <c r="L383" s="27">
        <v>0.35</v>
      </c>
      <c r="M383" s="27">
        <v>0.35820000000000002</v>
      </c>
      <c r="N383" s="28">
        <v>3</v>
      </c>
      <c r="O383" s="1">
        <v>27</v>
      </c>
      <c r="P383" s="30">
        <v>30</v>
      </c>
      <c r="Q383" s="35"/>
      <c r="R383" s="32" t="str">
        <f t="shared" si="20"/>
        <v>13-Feb-2011</v>
      </c>
      <c r="S383" s="32" t="str">
        <f t="shared" si="21"/>
        <v>13</v>
      </c>
      <c r="T383" s="32" t="str">
        <f t="shared" si="22"/>
        <v>2011</v>
      </c>
      <c r="U383" s="32">
        <f t="shared" si="23"/>
        <v>11</v>
      </c>
    </row>
    <row r="384" spans="1:21" x14ac:dyDescent="0.35">
      <c r="A384" s="1">
        <v>993</v>
      </c>
      <c r="B384" s="25">
        <v>40588</v>
      </c>
      <c r="C384" s="1">
        <v>1</v>
      </c>
      <c r="D384" s="1">
        <v>0</v>
      </c>
      <c r="E384" s="1">
        <v>2</v>
      </c>
      <c r="F384" s="1">
        <v>0</v>
      </c>
      <c r="G384" s="1" t="b">
        <v>0</v>
      </c>
      <c r="H384" s="1">
        <v>1</v>
      </c>
      <c r="I384" s="1">
        <v>1</v>
      </c>
      <c r="J384" s="26">
        <v>0.38</v>
      </c>
      <c r="K384" s="26">
        <v>0.39389999999999997</v>
      </c>
      <c r="L384" s="27">
        <v>0.37</v>
      </c>
      <c r="M384" s="27">
        <v>0.35820000000000002</v>
      </c>
      <c r="N384" s="28">
        <v>3</v>
      </c>
      <c r="O384" s="1">
        <v>8</v>
      </c>
      <c r="P384" s="30">
        <v>11</v>
      </c>
      <c r="Q384" s="35"/>
      <c r="R384" s="32" t="str">
        <f t="shared" si="20"/>
        <v>14-Feb-2011</v>
      </c>
      <c r="S384" s="32" t="str">
        <f t="shared" si="21"/>
        <v>14</v>
      </c>
      <c r="T384" s="32" t="str">
        <f t="shared" si="22"/>
        <v>2011</v>
      </c>
      <c r="U384" s="32">
        <f t="shared" si="23"/>
        <v>11</v>
      </c>
    </row>
    <row r="385" spans="1:21" x14ac:dyDescent="0.35">
      <c r="A385" s="1">
        <v>994</v>
      </c>
      <c r="B385" s="25">
        <v>40588</v>
      </c>
      <c r="C385" s="1">
        <v>1</v>
      </c>
      <c r="D385" s="1">
        <v>0</v>
      </c>
      <c r="E385" s="1">
        <v>2</v>
      </c>
      <c r="F385" s="1">
        <v>1</v>
      </c>
      <c r="G385" s="1" t="b">
        <v>0</v>
      </c>
      <c r="H385" s="1">
        <v>1</v>
      </c>
      <c r="I385" s="1">
        <v>1</v>
      </c>
      <c r="J385" s="26">
        <v>0.38</v>
      </c>
      <c r="K385" s="26">
        <v>0.39389999999999997</v>
      </c>
      <c r="L385" s="27">
        <v>0.37</v>
      </c>
      <c r="M385" s="27">
        <v>0.35820000000000002</v>
      </c>
      <c r="N385" s="28">
        <v>1</v>
      </c>
      <c r="O385" s="1">
        <v>6</v>
      </c>
      <c r="P385" s="30">
        <v>7</v>
      </c>
      <c r="Q385" s="35"/>
      <c r="R385" s="32" t="str">
        <f t="shared" si="20"/>
        <v>14-Feb-2011</v>
      </c>
      <c r="S385" s="32" t="str">
        <f t="shared" si="21"/>
        <v>14</v>
      </c>
      <c r="T385" s="32" t="str">
        <f t="shared" si="22"/>
        <v>2011</v>
      </c>
      <c r="U385" s="32">
        <f t="shared" si="23"/>
        <v>11</v>
      </c>
    </row>
    <row r="386" spans="1:21" x14ac:dyDescent="0.35">
      <c r="A386" s="1">
        <v>995</v>
      </c>
      <c r="B386" s="25">
        <v>40588</v>
      </c>
      <c r="C386" s="1">
        <v>1</v>
      </c>
      <c r="D386" s="1">
        <v>0</v>
      </c>
      <c r="E386" s="1">
        <v>2</v>
      </c>
      <c r="F386" s="1">
        <v>2</v>
      </c>
      <c r="G386" s="1" t="b">
        <v>0</v>
      </c>
      <c r="H386" s="1">
        <v>1</v>
      </c>
      <c r="I386" s="1">
        <v>1</v>
      </c>
      <c r="J386" s="26">
        <v>0.36</v>
      </c>
      <c r="K386" s="26">
        <v>0.33329999999999999</v>
      </c>
      <c r="L386" s="27">
        <v>0.4</v>
      </c>
      <c r="M386" s="27">
        <v>0.29849999999999999</v>
      </c>
      <c r="N386" s="28">
        <v>0</v>
      </c>
      <c r="O386" s="1">
        <v>2</v>
      </c>
      <c r="P386" s="30">
        <v>2</v>
      </c>
      <c r="Q386" s="35"/>
      <c r="R386" s="32" t="str">
        <f t="shared" ref="R386:R391" si="24">TEXT(B386,"dd-mmm-yyyy")</f>
        <v>14-Feb-2011</v>
      </c>
      <c r="S386" s="32" t="str">
        <f t="shared" si="21"/>
        <v>14</v>
      </c>
      <c r="T386" s="32" t="str">
        <f t="shared" si="22"/>
        <v>2011</v>
      </c>
      <c r="U386" s="32">
        <f t="shared" si="23"/>
        <v>11</v>
      </c>
    </row>
    <row r="387" spans="1:21" x14ac:dyDescent="0.35">
      <c r="A387" s="1">
        <v>996</v>
      </c>
      <c r="B387" s="25">
        <v>40588</v>
      </c>
      <c r="C387" s="1">
        <v>1</v>
      </c>
      <c r="D387" s="1">
        <v>0</v>
      </c>
      <c r="E387" s="1">
        <v>2</v>
      </c>
      <c r="F387" s="1">
        <v>3</v>
      </c>
      <c r="G387" s="1" t="b">
        <v>0</v>
      </c>
      <c r="H387" s="1">
        <v>1</v>
      </c>
      <c r="I387" s="1">
        <v>1</v>
      </c>
      <c r="J387" s="26">
        <v>0.34</v>
      </c>
      <c r="K387" s="26">
        <v>0.31819999999999998</v>
      </c>
      <c r="L387" s="27">
        <v>0.46</v>
      </c>
      <c r="M387" s="27">
        <v>0.22389999999999999</v>
      </c>
      <c r="N387" s="28">
        <v>1</v>
      </c>
      <c r="O387" s="1">
        <v>1</v>
      </c>
      <c r="P387" s="30">
        <v>2</v>
      </c>
      <c r="Q387" s="35"/>
      <c r="R387" s="32" t="str">
        <f t="shared" si="24"/>
        <v>14-Feb-2011</v>
      </c>
      <c r="S387" s="32" t="str">
        <f t="shared" ref="S387:S391" si="25">LEFT(R387,2)</f>
        <v>14</v>
      </c>
      <c r="T387" s="32" t="str">
        <f t="shared" ref="T387:T391" si="26">RIGHT(R387,4)</f>
        <v>2011</v>
      </c>
      <c r="U387" s="32">
        <f t="shared" ref="U387:U391" si="27">LEN(R387)</f>
        <v>11</v>
      </c>
    </row>
    <row r="388" spans="1:21" x14ac:dyDescent="0.35">
      <c r="A388" s="1">
        <v>997</v>
      </c>
      <c r="B388" s="25">
        <v>40588</v>
      </c>
      <c r="C388" s="1">
        <v>1</v>
      </c>
      <c r="D388" s="1">
        <v>0</v>
      </c>
      <c r="E388" s="1">
        <v>2</v>
      </c>
      <c r="F388" s="1">
        <v>4</v>
      </c>
      <c r="G388" s="1" t="b">
        <v>0</v>
      </c>
      <c r="H388" s="1">
        <v>1</v>
      </c>
      <c r="I388" s="1">
        <v>1</v>
      </c>
      <c r="J388" s="26">
        <v>0.32</v>
      </c>
      <c r="K388" s="26">
        <v>0.30299999999999999</v>
      </c>
      <c r="L388" s="27">
        <v>0.53</v>
      </c>
      <c r="M388" s="27">
        <v>0.28360000000000002</v>
      </c>
      <c r="N388" s="28">
        <v>0</v>
      </c>
      <c r="O388" s="1">
        <v>2</v>
      </c>
      <c r="P388" s="30">
        <v>2</v>
      </c>
      <c r="Q388" s="35"/>
      <c r="R388" s="32" t="str">
        <f t="shared" si="24"/>
        <v>14-Feb-2011</v>
      </c>
      <c r="S388" s="32" t="str">
        <f t="shared" si="25"/>
        <v>14</v>
      </c>
      <c r="T388" s="32" t="str">
        <f t="shared" si="26"/>
        <v>2011</v>
      </c>
      <c r="U388" s="32">
        <f t="shared" si="27"/>
        <v>11</v>
      </c>
    </row>
    <row r="389" spans="1:21" x14ac:dyDescent="0.35">
      <c r="A389" s="1">
        <v>998</v>
      </c>
      <c r="B389" s="25">
        <v>40588</v>
      </c>
      <c r="C389" s="1">
        <v>1</v>
      </c>
      <c r="D389" s="1">
        <v>0</v>
      </c>
      <c r="E389" s="1">
        <v>2</v>
      </c>
      <c r="F389" s="1">
        <v>5</v>
      </c>
      <c r="G389" s="1" t="b">
        <v>0</v>
      </c>
      <c r="H389" s="1">
        <v>1</v>
      </c>
      <c r="I389" s="1">
        <v>1</v>
      </c>
      <c r="J389" s="26">
        <v>0.32</v>
      </c>
      <c r="K389" s="26">
        <v>0.30299999999999999</v>
      </c>
      <c r="L389" s="27">
        <v>0.53</v>
      </c>
      <c r="M389" s="27">
        <v>0.28360000000000002</v>
      </c>
      <c r="N389" s="28">
        <v>0</v>
      </c>
      <c r="O389" s="1">
        <v>3</v>
      </c>
      <c r="P389" s="30">
        <v>3</v>
      </c>
      <c r="Q389" s="35"/>
      <c r="R389" s="32" t="str">
        <f t="shared" si="24"/>
        <v>14-Feb-2011</v>
      </c>
      <c r="S389" s="32" t="str">
        <f t="shared" si="25"/>
        <v>14</v>
      </c>
      <c r="T389" s="32" t="str">
        <f t="shared" si="26"/>
        <v>2011</v>
      </c>
      <c r="U389" s="32">
        <f t="shared" si="27"/>
        <v>11</v>
      </c>
    </row>
    <row r="390" spans="1:21" x14ac:dyDescent="0.35">
      <c r="A390" s="1">
        <v>999</v>
      </c>
      <c r="B390" s="25">
        <v>40588</v>
      </c>
      <c r="C390" s="1">
        <v>1</v>
      </c>
      <c r="D390" s="1">
        <v>0</v>
      </c>
      <c r="E390" s="1">
        <v>2</v>
      </c>
      <c r="F390" s="1">
        <v>6</v>
      </c>
      <c r="G390" s="1" t="b">
        <v>0</v>
      </c>
      <c r="H390" s="1">
        <v>1</v>
      </c>
      <c r="I390" s="1">
        <v>1</v>
      </c>
      <c r="J390" s="26">
        <v>0.34</v>
      </c>
      <c r="K390" s="26">
        <v>0.30299999999999999</v>
      </c>
      <c r="L390" s="27">
        <v>0.46</v>
      </c>
      <c r="M390" s="27">
        <v>0.29849999999999999</v>
      </c>
      <c r="N390" s="28">
        <v>1</v>
      </c>
      <c r="O390" s="1">
        <v>25</v>
      </c>
      <c r="P390" s="30">
        <v>26</v>
      </c>
      <c r="Q390" s="35"/>
      <c r="R390" s="32" t="str">
        <f t="shared" si="24"/>
        <v>14-Feb-2011</v>
      </c>
      <c r="S390" s="32" t="str">
        <f t="shared" si="25"/>
        <v>14</v>
      </c>
      <c r="T390" s="32" t="str">
        <f t="shared" si="26"/>
        <v>2011</v>
      </c>
      <c r="U390" s="32">
        <f t="shared" si="27"/>
        <v>11</v>
      </c>
    </row>
    <row r="391" spans="1:21" x14ac:dyDescent="0.35">
      <c r="A391" s="1">
        <v>1000</v>
      </c>
      <c r="B391" s="25">
        <v>40588</v>
      </c>
      <c r="C391" s="1">
        <v>1</v>
      </c>
      <c r="D391" s="1">
        <v>0</v>
      </c>
      <c r="E391" s="1">
        <v>2</v>
      </c>
      <c r="F391" s="1">
        <v>7</v>
      </c>
      <c r="G391" s="1" t="b">
        <v>0</v>
      </c>
      <c r="H391" s="1">
        <v>1</v>
      </c>
      <c r="I391" s="1">
        <v>1</v>
      </c>
      <c r="J391" s="26">
        <v>0.34</v>
      </c>
      <c r="K391" s="26">
        <v>0.30299999999999999</v>
      </c>
      <c r="L391" s="27">
        <v>0.46</v>
      </c>
      <c r="M391" s="27">
        <v>0.29849999999999999</v>
      </c>
      <c r="N391" s="28">
        <v>2</v>
      </c>
      <c r="O391" s="1">
        <v>96</v>
      </c>
      <c r="P391" s="30">
        <v>98</v>
      </c>
      <c r="Q391" s="35"/>
      <c r="R391" s="32" t="str">
        <f t="shared" si="24"/>
        <v>14-Feb-2011</v>
      </c>
      <c r="S391" s="32" t="str">
        <f t="shared" si="25"/>
        <v>14</v>
      </c>
      <c r="T391" s="32" t="str">
        <f t="shared" si="26"/>
        <v>2011</v>
      </c>
      <c r="U391" s="32">
        <f t="shared" si="27"/>
        <v>11</v>
      </c>
    </row>
  </sheetData>
  <mergeCells count="2">
    <mergeCell ref="W1:X1"/>
    <mergeCell ref="W7:X7"/>
  </mergeCells>
  <conditionalFormatting sqref="P2:Q391">
    <cfRule type="aboveAverage" dxfId="7" priority="4"/>
  </conditionalFormatting>
  <conditionalFormatting sqref="G2:G391">
    <cfRule type="cellIs" dxfId="6" priority="2" operator="equal">
      <formula>TRUE</formula>
    </cfRule>
    <cfRule type="cellIs" dxfId="5" priority="3" operator="equal">
      <formula>TRUE</formula>
    </cfRule>
  </conditionalFormatting>
  <conditionalFormatting sqref="I2:I391">
    <cfRule type="cellIs" dxfId="4" priority="1" operator="greaterThan">
      <formula>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3D2B0-CA71-4FC1-9AA8-685394D26D24}">
  <dimension ref="A1:U611"/>
  <sheetViews>
    <sheetView zoomScale="70" workbookViewId="0">
      <selection activeCell="T22" sqref="T22"/>
    </sheetView>
  </sheetViews>
  <sheetFormatPr defaultRowHeight="14.5" x14ac:dyDescent="0.35"/>
  <cols>
    <col min="1" max="1" width="9" bestFit="1" customWidth="1"/>
    <col min="2" max="2" width="13.54296875" bestFit="1" customWidth="1"/>
    <col min="3" max="3" width="8.90625" bestFit="1" customWidth="1"/>
    <col min="4" max="4" width="6.81640625" bestFit="1" customWidth="1"/>
    <col min="5" max="5" width="8.81640625" bestFit="1" customWidth="1"/>
    <col min="6" max="6" width="8.08984375" bestFit="1" customWidth="1"/>
    <col min="7" max="7" width="9.36328125" bestFit="1" customWidth="1"/>
    <col min="8" max="8" width="10.90625" bestFit="1" customWidth="1"/>
    <col min="9" max="9" width="10.26953125" bestFit="1" customWidth="1"/>
    <col min="10" max="10" width="7.81640625" bestFit="1" customWidth="1"/>
    <col min="11" max="11" width="8.54296875" bestFit="1" customWidth="1"/>
    <col min="12" max="12" width="6.90625" bestFit="1" customWidth="1"/>
    <col min="13" max="13" width="12.1796875" bestFit="1" customWidth="1"/>
    <col min="14" max="14" width="8.26953125" bestFit="1" customWidth="1"/>
    <col min="15" max="15" width="11.54296875" bestFit="1" customWidth="1"/>
    <col min="16" max="16" width="5.7265625" bestFit="1" customWidth="1"/>
    <col min="18" max="18" width="13.08984375" bestFit="1" customWidth="1"/>
    <col min="19" max="19" width="12.26953125" bestFit="1" customWidth="1"/>
    <col min="20" max="20" width="15.6328125" bestFit="1" customWidth="1"/>
    <col min="21" max="21" width="9.7265625" bestFit="1" customWidth="1"/>
    <col min="22" max="22" width="12.26953125" bestFit="1" customWidth="1"/>
    <col min="23" max="23" width="15.6328125" bestFit="1" customWidth="1"/>
    <col min="24" max="24" width="9.7265625" bestFit="1" customWidth="1"/>
    <col min="25" max="25" width="12.26953125" bestFit="1" customWidth="1"/>
    <col min="26" max="26" width="15.6328125" bestFit="1" customWidth="1"/>
    <col min="27" max="27" width="9.7265625" bestFit="1" customWidth="1"/>
    <col min="28" max="28" width="12.26953125" bestFit="1" customWidth="1"/>
    <col min="29" max="29" width="15.6328125" bestFit="1" customWidth="1"/>
    <col min="30" max="30" width="9.7265625" bestFit="1" customWidth="1"/>
    <col min="31" max="31" width="12.26953125" bestFit="1" customWidth="1"/>
    <col min="32" max="32" width="15.6328125" bestFit="1" customWidth="1"/>
    <col min="33" max="33" width="9.7265625" bestFit="1" customWidth="1"/>
    <col min="34" max="34" width="12.26953125" bestFit="1" customWidth="1"/>
    <col min="35" max="35" width="15.6328125" bestFit="1" customWidth="1"/>
    <col min="36" max="36" width="9.7265625" bestFit="1" customWidth="1"/>
    <col min="37" max="37" width="12.26953125" bestFit="1" customWidth="1"/>
    <col min="38" max="38" width="15.6328125" bestFit="1" customWidth="1"/>
    <col min="39" max="39" width="9.7265625" bestFit="1" customWidth="1"/>
    <col min="40" max="40" width="12.26953125" bestFit="1" customWidth="1"/>
    <col min="41" max="41" width="15.6328125" bestFit="1" customWidth="1"/>
    <col min="42" max="42" width="9.7265625" bestFit="1" customWidth="1"/>
    <col min="43" max="43" width="12.26953125" bestFit="1" customWidth="1"/>
    <col min="44" max="44" width="15.6328125" bestFit="1" customWidth="1"/>
    <col min="45" max="45" width="9.7265625" bestFit="1" customWidth="1"/>
    <col min="46" max="46" width="12.26953125" bestFit="1" customWidth="1"/>
    <col min="47" max="47" width="15.6328125" bestFit="1" customWidth="1"/>
    <col min="48" max="48" width="9.7265625" bestFit="1" customWidth="1"/>
    <col min="49" max="49" width="12.26953125" bestFit="1" customWidth="1"/>
    <col min="50" max="50" width="15.6328125" bestFit="1" customWidth="1"/>
    <col min="51" max="51" width="9.7265625" bestFit="1" customWidth="1"/>
    <col min="52" max="52" width="12.26953125" bestFit="1" customWidth="1"/>
    <col min="53" max="53" width="15.6328125" bestFit="1" customWidth="1"/>
    <col min="54" max="54" width="9.7265625" bestFit="1" customWidth="1"/>
    <col min="55" max="55" width="12.26953125" bestFit="1" customWidth="1"/>
    <col min="56" max="56" width="15.6328125" bestFit="1" customWidth="1"/>
    <col min="57" max="57" width="9.7265625" bestFit="1" customWidth="1"/>
    <col min="58" max="58" width="12.26953125" bestFit="1" customWidth="1"/>
    <col min="59" max="59" width="15.6328125" bestFit="1" customWidth="1"/>
    <col min="60" max="60" width="9.7265625" bestFit="1" customWidth="1"/>
    <col min="61" max="61" width="12.26953125" bestFit="1" customWidth="1"/>
    <col min="62" max="62" width="15.6328125" bestFit="1" customWidth="1"/>
    <col min="63" max="63" width="9.7265625" bestFit="1" customWidth="1"/>
    <col min="64" max="64" width="12.26953125" bestFit="1" customWidth="1"/>
    <col min="65" max="65" width="15.6328125" bestFit="1" customWidth="1"/>
    <col min="66" max="66" width="9.7265625" bestFit="1" customWidth="1"/>
    <col min="67" max="67" width="12.26953125" bestFit="1" customWidth="1"/>
    <col min="68" max="68" width="15.6328125" bestFit="1" customWidth="1"/>
    <col min="69" max="69" width="9.7265625" bestFit="1" customWidth="1"/>
    <col min="70" max="70" width="12.26953125" bestFit="1" customWidth="1"/>
    <col min="71" max="71" width="15.6328125" bestFit="1" customWidth="1"/>
    <col min="72" max="72" width="9.7265625" bestFit="1" customWidth="1"/>
    <col min="73" max="73" width="12.26953125" bestFit="1" customWidth="1"/>
    <col min="74" max="74" width="15.6328125" bestFit="1" customWidth="1"/>
    <col min="75" max="75" width="9.7265625" bestFit="1" customWidth="1"/>
    <col min="76" max="76" width="12.26953125" bestFit="1" customWidth="1"/>
    <col min="77" max="77" width="15.6328125" bestFit="1" customWidth="1"/>
    <col min="78" max="78" width="9.7265625" bestFit="1" customWidth="1"/>
    <col min="79" max="79" width="12.26953125" bestFit="1" customWidth="1"/>
    <col min="80" max="80" width="15.6328125" bestFit="1" customWidth="1"/>
    <col min="81" max="81" width="9.7265625" bestFit="1" customWidth="1"/>
    <col min="82" max="82" width="12.26953125" bestFit="1" customWidth="1"/>
    <col min="83" max="83" width="15.6328125" bestFit="1" customWidth="1"/>
    <col min="84" max="84" width="9.7265625" bestFit="1" customWidth="1"/>
    <col min="85" max="85" width="12.26953125" bestFit="1" customWidth="1"/>
    <col min="86" max="86" width="15.6328125" bestFit="1" customWidth="1"/>
    <col min="87" max="87" width="9.7265625" bestFit="1" customWidth="1"/>
    <col min="88" max="88" width="17.1796875" bestFit="1" customWidth="1"/>
    <col min="89" max="89" width="20.453125" bestFit="1" customWidth="1"/>
    <col min="90" max="90" width="14.54296875" bestFit="1" customWidth="1"/>
    <col min="91" max="102" width="9.453125" bestFit="1" customWidth="1"/>
    <col min="103" max="103" width="17.1796875" bestFit="1" customWidth="1"/>
    <col min="104" max="104" width="20.453125" bestFit="1" customWidth="1"/>
    <col min="105" max="105" width="14.54296875" bestFit="1" customWidth="1"/>
    <col min="106" max="106" width="12.26953125" bestFit="1" customWidth="1"/>
    <col min="107" max="107" width="15.6328125" bestFit="1" customWidth="1"/>
    <col min="108" max="108" width="9.7265625" bestFit="1" customWidth="1"/>
    <col min="109" max="109" width="12.26953125" bestFit="1" customWidth="1"/>
    <col min="110" max="110" width="15.6328125" bestFit="1" customWidth="1"/>
    <col min="111" max="111" width="9.7265625" bestFit="1" customWidth="1"/>
    <col min="112" max="112" width="12.26953125" bestFit="1" customWidth="1"/>
    <col min="113" max="113" width="15.6328125" bestFit="1" customWidth="1"/>
    <col min="114" max="114" width="9.7265625" bestFit="1" customWidth="1"/>
    <col min="115" max="115" width="12.26953125" bestFit="1" customWidth="1"/>
    <col min="116" max="116" width="15.6328125" bestFit="1" customWidth="1"/>
    <col min="117" max="117" width="9.7265625" bestFit="1" customWidth="1"/>
    <col min="118" max="118" width="12.26953125" bestFit="1" customWidth="1"/>
    <col min="119" max="119" width="15.6328125" bestFit="1" customWidth="1"/>
    <col min="120" max="120" width="9.7265625" bestFit="1" customWidth="1"/>
    <col min="121" max="121" width="12.26953125" bestFit="1" customWidth="1"/>
    <col min="122" max="122" width="15.6328125" bestFit="1" customWidth="1"/>
    <col min="123" max="123" width="9.7265625" bestFit="1" customWidth="1"/>
    <col min="124" max="124" width="12.26953125" bestFit="1" customWidth="1"/>
    <col min="125" max="125" width="15.6328125" bestFit="1" customWidth="1"/>
    <col min="126" max="126" width="9.7265625" bestFit="1" customWidth="1"/>
    <col min="127" max="127" width="12.26953125" bestFit="1" customWidth="1"/>
    <col min="128" max="128" width="15.6328125" bestFit="1" customWidth="1"/>
    <col min="129" max="129" width="9.7265625" bestFit="1" customWidth="1"/>
    <col min="130" max="130" width="12.26953125" bestFit="1" customWidth="1"/>
    <col min="131" max="131" width="15.6328125" bestFit="1" customWidth="1"/>
    <col min="132" max="132" width="9.7265625" bestFit="1" customWidth="1"/>
    <col min="133" max="133" width="12.26953125" bestFit="1" customWidth="1"/>
    <col min="134" max="134" width="15.6328125" bestFit="1" customWidth="1"/>
    <col min="135" max="135" width="9.7265625" bestFit="1" customWidth="1"/>
    <col min="136" max="136" width="12.26953125" bestFit="1" customWidth="1"/>
    <col min="137" max="137" width="15.6328125" bestFit="1" customWidth="1"/>
    <col min="138" max="138" width="9.7265625" bestFit="1" customWidth="1"/>
    <col min="139" max="139" width="12.26953125" bestFit="1" customWidth="1"/>
    <col min="140" max="140" width="15.6328125" bestFit="1" customWidth="1"/>
    <col min="141" max="141" width="9.7265625" bestFit="1" customWidth="1"/>
    <col min="142" max="142" width="12.26953125" bestFit="1" customWidth="1"/>
    <col min="143" max="143" width="15.6328125" bestFit="1" customWidth="1"/>
    <col min="144" max="144" width="9.7265625" bestFit="1" customWidth="1"/>
    <col min="145" max="145" width="12.26953125" bestFit="1" customWidth="1"/>
    <col min="146" max="146" width="15.6328125" bestFit="1" customWidth="1"/>
    <col min="147" max="147" width="9.7265625" bestFit="1" customWidth="1"/>
    <col min="148" max="148" width="12.26953125" bestFit="1" customWidth="1"/>
    <col min="149" max="149" width="15.6328125" bestFit="1" customWidth="1"/>
    <col min="150" max="150" width="9.7265625" bestFit="1" customWidth="1"/>
    <col min="151" max="151" width="12.26953125" bestFit="1" customWidth="1"/>
    <col min="152" max="152" width="15.6328125" bestFit="1" customWidth="1"/>
    <col min="153" max="153" width="9.7265625" bestFit="1" customWidth="1"/>
    <col min="154" max="154" width="12.26953125" bestFit="1" customWidth="1"/>
    <col min="155" max="155" width="15.6328125" bestFit="1" customWidth="1"/>
    <col min="156" max="156" width="9.7265625" bestFit="1" customWidth="1"/>
    <col min="157" max="157" width="12.26953125" bestFit="1" customWidth="1"/>
    <col min="158" max="158" width="15.6328125" bestFit="1" customWidth="1"/>
    <col min="159" max="159" width="9.7265625" bestFit="1" customWidth="1"/>
    <col min="160" max="160" width="12.26953125" bestFit="1" customWidth="1"/>
    <col min="161" max="161" width="15.6328125" bestFit="1" customWidth="1"/>
    <col min="162" max="162" width="9.7265625" bestFit="1" customWidth="1"/>
    <col min="163" max="163" width="12.26953125" bestFit="1" customWidth="1"/>
    <col min="164" max="164" width="15.6328125" bestFit="1" customWidth="1"/>
    <col min="165" max="165" width="9.7265625" bestFit="1" customWidth="1"/>
    <col min="166" max="166" width="12.26953125" bestFit="1" customWidth="1"/>
    <col min="167" max="167" width="15.6328125" bestFit="1" customWidth="1"/>
    <col min="168" max="168" width="9.7265625" bestFit="1" customWidth="1"/>
    <col min="169" max="169" width="12.26953125" bestFit="1" customWidth="1"/>
    <col min="170" max="170" width="15.6328125" bestFit="1" customWidth="1"/>
    <col min="171" max="171" width="9.7265625" bestFit="1" customWidth="1"/>
    <col min="172" max="172" width="12.26953125" bestFit="1" customWidth="1"/>
    <col min="173" max="173" width="15.6328125" bestFit="1" customWidth="1"/>
    <col min="174" max="174" width="9.7265625" bestFit="1" customWidth="1"/>
    <col min="175" max="175" width="12.26953125" bestFit="1" customWidth="1"/>
    <col min="176" max="176" width="15.6328125" bestFit="1" customWidth="1"/>
    <col min="177" max="177" width="9.7265625" bestFit="1" customWidth="1"/>
    <col min="178" max="178" width="12.26953125" bestFit="1" customWidth="1"/>
    <col min="179" max="179" width="15.6328125" bestFit="1" customWidth="1"/>
    <col min="180" max="180" width="9.7265625" bestFit="1" customWidth="1"/>
    <col min="181" max="181" width="12.26953125" bestFit="1" customWidth="1"/>
    <col min="182" max="182" width="15.6328125" bestFit="1" customWidth="1"/>
    <col min="183" max="183" width="9.7265625" bestFit="1" customWidth="1"/>
    <col min="184" max="184" width="12.26953125" bestFit="1" customWidth="1"/>
    <col min="185" max="185" width="15.6328125" bestFit="1" customWidth="1"/>
    <col min="186" max="186" width="9.7265625" bestFit="1" customWidth="1"/>
    <col min="187" max="187" width="12.26953125" bestFit="1" customWidth="1"/>
    <col min="188" max="188" width="15.6328125" bestFit="1" customWidth="1"/>
    <col min="189" max="189" width="9.7265625" bestFit="1" customWidth="1"/>
    <col min="190" max="190" width="12.26953125" bestFit="1" customWidth="1"/>
    <col min="191" max="191" width="15.6328125" bestFit="1" customWidth="1"/>
    <col min="192" max="192" width="9.7265625" bestFit="1" customWidth="1"/>
    <col min="193" max="193" width="12.26953125" bestFit="1" customWidth="1"/>
    <col min="194" max="194" width="15.6328125" bestFit="1" customWidth="1"/>
    <col min="195" max="195" width="9.7265625" bestFit="1" customWidth="1"/>
    <col min="196" max="196" width="12.26953125" bestFit="1" customWidth="1"/>
    <col min="197" max="197" width="15.6328125" bestFit="1" customWidth="1"/>
    <col min="198" max="198" width="9.7265625" bestFit="1" customWidth="1"/>
    <col min="199" max="199" width="12.26953125" bestFit="1" customWidth="1"/>
    <col min="200" max="200" width="15.6328125" bestFit="1" customWidth="1"/>
    <col min="201" max="201" width="9.7265625" bestFit="1" customWidth="1"/>
    <col min="202" max="202" width="12.26953125" bestFit="1" customWidth="1"/>
    <col min="203" max="203" width="15.6328125" bestFit="1" customWidth="1"/>
    <col min="204" max="204" width="9.7265625" bestFit="1" customWidth="1"/>
    <col min="205" max="205" width="12.26953125" bestFit="1" customWidth="1"/>
    <col min="206" max="206" width="15.6328125" bestFit="1" customWidth="1"/>
    <col min="207" max="207" width="9.7265625" bestFit="1" customWidth="1"/>
    <col min="208" max="208" width="12.26953125" bestFit="1" customWidth="1"/>
    <col min="209" max="209" width="15.6328125" bestFit="1" customWidth="1"/>
    <col min="210" max="210" width="9.7265625" bestFit="1" customWidth="1"/>
    <col min="211" max="211" width="12.26953125" bestFit="1" customWidth="1"/>
    <col min="212" max="212" width="15.6328125" bestFit="1" customWidth="1"/>
    <col min="213" max="213" width="9.7265625" bestFit="1" customWidth="1"/>
    <col min="214" max="214" width="12.26953125" bestFit="1" customWidth="1"/>
    <col min="215" max="215" width="15.6328125" bestFit="1" customWidth="1"/>
    <col min="216" max="216" width="9.7265625" bestFit="1" customWidth="1"/>
    <col min="217" max="217" width="12.26953125" bestFit="1" customWidth="1"/>
    <col min="218" max="218" width="15.6328125" bestFit="1" customWidth="1"/>
    <col min="219" max="219" width="9.7265625" bestFit="1" customWidth="1"/>
    <col min="220" max="220" width="12.26953125" bestFit="1" customWidth="1"/>
    <col min="221" max="221" width="15.6328125" bestFit="1" customWidth="1"/>
    <col min="222" max="222" width="9.7265625" bestFit="1" customWidth="1"/>
    <col min="223" max="223" width="12.26953125" bestFit="1" customWidth="1"/>
    <col min="224" max="224" width="15.6328125" bestFit="1" customWidth="1"/>
    <col min="225" max="225" width="9.7265625" bestFit="1" customWidth="1"/>
    <col min="226" max="226" width="12.26953125" bestFit="1" customWidth="1"/>
    <col min="227" max="227" width="15.6328125" bestFit="1" customWidth="1"/>
    <col min="228" max="228" width="9.7265625" bestFit="1" customWidth="1"/>
    <col min="229" max="229" width="12.26953125" bestFit="1" customWidth="1"/>
    <col min="230" max="230" width="15.6328125" bestFit="1" customWidth="1"/>
    <col min="231" max="231" width="9.7265625" bestFit="1" customWidth="1"/>
    <col min="232" max="232" width="12.26953125" bestFit="1" customWidth="1"/>
    <col min="233" max="233" width="15.6328125" bestFit="1" customWidth="1"/>
    <col min="234" max="234" width="9.7265625" bestFit="1" customWidth="1"/>
    <col min="235" max="235" width="12.26953125" bestFit="1" customWidth="1"/>
    <col min="236" max="236" width="15.6328125" bestFit="1" customWidth="1"/>
    <col min="237" max="237" width="9.7265625" bestFit="1" customWidth="1"/>
    <col min="238" max="238" width="12.26953125" bestFit="1" customWidth="1"/>
    <col min="239" max="239" width="15.6328125" bestFit="1" customWidth="1"/>
    <col min="240" max="240" width="9.7265625" bestFit="1" customWidth="1"/>
    <col min="241" max="241" width="12.26953125" bestFit="1" customWidth="1"/>
    <col min="242" max="242" width="15.6328125" bestFit="1" customWidth="1"/>
    <col min="243" max="243" width="9.7265625" bestFit="1" customWidth="1"/>
    <col min="244" max="244" width="12.26953125" bestFit="1" customWidth="1"/>
    <col min="245" max="245" width="15.6328125" bestFit="1" customWidth="1"/>
    <col min="246" max="246" width="9.7265625" bestFit="1" customWidth="1"/>
    <col min="247" max="247" width="12.26953125" bestFit="1" customWidth="1"/>
    <col min="248" max="248" width="15.6328125" bestFit="1" customWidth="1"/>
    <col min="249" max="249" width="9.7265625" bestFit="1" customWidth="1"/>
    <col min="250" max="250" width="12.26953125" bestFit="1" customWidth="1"/>
    <col min="251" max="251" width="15.6328125" bestFit="1" customWidth="1"/>
    <col min="252" max="252" width="9.7265625" bestFit="1" customWidth="1"/>
    <col min="253" max="253" width="12.26953125" bestFit="1" customWidth="1"/>
    <col min="254" max="254" width="15.6328125" bestFit="1" customWidth="1"/>
    <col min="255" max="255" width="9.7265625" bestFit="1" customWidth="1"/>
    <col min="256" max="256" width="12.26953125" bestFit="1" customWidth="1"/>
    <col min="257" max="257" width="15.6328125" bestFit="1" customWidth="1"/>
    <col min="258" max="258" width="9.7265625" bestFit="1" customWidth="1"/>
    <col min="259" max="259" width="12.26953125" bestFit="1" customWidth="1"/>
    <col min="260" max="260" width="15.6328125" bestFit="1" customWidth="1"/>
    <col min="261" max="261" width="9.7265625" bestFit="1" customWidth="1"/>
    <col min="262" max="262" width="12.26953125" bestFit="1" customWidth="1"/>
    <col min="263" max="263" width="15.6328125" bestFit="1" customWidth="1"/>
    <col min="264" max="264" width="9.7265625" bestFit="1" customWidth="1"/>
    <col min="265" max="265" width="12.26953125" bestFit="1" customWidth="1"/>
    <col min="266" max="266" width="15.6328125" bestFit="1" customWidth="1"/>
    <col min="267" max="267" width="9.7265625" bestFit="1" customWidth="1"/>
    <col min="268" max="268" width="12.26953125" bestFit="1" customWidth="1"/>
    <col min="269" max="269" width="15.6328125" bestFit="1" customWidth="1"/>
    <col min="270" max="270" width="9.7265625" bestFit="1" customWidth="1"/>
    <col min="271" max="271" width="12.26953125" bestFit="1" customWidth="1"/>
    <col min="272" max="272" width="15.6328125" bestFit="1" customWidth="1"/>
    <col min="273" max="273" width="9.7265625" bestFit="1" customWidth="1"/>
    <col min="274" max="274" width="12.26953125" bestFit="1" customWidth="1"/>
    <col min="275" max="275" width="15.6328125" bestFit="1" customWidth="1"/>
    <col min="276" max="276" width="9.7265625" bestFit="1" customWidth="1"/>
    <col min="277" max="277" width="12.26953125" bestFit="1" customWidth="1"/>
    <col min="278" max="278" width="15.6328125" bestFit="1" customWidth="1"/>
    <col min="279" max="279" width="9.7265625" bestFit="1" customWidth="1"/>
    <col min="280" max="280" width="12.26953125" bestFit="1" customWidth="1"/>
    <col min="281" max="281" width="15.6328125" bestFit="1" customWidth="1"/>
    <col min="282" max="282" width="9.7265625" bestFit="1" customWidth="1"/>
    <col min="283" max="283" width="12.26953125" bestFit="1" customWidth="1"/>
    <col min="284" max="284" width="15.6328125" bestFit="1" customWidth="1"/>
    <col min="285" max="285" width="9.7265625" bestFit="1" customWidth="1"/>
    <col min="286" max="286" width="12.26953125" bestFit="1" customWidth="1"/>
    <col min="287" max="287" width="15.6328125" bestFit="1" customWidth="1"/>
    <col min="288" max="288" width="9.7265625" bestFit="1" customWidth="1"/>
    <col min="289" max="289" width="12.26953125" bestFit="1" customWidth="1"/>
    <col min="290" max="290" width="15.6328125" bestFit="1" customWidth="1"/>
    <col min="291" max="291" width="9.7265625" bestFit="1" customWidth="1"/>
    <col min="292" max="292" width="12.26953125" bestFit="1" customWidth="1"/>
    <col min="293" max="293" width="15.6328125" bestFit="1" customWidth="1"/>
    <col min="294" max="294" width="9.7265625" bestFit="1" customWidth="1"/>
    <col min="295" max="295" width="12.26953125" bestFit="1" customWidth="1"/>
    <col min="296" max="296" width="15.6328125" bestFit="1" customWidth="1"/>
    <col min="297" max="297" width="9.7265625" bestFit="1" customWidth="1"/>
    <col min="298" max="298" width="12.26953125" bestFit="1" customWidth="1"/>
    <col min="299" max="299" width="15.6328125" bestFit="1" customWidth="1"/>
    <col min="300" max="300" width="9.7265625" bestFit="1" customWidth="1"/>
    <col min="301" max="301" width="12.26953125" bestFit="1" customWidth="1"/>
    <col min="302" max="302" width="15.6328125" bestFit="1" customWidth="1"/>
    <col min="303" max="303" width="9.7265625" bestFit="1" customWidth="1"/>
    <col min="304" max="304" width="12.26953125" bestFit="1" customWidth="1"/>
    <col min="305" max="305" width="15.6328125" bestFit="1" customWidth="1"/>
    <col min="306" max="306" width="9.7265625" bestFit="1" customWidth="1"/>
    <col min="307" max="307" width="12.26953125" bestFit="1" customWidth="1"/>
    <col min="308" max="308" width="15.6328125" bestFit="1" customWidth="1"/>
    <col min="309" max="309" width="9.7265625" bestFit="1" customWidth="1"/>
    <col min="310" max="310" width="12.26953125" bestFit="1" customWidth="1"/>
    <col min="311" max="311" width="15.6328125" bestFit="1" customWidth="1"/>
    <col min="312" max="312" width="9.7265625" bestFit="1" customWidth="1"/>
    <col min="313" max="313" width="12.26953125" bestFit="1" customWidth="1"/>
    <col min="314" max="314" width="15.6328125" bestFit="1" customWidth="1"/>
    <col min="315" max="315" width="9.7265625" bestFit="1" customWidth="1"/>
    <col min="316" max="316" width="12.26953125" bestFit="1" customWidth="1"/>
    <col min="317" max="317" width="15.6328125" bestFit="1" customWidth="1"/>
    <col min="318" max="318" width="9.7265625" bestFit="1" customWidth="1"/>
    <col min="319" max="319" width="12.26953125" bestFit="1" customWidth="1"/>
    <col min="320" max="320" width="15.6328125" bestFit="1" customWidth="1"/>
    <col min="321" max="321" width="9.7265625" bestFit="1" customWidth="1"/>
    <col min="322" max="322" width="12.26953125" bestFit="1" customWidth="1"/>
    <col min="323" max="323" width="15.6328125" bestFit="1" customWidth="1"/>
    <col min="324" max="324" width="9.7265625" bestFit="1" customWidth="1"/>
    <col min="325" max="325" width="12.26953125" bestFit="1" customWidth="1"/>
    <col min="326" max="326" width="15.6328125" bestFit="1" customWidth="1"/>
    <col min="327" max="327" width="9.7265625" bestFit="1" customWidth="1"/>
    <col min="328" max="328" width="12.26953125" bestFit="1" customWidth="1"/>
    <col min="329" max="329" width="15.6328125" bestFit="1" customWidth="1"/>
    <col min="330" max="330" width="9.7265625" bestFit="1" customWidth="1"/>
    <col min="331" max="331" width="12.26953125" bestFit="1" customWidth="1"/>
    <col min="332" max="332" width="15.6328125" bestFit="1" customWidth="1"/>
    <col min="333" max="333" width="9.7265625" bestFit="1" customWidth="1"/>
    <col min="334" max="334" width="12.26953125" bestFit="1" customWidth="1"/>
    <col min="335" max="335" width="15.6328125" bestFit="1" customWidth="1"/>
    <col min="336" max="336" width="9.7265625" bestFit="1" customWidth="1"/>
    <col min="337" max="337" width="12.26953125" bestFit="1" customWidth="1"/>
    <col min="338" max="338" width="15.6328125" bestFit="1" customWidth="1"/>
    <col min="339" max="339" width="9.7265625" bestFit="1" customWidth="1"/>
    <col min="340" max="340" width="12.26953125" bestFit="1" customWidth="1"/>
    <col min="341" max="341" width="15.6328125" bestFit="1" customWidth="1"/>
    <col min="342" max="342" width="9.7265625" bestFit="1" customWidth="1"/>
    <col min="343" max="343" width="12.26953125" bestFit="1" customWidth="1"/>
    <col min="344" max="344" width="15.6328125" bestFit="1" customWidth="1"/>
    <col min="345" max="345" width="9.7265625" bestFit="1" customWidth="1"/>
    <col min="346" max="346" width="12.26953125" bestFit="1" customWidth="1"/>
    <col min="347" max="347" width="15.6328125" bestFit="1" customWidth="1"/>
    <col min="348" max="348" width="9.7265625" bestFit="1" customWidth="1"/>
    <col min="349" max="349" width="12.26953125" bestFit="1" customWidth="1"/>
    <col min="350" max="350" width="15.6328125" bestFit="1" customWidth="1"/>
    <col min="351" max="351" width="9.7265625" bestFit="1" customWidth="1"/>
    <col min="352" max="352" width="12.26953125" bestFit="1" customWidth="1"/>
    <col min="353" max="353" width="15.6328125" bestFit="1" customWidth="1"/>
    <col min="354" max="354" width="9.7265625" bestFit="1" customWidth="1"/>
    <col min="355" max="355" width="12.26953125" bestFit="1" customWidth="1"/>
    <col min="356" max="356" width="15.6328125" bestFit="1" customWidth="1"/>
    <col min="357" max="357" width="9.7265625" bestFit="1" customWidth="1"/>
    <col min="358" max="358" width="12.26953125" bestFit="1" customWidth="1"/>
    <col min="359" max="359" width="15.6328125" bestFit="1" customWidth="1"/>
    <col min="360" max="360" width="9.7265625" bestFit="1" customWidth="1"/>
    <col min="361" max="361" width="12.26953125" bestFit="1" customWidth="1"/>
    <col min="362" max="362" width="15.6328125" bestFit="1" customWidth="1"/>
    <col min="363" max="363" width="9.7265625" bestFit="1" customWidth="1"/>
    <col min="364" max="364" width="12.26953125" bestFit="1" customWidth="1"/>
    <col min="365" max="365" width="15.6328125" bestFit="1" customWidth="1"/>
    <col min="366" max="366" width="9.7265625" bestFit="1" customWidth="1"/>
    <col min="367" max="367" width="12.26953125" bestFit="1" customWidth="1"/>
    <col min="368" max="368" width="15.6328125" bestFit="1" customWidth="1"/>
    <col min="369" max="369" width="9.7265625" bestFit="1" customWidth="1"/>
    <col min="370" max="370" width="12.26953125" bestFit="1" customWidth="1"/>
    <col min="371" max="371" width="15.6328125" bestFit="1" customWidth="1"/>
    <col min="372" max="372" width="9.7265625" bestFit="1" customWidth="1"/>
    <col min="373" max="373" width="12.26953125" bestFit="1" customWidth="1"/>
    <col min="374" max="374" width="15.6328125" bestFit="1" customWidth="1"/>
    <col min="375" max="375" width="9.7265625" bestFit="1" customWidth="1"/>
    <col min="376" max="376" width="12.26953125" bestFit="1" customWidth="1"/>
    <col min="377" max="377" width="15.6328125" bestFit="1" customWidth="1"/>
    <col min="378" max="378" width="9.7265625" bestFit="1" customWidth="1"/>
    <col min="379" max="379" width="12.26953125" bestFit="1" customWidth="1"/>
    <col min="380" max="380" width="15.6328125" bestFit="1" customWidth="1"/>
    <col min="381" max="381" width="9.7265625" bestFit="1" customWidth="1"/>
    <col min="382" max="382" width="12.26953125" bestFit="1" customWidth="1"/>
    <col min="383" max="383" width="15.6328125" bestFit="1" customWidth="1"/>
    <col min="384" max="384" width="9.7265625" bestFit="1" customWidth="1"/>
    <col min="385" max="385" width="12.26953125" bestFit="1" customWidth="1"/>
    <col min="386" max="386" width="15.6328125" bestFit="1" customWidth="1"/>
    <col min="387" max="387" width="9.7265625" bestFit="1" customWidth="1"/>
    <col min="388" max="388" width="12.26953125" bestFit="1" customWidth="1"/>
    <col min="389" max="389" width="15.6328125" bestFit="1" customWidth="1"/>
    <col min="390" max="390" width="9.7265625" bestFit="1" customWidth="1"/>
    <col min="391" max="391" width="12.26953125" bestFit="1" customWidth="1"/>
    <col min="392" max="392" width="15.6328125" bestFit="1" customWidth="1"/>
    <col min="393" max="393" width="9.7265625" bestFit="1" customWidth="1"/>
    <col min="394" max="394" width="12.26953125" bestFit="1" customWidth="1"/>
    <col min="395" max="395" width="15.6328125" bestFit="1" customWidth="1"/>
    <col min="396" max="396" width="9.7265625" bestFit="1" customWidth="1"/>
    <col min="397" max="397" width="12.26953125" bestFit="1" customWidth="1"/>
    <col min="398" max="398" width="15.6328125" bestFit="1" customWidth="1"/>
    <col min="399" max="399" width="9.7265625" bestFit="1" customWidth="1"/>
    <col min="400" max="400" width="12.26953125" bestFit="1" customWidth="1"/>
    <col min="401" max="401" width="15.6328125" bestFit="1" customWidth="1"/>
    <col min="402" max="402" width="9.7265625" bestFit="1" customWidth="1"/>
    <col min="403" max="403" width="12.26953125" bestFit="1" customWidth="1"/>
    <col min="404" max="404" width="15.6328125" bestFit="1" customWidth="1"/>
    <col min="405" max="405" width="9.7265625" bestFit="1" customWidth="1"/>
    <col min="406" max="406" width="12.26953125" bestFit="1" customWidth="1"/>
    <col min="407" max="407" width="15.6328125" bestFit="1" customWidth="1"/>
    <col min="408" max="408" width="9.7265625" bestFit="1" customWidth="1"/>
    <col min="409" max="409" width="12.26953125" bestFit="1" customWidth="1"/>
    <col min="410" max="410" width="15.6328125" bestFit="1" customWidth="1"/>
    <col min="411" max="411" width="9.7265625" bestFit="1" customWidth="1"/>
    <col min="412" max="412" width="12.26953125" bestFit="1" customWidth="1"/>
    <col min="413" max="413" width="15.6328125" bestFit="1" customWidth="1"/>
    <col min="414" max="414" width="9.7265625" bestFit="1" customWidth="1"/>
    <col min="415" max="415" width="12.26953125" bestFit="1" customWidth="1"/>
    <col min="416" max="416" width="15.6328125" bestFit="1" customWidth="1"/>
    <col min="417" max="417" width="9.7265625" bestFit="1" customWidth="1"/>
    <col min="418" max="418" width="12.26953125" bestFit="1" customWidth="1"/>
    <col min="419" max="419" width="15.6328125" bestFit="1" customWidth="1"/>
    <col min="420" max="420" width="9.7265625" bestFit="1" customWidth="1"/>
    <col min="421" max="421" width="12.26953125" bestFit="1" customWidth="1"/>
    <col min="422" max="422" width="15.6328125" bestFit="1" customWidth="1"/>
    <col min="423" max="423" width="9.7265625" bestFit="1" customWidth="1"/>
    <col min="424" max="424" width="12.26953125" bestFit="1" customWidth="1"/>
    <col min="425" max="425" width="15.6328125" bestFit="1" customWidth="1"/>
    <col min="426" max="426" width="9.7265625" bestFit="1" customWidth="1"/>
    <col min="427" max="427" width="12.26953125" bestFit="1" customWidth="1"/>
    <col min="428" max="428" width="15.6328125" bestFit="1" customWidth="1"/>
    <col min="429" max="429" width="9.7265625" bestFit="1" customWidth="1"/>
    <col min="430" max="430" width="12.26953125" bestFit="1" customWidth="1"/>
    <col min="431" max="431" width="15.6328125" bestFit="1" customWidth="1"/>
    <col min="432" max="432" width="9.7265625" bestFit="1" customWidth="1"/>
    <col min="433" max="433" width="12.26953125" bestFit="1" customWidth="1"/>
    <col min="434" max="434" width="15.6328125" bestFit="1" customWidth="1"/>
    <col min="435" max="435" width="9.7265625" bestFit="1" customWidth="1"/>
    <col min="436" max="436" width="12.26953125" bestFit="1" customWidth="1"/>
    <col min="437" max="437" width="15.6328125" bestFit="1" customWidth="1"/>
    <col min="438" max="438" width="9.7265625" bestFit="1" customWidth="1"/>
    <col min="439" max="439" width="12.26953125" bestFit="1" customWidth="1"/>
    <col min="440" max="440" width="15.6328125" bestFit="1" customWidth="1"/>
    <col min="441" max="441" width="9.7265625" bestFit="1" customWidth="1"/>
    <col min="442" max="442" width="12.26953125" bestFit="1" customWidth="1"/>
    <col min="443" max="443" width="15.6328125" bestFit="1" customWidth="1"/>
    <col min="444" max="444" width="9.7265625" bestFit="1" customWidth="1"/>
    <col min="445" max="445" width="12.26953125" bestFit="1" customWidth="1"/>
    <col min="446" max="446" width="15.6328125" bestFit="1" customWidth="1"/>
    <col min="447" max="447" width="9.7265625" bestFit="1" customWidth="1"/>
    <col min="448" max="448" width="12.26953125" bestFit="1" customWidth="1"/>
    <col min="449" max="449" width="15.6328125" bestFit="1" customWidth="1"/>
    <col min="450" max="450" width="9.7265625" bestFit="1" customWidth="1"/>
    <col min="451" max="451" width="12.26953125" bestFit="1" customWidth="1"/>
    <col min="452" max="452" width="15.6328125" bestFit="1" customWidth="1"/>
    <col min="453" max="453" width="9.7265625" bestFit="1" customWidth="1"/>
    <col min="454" max="454" width="12.26953125" bestFit="1" customWidth="1"/>
    <col min="455" max="455" width="15.6328125" bestFit="1" customWidth="1"/>
    <col min="456" max="456" width="9.7265625" bestFit="1" customWidth="1"/>
    <col min="457" max="457" width="12.26953125" bestFit="1" customWidth="1"/>
    <col min="458" max="458" width="15.6328125" bestFit="1" customWidth="1"/>
    <col min="459" max="459" width="9.7265625" bestFit="1" customWidth="1"/>
    <col min="460" max="460" width="12.26953125" bestFit="1" customWidth="1"/>
    <col min="461" max="461" width="15.6328125" bestFit="1" customWidth="1"/>
    <col min="462" max="462" width="9.7265625" bestFit="1" customWidth="1"/>
    <col min="463" max="463" width="12.26953125" bestFit="1" customWidth="1"/>
    <col min="464" max="464" width="15.6328125" bestFit="1" customWidth="1"/>
    <col min="465" max="465" width="9.7265625" bestFit="1" customWidth="1"/>
    <col min="466" max="466" width="12.26953125" bestFit="1" customWidth="1"/>
    <col min="467" max="467" width="15.6328125" bestFit="1" customWidth="1"/>
    <col min="468" max="468" width="9.7265625" bestFit="1" customWidth="1"/>
    <col min="469" max="469" width="12.26953125" bestFit="1" customWidth="1"/>
    <col min="470" max="470" width="15.6328125" bestFit="1" customWidth="1"/>
    <col min="471" max="471" width="9.7265625" bestFit="1" customWidth="1"/>
    <col min="472" max="472" width="12.26953125" bestFit="1" customWidth="1"/>
    <col min="473" max="473" width="15.6328125" bestFit="1" customWidth="1"/>
    <col min="474" max="474" width="9.7265625" bestFit="1" customWidth="1"/>
    <col min="475" max="475" width="12.26953125" bestFit="1" customWidth="1"/>
    <col min="476" max="476" width="15.6328125" bestFit="1" customWidth="1"/>
    <col min="477" max="477" width="9.7265625" bestFit="1" customWidth="1"/>
    <col min="478" max="478" width="12.26953125" bestFit="1" customWidth="1"/>
    <col min="479" max="479" width="15.6328125" bestFit="1" customWidth="1"/>
    <col min="480" max="480" width="9.7265625" bestFit="1" customWidth="1"/>
    <col min="481" max="481" width="12.26953125" bestFit="1" customWidth="1"/>
    <col min="482" max="482" width="15.6328125" bestFit="1" customWidth="1"/>
    <col min="483" max="483" width="9.7265625" bestFit="1" customWidth="1"/>
    <col min="484" max="484" width="12.26953125" bestFit="1" customWidth="1"/>
    <col min="485" max="485" width="15.6328125" bestFit="1" customWidth="1"/>
    <col min="486" max="486" width="9.7265625" bestFit="1" customWidth="1"/>
    <col min="487" max="487" width="12.26953125" bestFit="1" customWidth="1"/>
    <col min="488" max="488" width="15.6328125" bestFit="1" customWidth="1"/>
    <col min="489" max="489" width="9.7265625" bestFit="1" customWidth="1"/>
    <col min="490" max="490" width="12.26953125" bestFit="1" customWidth="1"/>
    <col min="491" max="491" width="15.6328125" bestFit="1" customWidth="1"/>
    <col min="492" max="492" width="9.7265625" bestFit="1" customWidth="1"/>
    <col min="493" max="493" width="12.26953125" bestFit="1" customWidth="1"/>
    <col min="494" max="494" width="15.6328125" bestFit="1" customWidth="1"/>
    <col min="495" max="495" width="9.7265625" bestFit="1" customWidth="1"/>
    <col min="496" max="496" width="12.26953125" bestFit="1" customWidth="1"/>
    <col min="497" max="497" width="15.6328125" bestFit="1" customWidth="1"/>
    <col min="498" max="498" width="9.7265625" bestFit="1" customWidth="1"/>
    <col min="499" max="499" width="12.26953125" bestFit="1" customWidth="1"/>
    <col min="500" max="500" width="15.6328125" bestFit="1" customWidth="1"/>
    <col min="501" max="501" width="9.7265625" bestFit="1" customWidth="1"/>
    <col min="502" max="502" width="12.26953125" bestFit="1" customWidth="1"/>
    <col min="503" max="503" width="15.6328125" bestFit="1" customWidth="1"/>
    <col min="504" max="504" width="9.7265625" bestFit="1" customWidth="1"/>
    <col min="505" max="505" width="12.26953125" bestFit="1" customWidth="1"/>
    <col min="506" max="506" width="15.6328125" bestFit="1" customWidth="1"/>
    <col min="507" max="507" width="9.7265625" bestFit="1" customWidth="1"/>
    <col min="508" max="508" width="12.26953125" bestFit="1" customWidth="1"/>
    <col min="509" max="509" width="15.6328125" bestFit="1" customWidth="1"/>
    <col min="510" max="510" width="9.7265625" bestFit="1" customWidth="1"/>
    <col min="511" max="511" width="12.26953125" bestFit="1" customWidth="1"/>
    <col min="512" max="512" width="15.6328125" bestFit="1" customWidth="1"/>
    <col min="513" max="513" width="9.7265625" bestFit="1" customWidth="1"/>
    <col min="514" max="514" width="12.26953125" bestFit="1" customWidth="1"/>
    <col min="515" max="515" width="15.6328125" bestFit="1" customWidth="1"/>
    <col min="516" max="516" width="9.7265625" bestFit="1" customWidth="1"/>
    <col min="517" max="517" width="12.26953125" bestFit="1" customWidth="1"/>
    <col min="518" max="518" width="15.6328125" bestFit="1" customWidth="1"/>
    <col min="519" max="519" width="9.7265625" bestFit="1" customWidth="1"/>
    <col min="520" max="520" width="12.26953125" bestFit="1" customWidth="1"/>
    <col min="521" max="521" width="15.6328125" bestFit="1" customWidth="1"/>
    <col min="522" max="522" width="9.7265625" bestFit="1" customWidth="1"/>
    <col min="523" max="523" width="12.26953125" bestFit="1" customWidth="1"/>
    <col min="524" max="524" width="15.6328125" bestFit="1" customWidth="1"/>
    <col min="525" max="525" width="9.7265625" bestFit="1" customWidth="1"/>
    <col min="526" max="526" width="12.26953125" bestFit="1" customWidth="1"/>
    <col min="527" max="527" width="15.6328125" bestFit="1" customWidth="1"/>
    <col min="528" max="528" width="9.7265625" bestFit="1" customWidth="1"/>
    <col min="529" max="529" width="12.26953125" bestFit="1" customWidth="1"/>
    <col min="530" max="530" width="15.6328125" bestFit="1" customWidth="1"/>
    <col min="531" max="531" width="9.7265625" bestFit="1" customWidth="1"/>
    <col min="532" max="532" width="12.26953125" bestFit="1" customWidth="1"/>
    <col min="533" max="533" width="15.6328125" bestFit="1" customWidth="1"/>
    <col min="534" max="534" width="9.7265625" bestFit="1" customWidth="1"/>
    <col min="535" max="535" width="12.26953125" bestFit="1" customWidth="1"/>
    <col min="536" max="536" width="15.6328125" bestFit="1" customWidth="1"/>
    <col min="537" max="537" width="9.7265625" bestFit="1" customWidth="1"/>
    <col min="538" max="538" width="12.26953125" bestFit="1" customWidth="1"/>
    <col min="539" max="539" width="15.6328125" bestFit="1" customWidth="1"/>
    <col min="540" max="540" width="9.7265625" bestFit="1" customWidth="1"/>
    <col min="541" max="541" width="12.26953125" bestFit="1" customWidth="1"/>
    <col min="542" max="542" width="15.6328125" bestFit="1" customWidth="1"/>
    <col min="543" max="543" width="9.7265625" bestFit="1" customWidth="1"/>
    <col min="544" max="544" width="12.26953125" bestFit="1" customWidth="1"/>
    <col min="545" max="545" width="15.6328125" bestFit="1" customWidth="1"/>
    <col min="546" max="546" width="9.7265625" bestFit="1" customWidth="1"/>
    <col min="547" max="547" width="12.26953125" bestFit="1" customWidth="1"/>
    <col min="548" max="548" width="15.6328125" bestFit="1" customWidth="1"/>
    <col min="549" max="549" width="9.7265625" bestFit="1" customWidth="1"/>
    <col min="550" max="550" width="12.26953125" bestFit="1" customWidth="1"/>
    <col min="551" max="551" width="15.6328125" bestFit="1" customWidth="1"/>
    <col min="552" max="552" width="9.7265625" bestFit="1" customWidth="1"/>
    <col min="553" max="553" width="12.26953125" bestFit="1" customWidth="1"/>
    <col min="554" max="554" width="15.6328125" bestFit="1" customWidth="1"/>
    <col min="555" max="555" width="9.7265625" bestFit="1" customWidth="1"/>
    <col min="556" max="556" width="12.26953125" bestFit="1" customWidth="1"/>
    <col min="557" max="557" width="15.6328125" bestFit="1" customWidth="1"/>
    <col min="558" max="558" width="9.7265625" bestFit="1" customWidth="1"/>
    <col min="559" max="559" width="12.26953125" bestFit="1" customWidth="1"/>
    <col min="560" max="560" width="15.6328125" bestFit="1" customWidth="1"/>
    <col min="561" max="561" width="9.7265625" bestFit="1" customWidth="1"/>
    <col min="562" max="562" width="12.26953125" bestFit="1" customWidth="1"/>
    <col min="563" max="563" width="15.6328125" bestFit="1" customWidth="1"/>
    <col min="564" max="564" width="9.7265625" bestFit="1" customWidth="1"/>
    <col min="565" max="565" width="12.26953125" bestFit="1" customWidth="1"/>
    <col min="566" max="566" width="15.6328125" bestFit="1" customWidth="1"/>
    <col min="567" max="567" width="9.7265625" bestFit="1" customWidth="1"/>
    <col min="568" max="568" width="12.26953125" bestFit="1" customWidth="1"/>
    <col min="569" max="569" width="15.6328125" bestFit="1" customWidth="1"/>
    <col min="570" max="570" width="9.7265625" bestFit="1" customWidth="1"/>
    <col min="571" max="571" width="12.26953125" bestFit="1" customWidth="1"/>
    <col min="572" max="572" width="15.6328125" bestFit="1" customWidth="1"/>
    <col min="573" max="573" width="9.7265625" bestFit="1" customWidth="1"/>
    <col min="574" max="574" width="12.26953125" bestFit="1" customWidth="1"/>
    <col min="575" max="575" width="15.6328125" bestFit="1" customWidth="1"/>
    <col min="576" max="576" width="9.7265625" bestFit="1" customWidth="1"/>
    <col min="577" max="577" width="12.26953125" bestFit="1" customWidth="1"/>
    <col min="578" max="578" width="15.6328125" bestFit="1" customWidth="1"/>
    <col min="579" max="579" width="9.7265625" bestFit="1" customWidth="1"/>
    <col min="580" max="580" width="12.26953125" bestFit="1" customWidth="1"/>
    <col min="581" max="581" width="15.6328125" bestFit="1" customWidth="1"/>
    <col min="582" max="582" width="9.7265625" bestFit="1" customWidth="1"/>
    <col min="583" max="583" width="12.26953125" bestFit="1" customWidth="1"/>
    <col min="584" max="584" width="15.6328125" bestFit="1" customWidth="1"/>
    <col min="585" max="585" width="9.7265625" bestFit="1" customWidth="1"/>
    <col min="586" max="586" width="12.26953125" bestFit="1" customWidth="1"/>
    <col min="587" max="587" width="15.6328125" bestFit="1" customWidth="1"/>
    <col min="588" max="588" width="9.7265625" bestFit="1" customWidth="1"/>
    <col min="589" max="589" width="12.26953125" bestFit="1" customWidth="1"/>
    <col min="590" max="590" width="15.6328125" bestFit="1" customWidth="1"/>
    <col min="591" max="591" width="9.7265625" bestFit="1" customWidth="1"/>
    <col min="592" max="592" width="12.26953125" bestFit="1" customWidth="1"/>
    <col min="593" max="593" width="15.6328125" bestFit="1" customWidth="1"/>
    <col min="594" max="594" width="9.7265625" bestFit="1" customWidth="1"/>
    <col min="595" max="595" width="12.26953125" bestFit="1" customWidth="1"/>
    <col min="596" max="596" width="15.6328125" bestFit="1" customWidth="1"/>
    <col min="597" max="597" width="9.7265625" bestFit="1" customWidth="1"/>
    <col min="598" max="598" width="12.26953125" bestFit="1" customWidth="1"/>
    <col min="599" max="599" width="15.6328125" bestFit="1" customWidth="1"/>
    <col min="600" max="600" width="9.7265625" bestFit="1" customWidth="1"/>
    <col min="601" max="601" width="12.26953125" bestFit="1" customWidth="1"/>
    <col min="602" max="602" width="15.6328125" bestFit="1" customWidth="1"/>
    <col min="603" max="603" width="9.7265625" bestFit="1" customWidth="1"/>
    <col min="604" max="604" width="12.26953125" bestFit="1" customWidth="1"/>
    <col min="605" max="605" width="15.6328125" bestFit="1" customWidth="1"/>
    <col min="606" max="606" width="9.7265625" bestFit="1" customWidth="1"/>
    <col min="607" max="607" width="12.26953125" bestFit="1" customWidth="1"/>
    <col min="608" max="608" width="15.6328125" bestFit="1" customWidth="1"/>
    <col min="609" max="609" width="9.7265625" bestFit="1" customWidth="1"/>
    <col min="610" max="610" width="12.26953125" bestFit="1" customWidth="1"/>
    <col min="611" max="611" width="15.6328125" bestFit="1" customWidth="1"/>
    <col min="612" max="612" width="9.7265625" bestFit="1" customWidth="1"/>
    <col min="613" max="613" width="12.26953125" bestFit="1" customWidth="1"/>
    <col min="614" max="614" width="15.6328125" bestFit="1" customWidth="1"/>
    <col min="615" max="615" width="9.7265625" bestFit="1" customWidth="1"/>
    <col min="616" max="616" width="12.26953125" bestFit="1" customWidth="1"/>
    <col min="617" max="617" width="15.6328125" bestFit="1" customWidth="1"/>
    <col min="618" max="618" width="9.7265625" bestFit="1" customWidth="1"/>
    <col min="619" max="619" width="12.26953125" bestFit="1" customWidth="1"/>
    <col min="620" max="620" width="15.6328125" bestFit="1" customWidth="1"/>
    <col min="621" max="621" width="9.7265625" bestFit="1" customWidth="1"/>
    <col min="622" max="622" width="12.26953125" bestFit="1" customWidth="1"/>
    <col min="623" max="623" width="15.6328125" bestFit="1" customWidth="1"/>
    <col min="624" max="624" width="9.7265625" bestFit="1" customWidth="1"/>
    <col min="625" max="625" width="12.26953125" bestFit="1" customWidth="1"/>
    <col min="626" max="626" width="15.6328125" bestFit="1" customWidth="1"/>
    <col min="627" max="627" width="9.7265625" bestFit="1" customWidth="1"/>
    <col min="628" max="628" width="12.26953125" bestFit="1" customWidth="1"/>
    <col min="629" max="629" width="15.6328125" bestFit="1" customWidth="1"/>
    <col min="630" max="630" width="9.7265625" bestFit="1" customWidth="1"/>
    <col min="631" max="631" width="12.26953125" bestFit="1" customWidth="1"/>
    <col min="632" max="632" width="15.6328125" bestFit="1" customWidth="1"/>
    <col min="633" max="633" width="9.7265625" bestFit="1" customWidth="1"/>
    <col min="634" max="634" width="12.26953125" bestFit="1" customWidth="1"/>
    <col min="635" max="635" width="15.6328125" bestFit="1" customWidth="1"/>
    <col min="636" max="636" width="9.7265625" bestFit="1" customWidth="1"/>
    <col min="637" max="637" width="12.26953125" bestFit="1" customWidth="1"/>
    <col min="638" max="638" width="15.6328125" bestFit="1" customWidth="1"/>
    <col min="639" max="639" width="9.7265625" bestFit="1" customWidth="1"/>
    <col min="640" max="640" width="12.26953125" bestFit="1" customWidth="1"/>
    <col min="641" max="641" width="15.6328125" bestFit="1" customWidth="1"/>
    <col min="642" max="642" width="9.7265625" bestFit="1" customWidth="1"/>
    <col min="643" max="643" width="12.26953125" bestFit="1" customWidth="1"/>
    <col min="644" max="644" width="15.6328125" bestFit="1" customWidth="1"/>
    <col min="645" max="645" width="9.7265625" bestFit="1" customWidth="1"/>
    <col min="646" max="646" width="12.26953125" bestFit="1" customWidth="1"/>
    <col min="647" max="647" width="15.6328125" bestFit="1" customWidth="1"/>
    <col min="648" max="648" width="9.7265625" bestFit="1" customWidth="1"/>
    <col min="649" max="649" width="12.26953125" bestFit="1" customWidth="1"/>
    <col min="650" max="650" width="15.6328125" bestFit="1" customWidth="1"/>
    <col min="651" max="651" width="9.7265625" bestFit="1" customWidth="1"/>
    <col min="652" max="652" width="12.26953125" bestFit="1" customWidth="1"/>
    <col min="653" max="653" width="15.6328125" bestFit="1" customWidth="1"/>
    <col min="654" max="654" width="9.7265625" bestFit="1" customWidth="1"/>
    <col min="655" max="655" width="12.26953125" bestFit="1" customWidth="1"/>
    <col min="656" max="656" width="15.6328125" bestFit="1" customWidth="1"/>
    <col min="657" max="657" width="9.7265625" bestFit="1" customWidth="1"/>
    <col min="658" max="658" width="12.26953125" bestFit="1" customWidth="1"/>
    <col min="659" max="659" width="15.6328125" bestFit="1" customWidth="1"/>
    <col min="660" max="660" width="9.7265625" bestFit="1" customWidth="1"/>
    <col min="661" max="661" width="12.26953125" bestFit="1" customWidth="1"/>
    <col min="662" max="662" width="15.6328125" bestFit="1" customWidth="1"/>
    <col min="663" max="663" width="9.7265625" bestFit="1" customWidth="1"/>
    <col min="664" max="664" width="12.26953125" bestFit="1" customWidth="1"/>
    <col min="665" max="665" width="15.6328125" bestFit="1" customWidth="1"/>
    <col min="666" max="666" width="9.7265625" bestFit="1" customWidth="1"/>
    <col min="667" max="667" width="12.26953125" bestFit="1" customWidth="1"/>
    <col min="668" max="668" width="15.6328125" bestFit="1" customWidth="1"/>
    <col min="669" max="669" width="9.7265625" bestFit="1" customWidth="1"/>
    <col min="670" max="670" width="12.26953125" bestFit="1" customWidth="1"/>
    <col min="671" max="671" width="15.6328125" bestFit="1" customWidth="1"/>
    <col min="672" max="672" width="9.7265625" bestFit="1" customWidth="1"/>
    <col min="673" max="673" width="12.26953125" bestFit="1" customWidth="1"/>
    <col min="674" max="674" width="15.6328125" bestFit="1" customWidth="1"/>
    <col min="675" max="675" width="9.7265625" bestFit="1" customWidth="1"/>
    <col min="676" max="676" width="12.26953125" bestFit="1" customWidth="1"/>
    <col min="677" max="677" width="15.6328125" bestFit="1" customWidth="1"/>
    <col min="678" max="678" width="9.7265625" bestFit="1" customWidth="1"/>
    <col min="679" max="679" width="12.26953125" bestFit="1" customWidth="1"/>
    <col min="680" max="680" width="15.6328125" bestFit="1" customWidth="1"/>
    <col min="681" max="681" width="9.7265625" bestFit="1" customWidth="1"/>
    <col min="682" max="682" width="12.26953125" bestFit="1" customWidth="1"/>
    <col min="683" max="683" width="15.6328125" bestFit="1" customWidth="1"/>
    <col min="684" max="684" width="9.7265625" bestFit="1" customWidth="1"/>
    <col min="685" max="685" width="12.26953125" bestFit="1" customWidth="1"/>
    <col min="686" max="686" width="15.6328125" bestFit="1" customWidth="1"/>
    <col min="687" max="687" width="9.7265625" bestFit="1" customWidth="1"/>
    <col min="688" max="688" width="12.26953125" bestFit="1" customWidth="1"/>
    <col min="689" max="689" width="15.6328125" bestFit="1" customWidth="1"/>
    <col min="690" max="690" width="9.7265625" bestFit="1" customWidth="1"/>
    <col min="691" max="691" width="12.26953125" bestFit="1" customWidth="1"/>
    <col min="692" max="692" width="15.6328125" bestFit="1" customWidth="1"/>
    <col min="693" max="693" width="9.7265625" bestFit="1" customWidth="1"/>
    <col min="694" max="694" width="12.26953125" bestFit="1" customWidth="1"/>
    <col min="695" max="695" width="15.6328125" bestFit="1" customWidth="1"/>
    <col min="696" max="696" width="9.7265625" bestFit="1" customWidth="1"/>
    <col min="697" max="697" width="12.26953125" bestFit="1" customWidth="1"/>
    <col min="698" max="698" width="15.6328125" bestFit="1" customWidth="1"/>
    <col min="699" max="699" width="9.7265625" bestFit="1" customWidth="1"/>
    <col min="700" max="700" width="12.26953125" bestFit="1" customWidth="1"/>
    <col min="701" max="701" width="15.6328125" bestFit="1" customWidth="1"/>
    <col min="702" max="702" width="9.7265625" bestFit="1" customWidth="1"/>
    <col min="703" max="703" width="12.26953125" bestFit="1" customWidth="1"/>
    <col min="704" max="704" width="15.6328125" bestFit="1" customWidth="1"/>
    <col min="705" max="705" width="9.7265625" bestFit="1" customWidth="1"/>
    <col min="706" max="706" width="12.26953125" bestFit="1" customWidth="1"/>
    <col min="707" max="707" width="15.6328125" bestFit="1" customWidth="1"/>
    <col min="708" max="708" width="9.7265625" bestFit="1" customWidth="1"/>
    <col min="709" max="709" width="12.26953125" bestFit="1" customWidth="1"/>
    <col min="710" max="710" width="15.6328125" bestFit="1" customWidth="1"/>
    <col min="711" max="711" width="9.7265625" bestFit="1" customWidth="1"/>
    <col min="712" max="712" width="12.26953125" bestFit="1" customWidth="1"/>
    <col min="713" max="713" width="15.6328125" bestFit="1" customWidth="1"/>
    <col min="714" max="714" width="9.7265625" bestFit="1" customWidth="1"/>
    <col min="715" max="715" width="12.26953125" bestFit="1" customWidth="1"/>
    <col min="716" max="716" width="15.6328125" bestFit="1" customWidth="1"/>
    <col min="717" max="717" width="9.7265625" bestFit="1" customWidth="1"/>
    <col min="718" max="718" width="12.26953125" bestFit="1" customWidth="1"/>
    <col min="719" max="719" width="15.6328125" bestFit="1" customWidth="1"/>
    <col min="720" max="720" width="9.7265625" bestFit="1" customWidth="1"/>
    <col min="721" max="721" width="12.26953125" bestFit="1" customWidth="1"/>
    <col min="722" max="722" width="15.6328125" bestFit="1" customWidth="1"/>
    <col min="723" max="723" width="9.7265625" bestFit="1" customWidth="1"/>
    <col min="724" max="724" width="12.26953125" bestFit="1" customWidth="1"/>
    <col min="725" max="725" width="15.6328125" bestFit="1" customWidth="1"/>
    <col min="726" max="726" width="9.7265625" bestFit="1" customWidth="1"/>
    <col min="727" max="727" width="12.26953125" bestFit="1" customWidth="1"/>
    <col min="728" max="728" width="15.6328125" bestFit="1" customWidth="1"/>
    <col min="729" max="729" width="9.7265625" bestFit="1" customWidth="1"/>
    <col min="730" max="730" width="12.26953125" bestFit="1" customWidth="1"/>
    <col min="731" max="731" width="15.6328125" bestFit="1" customWidth="1"/>
    <col min="732" max="732" width="9.7265625" bestFit="1" customWidth="1"/>
    <col min="733" max="733" width="12.26953125" bestFit="1" customWidth="1"/>
    <col min="734" max="734" width="15.6328125" bestFit="1" customWidth="1"/>
    <col min="735" max="735" width="9.7265625" bestFit="1" customWidth="1"/>
    <col min="736" max="736" width="12.26953125" bestFit="1" customWidth="1"/>
    <col min="737" max="737" width="15.6328125" bestFit="1" customWidth="1"/>
    <col min="738" max="738" width="9.7265625" bestFit="1" customWidth="1"/>
    <col min="739" max="739" width="12.26953125" bestFit="1" customWidth="1"/>
    <col min="740" max="740" width="15.6328125" bestFit="1" customWidth="1"/>
    <col min="741" max="741" width="9.7265625" bestFit="1" customWidth="1"/>
    <col min="742" max="742" width="12.26953125" bestFit="1" customWidth="1"/>
    <col min="743" max="743" width="15.6328125" bestFit="1" customWidth="1"/>
    <col min="744" max="744" width="9.7265625" bestFit="1" customWidth="1"/>
    <col min="745" max="745" width="12.26953125" bestFit="1" customWidth="1"/>
    <col min="746" max="746" width="15.6328125" bestFit="1" customWidth="1"/>
    <col min="747" max="747" width="9.7265625" bestFit="1" customWidth="1"/>
    <col min="748" max="748" width="12.26953125" bestFit="1" customWidth="1"/>
    <col min="749" max="749" width="15.6328125" bestFit="1" customWidth="1"/>
    <col min="750" max="750" width="9.7265625" bestFit="1" customWidth="1"/>
    <col min="751" max="751" width="12.26953125" bestFit="1" customWidth="1"/>
    <col min="752" max="752" width="15.6328125" bestFit="1" customWidth="1"/>
    <col min="753" max="753" width="9.7265625" bestFit="1" customWidth="1"/>
    <col min="754" max="754" width="12.26953125" bestFit="1" customWidth="1"/>
    <col min="755" max="755" width="15.6328125" bestFit="1" customWidth="1"/>
    <col min="756" max="756" width="9.7265625" bestFit="1" customWidth="1"/>
    <col min="757" max="757" width="12.26953125" bestFit="1" customWidth="1"/>
    <col min="758" max="758" width="15.6328125" bestFit="1" customWidth="1"/>
    <col min="759" max="759" width="9.7265625" bestFit="1" customWidth="1"/>
    <col min="760" max="760" width="12.26953125" bestFit="1" customWidth="1"/>
    <col min="761" max="761" width="15.6328125" bestFit="1" customWidth="1"/>
    <col min="762" max="762" width="9.7265625" bestFit="1" customWidth="1"/>
    <col min="763" max="763" width="12.26953125" bestFit="1" customWidth="1"/>
    <col min="764" max="764" width="15.6328125" bestFit="1" customWidth="1"/>
    <col min="765" max="765" width="9.7265625" bestFit="1" customWidth="1"/>
    <col min="766" max="766" width="12.26953125" bestFit="1" customWidth="1"/>
    <col min="767" max="767" width="15.6328125" bestFit="1" customWidth="1"/>
    <col min="768" max="768" width="9.7265625" bestFit="1" customWidth="1"/>
    <col min="769" max="769" width="12.26953125" bestFit="1" customWidth="1"/>
    <col min="770" max="770" width="15.6328125" bestFit="1" customWidth="1"/>
    <col min="771" max="771" width="9.7265625" bestFit="1" customWidth="1"/>
    <col min="772" max="772" width="12.26953125" bestFit="1" customWidth="1"/>
    <col min="773" max="773" width="15.6328125" bestFit="1" customWidth="1"/>
    <col min="774" max="774" width="9.7265625" bestFit="1" customWidth="1"/>
    <col min="775" max="775" width="12.26953125" bestFit="1" customWidth="1"/>
    <col min="776" max="776" width="15.6328125" bestFit="1" customWidth="1"/>
    <col min="777" max="777" width="9.7265625" bestFit="1" customWidth="1"/>
    <col min="778" max="778" width="12.26953125" bestFit="1" customWidth="1"/>
    <col min="779" max="779" width="15.6328125" bestFit="1" customWidth="1"/>
    <col min="780" max="780" width="9.7265625" bestFit="1" customWidth="1"/>
    <col min="781" max="781" width="12.26953125" bestFit="1" customWidth="1"/>
    <col min="782" max="782" width="15.6328125" bestFit="1" customWidth="1"/>
    <col min="783" max="783" width="9.7265625" bestFit="1" customWidth="1"/>
    <col min="784" max="784" width="12.26953125" bestFit="1" customWidth="1"/>
    <col min="785" max="785" width="15.6328125" bestFit="1" customWidth="1"/>
    <col min="786" max="786" width="9.7265625" bestFit="1" customWidth="1"/>
    <col min="787" max="787" width="12.26953125" bestFit="1" customWidth="1"/>
    <col min="788" max="788" width="15.6328125" bestFit="1" customWidth="1"/>
    <col min="789" max="789" width="9.7265625" bestFit="1" customWidth="1"/>
    <col min="790" max="790" width="12.26953125" bestFit="1" customWidth="1"/>
    <col min="791" max="791" width="15.6328125" bestFit="1" customWidth="1"/>
    <col min="792" max="792" width="9.7265625" bestFit="1" customWidth="1"/>
    <col min="793" max="793" width="12.26953125" bestFit="1" customWidth="1"/>
    <col min="794" max="794" width="15.6328125" bestFit="1" customWidth="1"/>
    <col min="795" max="795" width="9.7265625" bestFit="1" customWidth="1"/>
    <col min="796" max="796" width="12.26953125" bestFit="1" customWidth="1"/>
    <col min="797" max="797" width="15.6328125" bestFit="1" customWidth="1"/>
    <col min="798" max="798" width="9.7265625" bestFit="1" customWidth="1"/>
    <col min="799" max="799" width="12.26953125" bestFit="1" customWidth="1"/>
    <col min="800" max="800" width="15.6328125" bestFit="1" customWidth="1"/>
    <col min="801" max="801" width="9.7265625" bestFit="1" customWidth="1"/>
    <col min="802" max="802" width="12.26953125" bestFit="1" customWidth="1"/>
    <col min="803" max="803" width="15.6328125" bestFit="1" customWidth="1"/>
    <col min="804" max="804" width="9.7265625" bestFit="1" customWidth="1"/>
    <col min="805" max="805" width="12.26953125" bestFit="1" customWidth="1"/>
    <col min="806" max="806" width="15.6328125" bestFit="1" customWidth="1"/>
    <col min="807" max="807" width="9.7265625" bestFit="1" customWidth="1"/>
    <col min="808" max="808" width="12.26953125" bestFit="1" customWidth="1"/>
    <col min="809" max="809" width="15.6328125" bestFit="1" customWidth="1"/>
    <col min="810" max="810" width="9.7265625" bestFit="1" customWidth="1"/>
    <col min="811" max="811" width="12.26953125" bestFit="1" customWidth="1"/>
    <col min="812" max="812" width="15.6328125" bestFit="1" customWidth="1"/>
    <col min="813" max="813" width="9.7265625" bestFit="1" customWidth="1"/>
    <col min="814" max="814" width="12.26953125" bestFit="1" customWidth="1"/>
    <col min="815" max="815" width="15.6328125" bestFit="1" customWidth="1"/>
    <col min="816" max="816" width="9.7265625" bestFit="1" customWidth="1"/>
    <col min="817" max="817" width="12.26953125" bestFit="1" customWidth="1"/>
    <col min="818" max="818" width="15.6328125" bestFit="1" customWidth="1"/>
    <col min="819" max="819" width="9.7265625" bestFit="1" customWidth="1"/>
    <col min="820" max="820" width="12.26953125" bestFit="1" customWidth="1"/>
    <col min="821" max="821" width="15.6328125" bestFit="1" customWidth="1"/>
    <col min="822" max="822" width="9.7265625" bestFit="1" customWidth="1"/>
    <col min="823" max="823" width="12.26953125" bestFit="1" customWidth="1"/>
    <col min="824" max="824" width="15.6328125" bestFit="1" customWidth="1"/>
    <col min="825" max="825" width="9.7265625" bestFit="1" customWidth="1"/>
    <col min="826" max="826" width="12.26953125" bestFit="1" customWidth="1"/>
    <col min="827" max="827" width="15.6328125" bestFit="1" customWidth="1"/>
    <col min="828" max="828" width="9.7265625" bestFit="1" customWidth="1"/>
    <col min="829" max="829" width="12.26953125" bestFit="1" customWidth="1"/>
    <col min="830" max="830" width="15.6328125" bestFit="1" customWidth="1"/>
    <col min="831" max="831" width="9.7265625" bestFit="1" customWidth="1"/>
    <col min="832" max="832" width="12.26953125" bestFit="1" customWidth="1"/>
    <col min="833" max="833" width="15.6328125" bestFit="1" customWidth="1"/>
    <col min="834" max="834" width="9.7265625" bestFit="1" customWidth="1"/>
    <col min="835" max="835" width="12.26953125" bestFit="1" customWidth="1"/>
    <col min="836" max="836" width="15.6328125" bestFit="1" customWidth="1"/>
    <col min="837" max="837" width="9.7265625" bestFit="1" customWidth="1"/>
    <col min="838" max="838" width="12.26953125" bestFit="1" customWidth="1"/>
    <col min="839" max="839" width="15.6328125" bestFit="1" customWidth="1"/>
    <col min="840" max="840" width="9.7265625" bestFit="1" customWidth="1"/>
    <col min="841" max="841" width="12.26953125" bestFit="1" customWidth="1"/>
    <col min="842" max="842" width="15.6328125" bestFit="1" customWidth="1"/>
    <col min="843" max="843" width="9.7265625" bestFit="1" customWidth="1"/>
    <col min="844" max="844" width="12.26953125" bestFit="1" customWidth="1"/>
    <col min="845" max="845" width="15.6328125" bestFit="1" customWidth="1"/>
    <col min="846" max="846" width="9.7265625" bestFit="1" customWidth="1"/>
    <col min="847" max="847" width="12.26953125" bestFit="1" customWidth="1"/>
    <col min="848" max="848" width="15.6328125" bestFit="1" customWidth="1"/>
    <col min="849" max="849" width="9.7265625" bestFit="1" customWidth="1"/>
    <col min="850" max="850" width="12.26953125" bestFit="1" customWidth="1"/>
    <col min="851" max="851" width="15.6328125" bestFit="1" customWidth="1"/>
    <col min="852" max="852" width="9.7265625" bestFit="1" customWidth="1"/>
    <col min="853" max="853" width="12.26953125" bestFit="1" customWidth="1"/>
    <col min="854" max="854" width="15.6328125" bestFit="1" customWidth="1"/>
    <col min="855" max="855" width="9.7265625" bestFit="1" customWidth="1"/>
    <col min="856" max="856" width="12.26953125" bestFit="1" customWidth="1"/>
    <col min="857" max="857" width="15.6328125" bestFit="1" customWidth="1"/>
    <col min="858" max="858" width="9.7265625" bestFit="1" customWidth="1"/>
    <col min="859" max="859" width="12.26953125" bestFit="1" customWidth="1"/>
    <col min="860" max="860" width="15.6328125" bestFit="1" customWidth="1"/>
    <col min="861" max="861" width="9.7265625" bestFit="1" customWidth="1"/>
    <col min="862" max="862" width="12.26953125" bestFit="1" customWidth="1"/>
    <col min="863" max="863" width="15.6328125" bestFit="1" customWidth="1"/>
    <col min="864" max="864" width="9.7265625" bestFit="1" customWidth="1"/>
    <col min="865" max="865" width="12.26953125" bestFit="1" customWidth="1"/>
    <col min="866" max="866" width="15.6328125" bestFit="1" customWidth="1"/>
    <col min="867" max="867" width="9.7265625" bestFit="1" customWidth="1"/>
    <col min="868" max="868" width="12.26953125" bestFit="1" customWidth="1"/>
    <col min="869" max="869" width="15.6328125" bestFit="1" customWidth="1"/>
    <col min="870" max="870" width="9.7265625" bestFit="1" customWidth="1"/>
    <col min="871" max="871" width="12.26953125" bestFit="1" customWidth="1"/>
    <col min="872" max="872" width="15.6328125" bestFit="1" customWidth="1"/>
    <col min="873" max="873" width="9.7265625" bestFit="1" customWidth="1"/>
    <col min="874" max="874" width="12.26953125" bestFit="1" customWidth="1"/>
    <col min="875" max="875" width="15.6328125" bestFit="1" customWidth="1"/>
    <col min="876" max="876" width="9.7265625" bestFit="1" customWidth="1"/>
    <col min="877" max="877" width="12.26953125" bestFit="1" customWidth="1"/>
    <col min="878" max="878" width="15.6328125" bestFit="1" customWidth="1"/>
    <col min="879" max="879" width="9.7265625" bestFit="1" customWidth="1"/>
    <col min="880" max="880" width="12.26953125" bestFit="1" customWidth="1"/>
    <col min="881" max="881" width="15.6328125" bestFit="1" customWidth="1"/>
    <col min="882" max="882" width="9.7265625" bestFit="1" customWidth="1"/>
    <col min="883" max="883" width="12.26953125" bestFit="1" customWidth="1"/>
    <col min="884" max="884" width="15.6328125" bestFit="1" customWidth="1"/>
    <col min="885" max="885" width="9.7265625" bestFit="1" customWidth="1"/>
    <col min="886" max="886" width="12.26953125" bestFit="1" customWidth="1"/>
    <col min="887" max="887" width="15.6328125" bestFit="1" customWidth="1"/>
    <col min="888" max="888" width="9.7265625" bestFit="1" customWidth="1"/>
    <col min="889" max="889" width="12.26953125" bestFit="1" customWidth="1"/>
    <col min="890" max="890" width="15.6328125" bestFit="1" customWidth="1"/>
    <col min="891" max="891" width="9.7265625" bestFit="1" customWidth="1"/>
    <col min="892" max="892" width="12.26953125" bestFit="1" customWidth="1"/>
    <col min="893" max="893" width="15.6328125" bestFit="1" customWidth="1"/>
    <col min="894" max="894" width="9.7265625" bestFit="1" customWidth="1"/>
    <col min="895" max="895" width="12.26953125" bestFit="1" customWidth="1"/>
    <col min="896" max="896" width="15.6328125" bestFit="1" customWidth="1"/>
    <col min="897" max="897" width="9.7265625" bestFit="1" customWidth="1"/>
    <col min="898" max="898" width="12.26953125" bestFit="1" customWidth="1"/>
    <col min="899" max="899" width="15.6328125" bestFit="1" customWidth="1"/>
    <col min="900" max="900" width="9.7265625" bestFit="1" customWidth="1"/>
    <col min="901" max="901" width="12.26953125" bestFit="1" customWidth="1"/>
    <col min="902" max="902" width="15.6328125" bestFit="1" customWidth="1"/>
    <col min="903" max="903" width="9.7265625" bestFit="1" customWidth="1"/>
    <col min="904" max="904" width="12.26953125" bestFit="1" customWidth="1"/>
    <col min="905" max="905" width="15.6328125" bestFit="1" customWidth="1"/>
    <col min="906" max="906" width="9.7265625" bestFit="1" customWidth="1"/>
    <col min="907" max="907" width="12.26953125" bestFit="1" customWidth="1"/>
    <col min="908" max="908" width="15.6328125" bestFit="1" customWidth="1"/>
    <col min="909" max="909" width="9.7265625" bestFit="1" customWidth="1"/>
    <col min="910" max="910" width="12.26953125" bestFit="1" customWidth="1"/>
    <col min="911" max="911" width="15.6328125" bestFit="1" customWidth="1"/>
    <col min="912" max="912" width="9.7265625" bestFit="1" customWidth="1"/>
    <col min="913" max="913" width="12.26953125" bestFit="1" customWidth="1"/>
    <col min="914" max="914" width="15.6328125" bestFit="1" customWidth="1"/>
    <col min="915" max="915" width="9.7265625" bestFit="1" customWidth="1"/>
    <col min="916" max="916" width="12.26953125" bestFit="1" customWidth="1"/>
    <col min="917" max="917" width="15.6328125" bestFit="1" customWidth="1"/>
    <col min="918" max="918" width="9.7265625" bestFit="1" customWidth="1"/>
    <col min="919" max="919" width="12.26953125" bestFit="1" customWidth="1"/>
    <col min="920" max="920" width="15.6328125" bestFit="1" customWidth="1"/>
    <col min="921" max="921" width="9.7265625" bestFit="1" customWidth="1"/>
    <col min="922" max="922" width="12.26953125" bestFit="1" customWidth="1"/>
    <col min="923" max="923" width="15.6328125" bestFit="1" customWidth="1"/>
    <col min="924" max="924" width="9.7265625" bestFit="1" customWidth="1"/>
    <col min="925" max="925" width="12.26953125" bestFit="1" customWidth="1"/>
    <col min="926" max="926" width="15.6328125" bestFit="1" customWidth="1"/>
    <col min="927" max="927" width="9.7265625" bestFit="1" customWidth="1"/>
    <col min="928" max="928" width="12.26953125" bestFit="1" customWidth="1"/>
    <col min="929" max="929" width="15.6328125" bestFit="1" customWidth="1"/>
    <col min="930" max="930" width="9.7265625" bestFit="1" customWidth="1"/>
    <col min="931" max="931" width="12.26953125" bestFit="1" customWidth="1"/>
    <col min="932" max="932" width="15.6328125" bestFit="1" customWidth="1"/>
    <col min="933" max="933" width="9.7265625" bestFit="1" customWidth="1"/>
    <col min="934" max="934" width="12.26953125" bestFit="1" customWidth="1"/>
    <col min="935" max="935" width="15.6328125" bestFit="1" customWidth="1"/>
    <col min="936" max="936" width="9.7265625" bestFit="1" customWidth="1"/>
    <col min="937" max="937" width="12.26953125" bestFit="1" customWidth="1"/>
    <col min="938" max="938" width="15.6328125" bestFit="1" customWidth="1"/>
    <col min="939" max="939" width="9.7265625" bestFit="1" customWidth="1"/>
    <col min="940" max="940" width="12.26953125" bestFit="1" customWidth="1"/>
    <col min="941" max="941" width="15.6328125" bestFit="1" customWidth="1"/>
    <col min="942" max="942" width="9.7265625" bestFit="1" customWidth="1"/>
    <col min="943" max="943" width="12.26953125" bestFit="1" customWidth="1"/>
    <col min="944" max="944" width="15.6328125" bestFit="1" customWidth="1"/>
    <col min="945" max="945" width="9.7265625" bestFit="1" customWidth="1"/>
    <col min="946" max="946" width="12.26953125" bestFit="1" customWidth="1"/>
    <col min="947" max="947" width="15.6328125" bestFit="1" customWidth="1"/>
    <col min="948" max="948" width="9.7265625" bestFit="1" customWidth="1"/>
    <col min="949" max="949" width="12.26953125" bestFit="1" customWidth="1"/>
    <col min="950" max="950" width="15.6328125" bestFit="1" customWidth="1"/>
    <col min="951" max="951" width="9.7265625" bestFit="1" customWidth="1"/>
    <col min="952" max="952" width="12.26953125" bestFit="1" customWidth="1"/>
    <col min="953" max="953" width="15.6328125" bestFit="1" customWidth="1"/>
    <col min="954" max="954" width="9.7265625" bestFit="1" customWidth="1"/>
    <col min="955" max="955" width="12.26953125" bestFit="1" customWidth="1"/>
    <col min="956" max="956" width="15.6328125" bestFit="1" customWidth="1"/>
    <col min="957" max="957" width="9.7265625" bestFit="1" customWidth="1"/>
    <col min="958" max="958" width="12.26953125" bestFit="1" customWidth="1"/>
    <col min="959" max="959" width="15.6328125" bestFit="1" customWidth="1"/>
    <col min="960" max="960" width="9.7265625" bestFit="1" customWidth="1"/>
    <col min="961" max="961" width="12.26953125" bestFit="1" customWidth="1"/>
    <col min="962" max="962" width="15.6328125" bestFit="1" customWidth="1"/>
    <col min="963" max="963" width="9.7265625" bestFit="1" customWidth="1"/>
    <col min="964" max="964" width="12.26953125" bestFit="1" customWidth="1"/>
    <col min="965" max="965" width="15.6328125" bestFit="1" customWidth="1"/>
    <col min="966" max="966" width="9.7265625" bestFit="1" customWidth="1"/>
    <col min="967" max="967" width="12.26953125" bestFit="1" customWidth="1"/>
    <col min="968" max="968" width="15.6328125" bestFit="1" customWidth="1"/>
    <col min="969" max="969" width="9.7265625" bestFit="1" customWidth="1"/>
    <col min="970" max="970" width="12.26953125" bestFit="1" customWidth="1"/>
    <col min="971" max="971" width="15.6328125" bestFit="1" customWidth="1"/>
    <col min="972" max="972" width="9.7265625" bestFit="1" customWidth="1"/>
    <col min="973" max="973" width="12.26953125" bestFit="1" customWidth="1"/>
    <col min="974" max="974" width="15.6328125" bestFit="1" customWidth="1"/>
    <col min="975" max="975" width="9.7265625" bestFit="1" customWidth="1"/>
    <col min="976" max="976" width="12.26953125" bestFit="1" customWidth="1"/>
    <col min="977" max="977" width="15.6328125" bestFit="1" customWidth="1"/>
    <col min="978" max="978" width="9.7265625" bestFit="1" customWidth="1"/>
    <col min="979" max="979" width="12.26953125" bestFit="1" customWidth="1"/>
    <col min="980" max="980" width="15.6328125" bestFit="1" customWidth="1"/>
    <col min="981" max="981" width="9.7265625" bestFit="1" customWidth="1"/>
    <col min="982" max="982" width="12.26953125" bestFit="1" customWidth="1"/>
    <col min="983" max="983" width="15.6328125" bestFit="1" customWidth="1"/>
    <col min="984" max="984" width="9.7265625" bestFit="1" customWidth="1"/>
    <col min="985" max="985" width="12.26953125" bestFit="1" customWidth="1"/>
    <col min="986" max="986" width="15.6328125" bestFit="1" customWidth="1"/>
    <col min="987" max="987" width="9.7265625" bestFit="1" customWidth="1"/>
    <col min="988" max="988" width="12.26953125" bestFit="1" customWidth="1"/>
    <col min="989" max="989" width="15.6328125" bestFit="1" customWidth="1"/>
    <col min="990" max="990" width="9.7265625" bestFit="1" customWidth="1"/>
    <col min="991" max="991" width="12.26953125" bestFit="1" customWidth="1"/>
    <col min="992" max="992" width="15.6328125" bestFit="1" customWidth="1"/>
    <col min="993" max="993" width="9.7265625" bestFit="1" customWidth="1"/>
    <col min="994" max="994" width="12.26953125" bestFit="1" customWidth="1"/>
    <col min="995" max="995" width="15.6328125" bestFit="1" customWidth="1"/>
    <col min="996" max="996" width="9.7265625" bestFit="1" customWidth="1"/>
    <col min="997" max="997" width="12.26953125" bestFit="1" customWidth="1"/>
    <col min="998" max="998" width="15.6328125" bestFit="1" customWidth="1"/>
    <col min="999" max="999" width="9.7265625" bestFit="1" customWidth="1"/>
    <col min="1000" max="1000" width="12.26953125" bestFit="1" customWidth="1"/>
    <col min="1001" max="1001" width="15.6328125" bestFit="1" customWidth="1"/>
    <col min="1002" max="1002" width="9.7265625" bestFit="1" customWidth="1"/>
    <col min="1003" max="1003" width="12.26953125" bestFit="1" customWidth="1"/>
    <col min="1004" max="1004" width="15.6328125" bestFit="1" customWidth="1"/>
    <col min="1005" max="1005" width="9.7265625" bestFit="1" customWidth="1"/>
    <col min="1006" max="1006" width="12.26953125" bestFit="1" customWidth="1"/>
    <col min="1007" max="1007" width="15.6328125" bestFit="1" customWidth="1"/>
    <col min="1008" max="1008" width="9.7265625" bestFit="1" customWidth="1"/>
    <col min="1009" max="1009" width="12.26953125" bestFit="1" customWidth="1"/>
    <col min="1010" max="1010" width="15.6328125" bestFit="1" customWidth="1"/>
    <col min="1011" max="1011" width="9.7265625" bestFit="1" customWidth="1"/>
    <col min="1012" max="1012" width="12.26953125" bestFit="1" customWidth="1"/>
    <col min="1013" max="1013" width="15.6328125" bestFit="1" customWidth="1"/>
    <col min="1014" max="1014" width="9.7265625" bestFit="1" customWidth="1"/>
    <col min="1015" max="1015" width="12.26953125" bestFit="1" customWidth="1"/>
    <col min="1016" max="1016" width="15.6328125" bestFit="1" customWidth="1"/>
    <col min="1017" max="1017" width="9.7265625" bestFit="1" customWidth="1"/>
    <col min="1018" max="1018" width="12.26953125" bestFit="1" customWidth="1"/>
    <col min="1019" max="1019" width="15.6328125" bestFit="1" customWidth="1"/>
    <col min="1020" max="1020" width="9.7265625" bestFit="1" customWidth="1"/>
    <col min="1021" max="1021" width="12.26953125" bestFit="1" customWidth="1"/>
    <col min="1022" max="1022" width="15.6328125" bestFit="1" customWidth="1"/>
    <col min="1023" max="1023" width="9.7265625" bestFit="1" customWidth="1"/>
    <col min="1024" max="1024" width="12.26953125" bestFit="1" customWidth="1"/>
    <col min="1025" max="1025" width="15.6328125" bestFit="1" customWidth="1"/>
    <col min="1026" max="1026" width="9.7265625" bestFit="1" customWidth="1"/>
    <col min="1027" max="1027" width="12.26953125" bestFit="1" customWidth="1"/>
    <col min="1028" max="1028" width="15.6328125" bestFit="1" customWidth="1"/>
    <col min="1029" max="1029" width="9.7265625" bestFit="1" customWidth="1"/>
    <col min="1030" max="1030" width="12.26953125" bestFit="1" customWidth="1"/>
    <col min="1031" max="1031" width="15.6328125" bestFit="1" customWidth="1"/>
    <col min="1032" max="1032" width="9.7265625" bestFit="1" customWidth="1"/>
    <col min="1033" max="1033" width="12.26953125" bestFit="1" customWidth="1"/>
    <col min="1034" max="1034" width="15.6328125" bestFit="1" customWidth="1"/>
    <col min="1035" max="1035" width="9.7265625" bestFit="1" customWidth="1"/>
    <col min="1036" max="1036" width="12.26953125" bestFit="1" customWidth="1"/>
    <col min="1037" max="1037" width="15.6328125" bestFit="1" customWidth="1"/>
    <col min="1038" max="1038" width="9.7265625" bestFit="1" customWidth="1"/>
    <col min="1039" max="1039" width="12.26953125" bestFit="1" customWidth="1"/>
    <col min="1040" max="1040" width="15.6328125" bestFit="1" customWidth="1"/>
    <col min="1041" max="1041" width="9.7265625" bestFit="1" customWidth="1"/>
    <col min="1042" max="1042" width="12.26953125" bestFit="1" customWidth="1"/>
    <col min="1043" max="1043" width="15.6328125" bestFit="1" customWidth="1"/>
    <col min="1044" max="1044" width="9.7265625" bestFit="1" customWidth="1"/>
    <col min="1045" max="1045" width="12.26953125" bestFit="1" customWidth="1"/>
    <col min="1046" max="1046" width="15.6328125" bestFit="1" customWidth="1"/>
    <col min="1047" max="1047" width="9.7265625" bestFit="1" customWidth="1"/>
    <col min="1048" max="1048" width="12.26953125" bestFit="1" customWidth="1"/>
    <col min="1049" max="1049" width="15.6328125" bestFit="1" customWidth="1"/>
    <col min="1050" max="1050" width="9.7265625" bestFit="1" customWidth="1"/>
    <col min="1051" max="1051" width="12.26953125" bestFit="1" customWidth="1"/>
    <col min="1052" max="1052" width="15.6328125" bestFit="1" customWidth="1"/>
    <col min="1053" max="1053" width="9.7265625" bestFit="1" customWidth="1"/>
    <col min="1054" max="1054" width="12.26953125" bestFit="1" customWidth="1"/>
    <col min="1055" max="1055" width="15.6328125" bestFit="1" customWidth="1"/>
    <col min="1056" max="1056" width="9.7265625" bestFit="1" customWidth="1"/>
    <col min="1057" max="1057" width="12.26953125" bestFit="1" customWidth="1"/>
    <col min="1058" max="1058" width="15.6328125" bestFit="1" customWidth="1"/>
    <col min="1059" max="1059" width="9.7265625" bestFit="1" customWidth="1"/>
    <col min="1060" max="1060" width="12.26953125" bestFit="1" customWidth="1"/>
    <col min="1061" max="1061" width="15.6328125" bestFit="1" customWidth="1"/>
    <col min="1062" max="1062" width="9.7265625" bestFit="1" customWidth="1"/>
    <col min="1063" max="1063" width="12.26953125" bestFit="1" customWidth="1"/>
    <col min="1064" max="1064" width="15.6328125" bestFit="1" customWidth="1"/>
    <col min="1065" max="1065" width="9.7265625" bestFit="1" customWidth="1"/>
    <col min="1066" max="1066" width="12.26953125" bestFit="1" customWidth="1"/>
    <col min="1067" max="1067" width="15.6328125" bestFit="1" customWidth="1"/>
    <col min="1068" max="1068" width="9.7265625" bestFit="1" customWidth="1"/>
    <col min="1069" max="1069" width="12.26953125" bestFit="1" customWidth="1"/>
    <col min="1070" max="1070" width="15.6328125" bestFit="1" customWidth="1"/>
    <col min="1071" max="1071" width="9.7265625" bestFit="1" customWidth="1"/>
    <col min="1072" max="1072" width="12.26953125" bestFit="1" customWidth="1"/>
    <col min="1073" max="1073" width="15.6328125" bestFit="1" customWidth="1"/>
    <col min="1074" max="1074" width="9.7265625" bestFit="1" customWidth="1"/>
    <col min="1075" max="1075" width="12.26953125" bestFit="1" customWidth="1"/>
    <col min="1076" max="1076" width="15.6328125" bestFit="1" customWidth="1"/>
    <col min="1077" max="1077" width="9.7265625" bestFit="1" customWidth="1"/>
    <col min="1078" max="1078" width="12.26953125" bestFit="1" customWidth="1"/>
    <col min="1079" max="1079" width="15.6328125" bestFit="1" customWidth="1"/>
    <col min="1080" max="1080" width="9.7265625" bestFit="1" customWidth="1"/>
    <col min="1081" max="1081" width="12.26953125" bestFit="1" customWidth="1"/>
    <col min="1082" max="1082" width="15.6328125" bestFit="1" customWidth="1"/>
    <col min="1083" max="1083" width="9.7265625" bestFit="1" customWidth="1"/>
    <col min="1084" max="1084" width="12.26953125" bestFit="1" customWidth="1"/>
    <col min="1085" max="1085" width="15.6328125" bestFit="1" customWidth="1"/>
    <col min="1086" max="1086" width="9.7265625" bestFit="1" customWidth="1"/>
    <col min="1087" max="1087" width="12.26953125" bestFit="1" customWidth="1"/>
    <col min="1088" max="1088" width="15.6328125" bestFit="1" customWidth="1"/>
    <col min="1089" max="1089" width="9.7265625" bestFit="1" customWidth="1"/>
    <col min="1090" max="1090" width="12.26953125" bestFit="1" customWidth="1"/>
    <col min="1091" max="1091" width="15.6328125" bestFit="1" customWidth="1"/>
    <col min="1092" max="1092" width="9.7265625" bestFit="1" customWidth="1"/>
    <col min="1093" max="1093" width="12.26953125" bestFit="1" customWidth="1"/>
    <col min="1094" max="1094" width="15.6328125" bestFit="1" customWidth="1"/>
    <col min="1095" max="1095" width="9.7265625" bestFit="1" customWidth="1"/>
    <col min="1096" max="1096" width="12.26953125" bestFit="1" customWidth="1"/>
    <col min="1097" max="1097" width="15.6328125" bestFit="1" customWidth="1"/>
    <col min="1098" max="1098" width="9.7265625" bestFit="1" customWidth="1"/>
    <col min="1099" max="1099" width="12.26953125" bestFit="1" customWidth="1"/>
    <col min="1100" max="1100" width="15.6328125" bestFit="1" customWidth="1"/>
    <col min="1101" max="1101" width="9.7265625" bestFit="1" customWidth="1"/>
    <col min="1102" max="1102" width="12.26953125" bestFit="1" customWidth="1"/>
    <col min="1103" max="1103" width="15.6328125" bestFit="1" customWidth="1"/>
    <col min="1104" max="1104" width="9.7265625" bestFit="1" customWidth="1"/>
    <col min="1105" max="1105" width="12.26953125" bestFit="1" customWidth="1"/>
    <col min="1106" max="1106" width="15.6328125" bestFit="1" customWidth="1"/>
    <col min="1107" max="1107" width="9.7265625" bestFit="1" customWidth="1"/>
    <col min="1108" max="1108" width="12.26953125" bestFit="1" customWidth="1"/>
    <col min="1109" max="1109" width="15.6328125" bestFit="1" customWidth="1"/>
    <col min="1110" max="1110" width="9.7265625" bestFit="1" customWidth="1"/>
    <col min="1111" max="1111" width="12.26953125" bestFit="1" customWidth="1"/>
    <col min="1112" max="1112" width="15.6328125" bestFit="1" customWidth="1"/>
    <col min="1113" max="1113" width="9.7265625" bestFit="1" customWidth="1"/>
    <col min="1114" max="1114" width="12.26953125" bestFit="1" customWidth="1"/>
    <col min="1115" max="1115" width="15.6328125" bestFit="1" customWidth="1"/>
    <col min="1116" max="1116" width="9.7265625" bestFit="1" customWidth="1"/>
    <col min="1117" max="1117" width="12.26953125" bestFit="1" customWidth="1"/>
    <col min="1118" max="1118" width="15.6328125" bestFit="1" customWidth="1"/>
    <col min="1119" max="1119" width="9.7265625" bestFit="1" customWidth="1"/>
    <col min="1120" max="1120" width="12.26953125" bestFit="1" customWidth="1"/>
    <col min="1121" max="1121" width="15.6328125" bestFit="1" customWidth="1"/>
    <col min="1122" max="1122" width="9.7265625" bestFit="1" customWidth="1"/>
    <col min="1123" max="1123" width="12.26953125" bestFit="1" customWidth="1"/>
    <col min="1124" max="1124" width="15.6328125" bestFit="1" customWidth="1"/>
    <col min="1125" max="1125" width="9.7265625" bestFit="1" customWidth="1"/>
    <col min="1126" max="1126" width="12.26953125" bestFit="1" customWidth="1"/>
    <col min="1127" max="1127" width="15.6328125" bestFit="1" customWidth="1"/>
    <col min="1128" max="1128" width="9.7265625" bestFit="1" customWidth="1"/>
    <col min="1129" max="1129" width="12.26953125" bestFit="1" customWidth="1"/>
    <col min="1130" max="1130" width="15.6328125" bestFit="1" customWidth="1"/>
    <col min="1131" max="1131" width="9.7265625" bestFit="1" customWidth="1"/>
    <col min="1132" max="1132" width="12.26953125" bestFit="1" customWidth="1"/>
    <col min="1133" max="1133" width="15.6328125" bestFit="1" customWidth="1"/>
    <col min="1134" max="1134" width="9.7265625" bestFit="1" customWidth="1"/>
    <col min="1135" max="1135" width="12.26953125" bestFit="1" customWidth="1"/>
    <col min="1136" max="1136" width="15.6328125" bestFit="1" customWidth="1"/>
    <col min="1137" max="1137" width="9.7265625" bestFit="1" customWidth="1"/>
    <col min="1138" max="1138" width="12.26953125" bestFit="1" customWidth="1"/>
    <col min="1139" max="1139" width="15.6328125" bestFit="1" customWidth="1"/>
    <col min="1140" max="1140" width="9.7265625" bestFit="1" customWidth="1"/>
    <col min="1141" max="1141" width="12.26953125" bestFit="1" customWidth="1"/>
    <col min="1142" max="1142" width="15.6328125" bestFit="1" customWidth="1"/>
    <col min="1143" max="1143" width="9.7265625" bestFit="1" customWidth="1"/>
    <col min="1144" max="1144" width="12.26953125" bestFit="1" customWidth="1"/>
    <col min="1145" max="1145" width="15.6328125" bestFit="1" customWidth="1"/>
    <col min="1146" max="1146" width="9.7265625" bestFit="1" customWidth="1"/>
    <col min="1147" max="1147" width="12.26953125" bestFit="1" customWidth="1"/>
    <col min="1148" max="1148" width="15.6328125" bestFit="1" customWidth="1"/>
    <col min="1149" max="1149" width="9.7265625" bestFit="1" customWidth="1"/>
    <col min="1150" max="1150" width="12.26953125" bestFit="1" customWidth="1"/>
    <col min="1151" max="1151" width="15.6328125" bestFit="1" customWidth="1"/>
    <col min="1152" max="1152" width="9.7265625" bestFit="1" customWidth="1"/>
    <col min="1153" max="1153" width="12.26953125" bestFit="1" customWidth="1"/>
    <col min="1154" max="1154" width="15.6328125" bestFit="1" customWidth="1"/>
    <col min="1155" max="1155" width="9.7265625" bestFit="1" customWidth="1"/>
    <col min="1156" max="1156" width="12.26953125" bestFit="1" customWidth="1"/>
    <col min="1157" max="1157" width="15.6328125" bestFit="1" customWidth="1"/>
    <col min="1158" max="1158" width="9.7265625" bestFit="1" customWidth="1"/>
    <col min="1159" max="1159" width="12.26953125" bestFit="1" customWidth="1"/>
    <col min="1160" max="1160" width="15.6328125" bestFit="1" customWidth="1"/>
    <col min="1161" max="1161" width="9.7265625" bestFit="1" customWidth="1"/>
    <col min="1162" max="1162" width="12.26953125" bestFit="1" customWidth="1"/>
    <col min="1163" max="1163" width="15.6328125" bestFit="1" customWidth="1"/>
    <col min="1164" max="1164" width="9.7265625" bestFit="1" customWidth="1"/>
    <col min="1165" max="1165" width="12.26953125" bestFit="1" customWidth="1"/>
    <col min="1166" max="1166" width="15.6328125" bestFit="1" customWidth="1"/>
    <col min="1167" max="1167" width="9.7265625" bestFit="1" customWidth="1"/>
    <col min="1168" max="1168" width="12.26953125" bestFit="1" customWidth="1"/>
    <col min="1169" max="1169" width="15.6328125" bestFit="1" customWidth="1"/>
    <col min="1170" max="1170" width="9.7265625" bestFit="1" customWidth="1"/>
    <col min="1171" max="1171" width="12.26953125" bestFit="1" customWidth="1"/>
    <col min="1172" max="1172" width="15.6328125" bestFit="1" customWidth="1"/>
    <col min="1173" max="1173" width="9.7265625" bestFit="1" customWidth="1"/>
    <col min="1174" max="1174" width="12.26953125" bestFit="1" customWidth="1"/>
    <col min="1175" max="1175" width="15.6328125" bestFit="1" customWidth="1"/>
    <col min="1176" max="1176" width="9.7265625" bestFit="1" customWidth="1"/>
    <col min="1177" max="1177" width="12.26953125" bestFit="1" customWidth="1"/>
    <col min="1178" max="1178" width="15.6328125" bestFit="1" customWidth="1"/>
    <col min="1179" max="1179" width="9.7265625" bestFit="1" customWidth="1"/>
    <col min="1180" max="1180" width="12.26953125" bestFit="1" customWidth="1"/>
    <col min="1181" max="1181" width="15.6328125" bestFit="1" customWidth="1"/>
    <col min="1182" max="1182" width="9.7265625" bestFit="1" customWidth="1"/>
    <col min="1183" max="1183" width="12.26953125" bestFit="1" customWidth="1"/>
    <col min="1184" max="1184" width="15.6328125" bestFit="1" customWidth="1"/>
    <col min="1185" max="1185" width="9.7265625" bestFit="1" customWidth="1"/>
    <col min="1186" max="1186" width="12.26953125" bestFit="1" customWidth="1"/>
    <col min="1187" max="1187" width="15.6328125" bestFit="1" customWidth="1"/>
    <col min="1188" max="1188" width="9.7265625" bestFit="1" customWidth="1"/>
    <col min="1189" max="1189" width="12.26953125" bestFit="1" customWidth="1"/>
    <col min="1190" max="1190" width="15.6328125" bestFit="1" customWidth="1"/>
    <col min="1191" max="1191" width="9.7265625" bestFit="1" customWidth="1"/>
    <col min="1192" max="1192" width="12.26953125" bestFit="1" customWidth="1"/>
    <col min="1193" max="1193" width="15.6328125" bestFit="1" customWidth="1"/>
    <col min="1194" max="1194" width="9.7265625" bestFit="1" customWidth="1"/>
    <col min="1195" max="1195" width="12.26953125" bestFit="1" customWidth="1"/>
    <col min="1196" max="1196" width="15.6328125" bestFit="1" customWidth="1"/>
    <col min="1197" max="1197" width="9.7265625" bestFit="1" customWidth="1"/>
    <col min="1198" max="1198" width="12.26953125" bestFit="1" customWidth="1"/>
    <col min="1199" max="1199" width="15.6328125" bestFit="1" customWidth="1"/>
    <col min="1200" max="1200" width="9.7265625" bestFit="1" customWidth="1"/>
    <col min="1201" max="1201" width="12.26953125" bestFit="1" customWidth="1"/>
    <col min="1202" max="1202" width="15.6328125" bestFit="1" customWidth="1"/>
    <col min="1203" max="1203" width="9.7265625" bestFit="1" customWidth="1"/>
    <col min="1204" max="1204" width="12.26953125" bestFit="1" customWidth="1"/>
    <col min="1205" max="1205" width="15.6328125" bestFit="1" customWidth="1"/>
    <col min="1206" max="1206" width="9.7265625" bestFit="1" customWidth="1"/>
    <col min="1207" max="1207" width="12.26953125" bestFit="1" customWidth="1"/>
    <col min="1208" max="1208" width="15.6328125" bestFit="1" customWidth="1"/>
    <col min="1209" max="1209" width="9.7265625" bestFit="1" customWidth="1"/>
    <col min="1210" max="1210" width="12.26953125" bestFit="1" customWidth="1"/>
    <col min="1211" max="1211" width="15.6328125" bestFit="1" customWidth="1"/>
    <col min="1212" max="1212" width="9.7265625" bestFit="1" customWidth="1"/>
    <col min="1213" max="1213" width="12.26953125" bestFit="1" customWidth="1"/>
    <col min="1214" max="1214" width="15.6328125" bestFit="1" customWidth="1"/>
    <col min="1215" max="1215" width="9.7265625" bestFit="1" customWidth="1"/>
    <col min="1216" max="1216" width="12.26953125" bestFit="1" customWidth="1"/>
    <col min="1217" max="1217" width="15.6328125" bestFit="1" customWidth="1"/>
    <col min="1218" max="1218" width="9.7265625" bestFit="1" customWidth="1"/>
    <col min="1219" max="1219" width="12.26953125" bestFit="1" customWidth="1"/>
    <col min="1220" max="1220" width="15.6328125" bestFit="1" customWidth="1"/>
    <col min="1221" max="1221" width="9.7265625" bestFit="1" customWidth="1"/>
    <col min="1222" max="1222" width="12.26953125" bestFit="1" customWidth="1"/>
    <col min="1223" max="1223" width="15.6328125" bestFit="1" customWidth="1"/>
    <col min="1224" max="1224" width="9.7265625" bestFit="1" customWidth="1"/>
    <col min="1225" max="1225" width="12.26953125" bestFit="1" customWidth="1"/>
    <col min="1226" max="1226" width="15.6328125" bestFit="1" customWidth="1"/>
    <col min="1227" max="1227" width="9.7265625" bestFit="1" customWidth="1"/>
    <col min="1228" max="1228" width="12.26953125" bestFit="1" customWidth="1"/>
    <col min="1229" max="1229" width="15.6328125" bestFit="1" customWidth="1"/>
    <col min="1230" max="1230" width="9.7265625" bestFit="1" customWidth="1"/>
    <col min="1231" max="1231" width="12.26953125" bestFit="1" customWidth="1"/>
    <col min="1232" max="1232" width="15.6328125" bestFit="1" customWidth="1"/>
    <col min="1233" max="1233" width="9.7265625" bestFit="1" customWidth="1"/>
    <col min="1234" max="1234" width="12.26953125" bestFit="1" customWidth="1"/>
    <col min="1235" max="1235" width="15.6328125" bestFit="1" customWidth="1"/>
    <col min="1236" max="1236" width="9.7265625" bestFit="1" customWidth="1"/>
    <col min="1237" max="1237" width="12.26953125" bestFit="1" customWidth="1"/>
    <col min="1238" max="1238" width="15.6328125" bestFit="1" customWidth="1"/>
    <col min="1239" max="1239" width="9.7265625" bestFit="1" customWidth="1"/>
    <col min="1240" max="1240" width="12.26953125" bestFit="1" customWidth="1"/>
    <col min="1241" max="1241" width="15.6328125" bestFit="1" customWidth="1"/>
    <col min="1242" max="1242" width="9.7265625" bestFit="1" customWidth="1"/>
    <col min="1243" max="1243" width="12.26953125" bestFit="1" customWidth="1"/>
    <col min="1244" max="1244" width="15.6328125" bestFit="1" customWidth="1"/>
    <col min="1245" max="1245" width="9.7265625" bestFit="1" customWidth="1"/>
    <col min="1246" max="1246" width="12.26953125" bestFit="1" customWidth="1"/>
    <col min="1247" max="1247" width="15.6328125" bestFit="1" customWidth="1"/>
    <col min="1248" max="1248" width="9.7265625" bestFit="1" customWidth="1"/>
    <col min="1249" max="1249" width="12.26953125" bestFit="1" customWidth="1"/>
    <col min="1250" max="1250" width="15.6328125" bestFit="1" customWidth="1"/>
    <col min="1251" max="1251" width="9.7265625" bestFit="1" customWidth="1"/>
    <col min="1252" max="1252" width="12.26953125" bestFit="1" customWidth="1"/>
    <col min="1253" max="1253" width="15.6328125" bestFit="1" customWidth="1"/>
    <col min="1254" max="1254" width="9.7265625" bestFit="1" customWidth="1"/>
    <col min="1255" max="1255" width="12.26953125" bestFit="1" customWidth="1"/>
    <col min="1256" max="1256" width="15.6328125" bestFit="1" customWidth="1"/>
    <col min="1257" max="1257" width="9.7265625" bestFit="1" customWidth="1"/>
    <col min="1258" max="1258" width="12.26953125" bestFit="1" customWidth="1"/>
    <col min="1259" max="1259" width="15.6328125" bestFit="1" customWidth="1"/>
    <col min="1260" max="1260" width="9.7265625" bestFit="1" customWidth="1"/>
    <col min="1261" max="1261" width="12.26953125" bestFit="1" customWidth="1"/>
    <col min="1262" max="1262" width="15.6328125" bestFit="1" customWidth="1"/>
    <col min="1263" max="1263" width="9.7265625" bestFit="1" customWidth="1"/>
    <col min="1264" max="1264" width="12.26953125" bestFit="1" customWidth="1"/>
    <col min="1265" max="1265" width="15.6328125" bestFit="1" customWidth="1"/>
    <col min="1266" max="1266" width="9.7265625" bestFit="1" customWidth="1"/>
    <col min="1267" max="1267" width="12.26953125" bestFit="1" customWidth="1"/>
    <col min="1268" max="1268" width="15.6328125" bestFit="1" customWidth="1"/>
    <col min="1269" max="1269" width="9.7265625" bestFit="1" customWidth="1"/>
    <col min="1270" max="1270" width="12.26953125" bestFit="1" customWidth="1"/>
    <col min="1271" max="1271" width="15.6328125" bestFit="1" customWidth="1"/>
    <col min="1272" max="1272" width="9.7265625" bestFit="1" customWidth="1"/>
    <col min="1273" max="1273" width="12.26953125" bestFit="1" customWidth="1"/>
    <col min="1274" max="1274" width="15.6328125" bestFit="1" customWidth="1"/>
    <col min="1275" max="1275" width="9.7265625" bestFit="1" customWidth="1"/>
    <col min="1276" max="1276" width="12.26953125" bestFit="1" customWidth="1"/>
    <col min="1277" max="1277" width="15.6328125" bestFit="1" customWidth="1"/>
    <col min="1278" max="1278" width="9.7265625" bestFit="1" customWidth="1"/>
    <col min="1279" max="1279" width="12.26953125" bestFit="1" customWidth="1"/>
    <col min="1280" max="1280" width="15.6328125" bestFit="1" customWidth="1"/>
    <col min="1281" max="1281" width="9.7265625" bestFit="1" customWidth="1"/>
    <col min="1282" max="1282" width="12.26953125" bestFit="1" customWidth="1"/>
    <col min="1283" max="1283" width="15.6328125" bestFit="1" customWidth="1"/>
    <col min="1284" max="1284" width="9.7265625" bestFit="1" customWidth="1"/>
    <col min="1285" max="1285" width="12.26953125" bestFit="1" customWidth="1"/>
    <col min="1286" max="1286" width="15.6328125" bestFit="1" customWidth="1"/>
    <col min="1287" max="1287" width="9.7265625" bestFit="1" customWidth="1"/>
    <col min="1288" max="1288" width="12.26953125" bestFit="1" customWidth="1"/>
    <col min="1289" max="1289" width="15.6328125" bestFit="1" customWidth="1"/>
    <col min="1290" max="1290" width="9.7265625" bestFit="1" customWidth="1"/>
    <col min="1291" max="1291" width="12.26953125" bestFit="1" customWidth="1"/>
    <col min="1292" max="1292" width="15.6328125" bestFit="1" customWidth="1"/>
    <col min="1293" max="1293" width="9.7265625" bestFit="1" customWidth="1"/>
    <col min="1294" max="1294" width="12.26953125" bestFit="1" customWidth="1"/>
    <col min="1295" max="1295" width="15.6328125" bestFit="1" customWidth="1"/>
    <col min="1296" max="1296" width="9.7265625" bestFit="1" customWidth="1"/>
    <col min="1297" max="1297" width="12.26953125" bestFit="1" customWidth="1"/>
    <col min="1298" max="1298" width="15.6328125" bestFit="1" customWidth="1"/>
    <col min="1299" max="1299" width="9.7265625" bestFit="1" customWidth="1"/>
    <col min="1300" max="1300" width="12.26953125" bestFit="1" customWidth="1"/>
    <col min="1301" max="1301" width="15.6328125" bestFit="1" customWidth="1"/>
    <col min="1302" max="1302" width="9.7265625" bestFit="1" customWidth="1"/>
    <col min="1303" max="1303" width="12.26953125" bestFit="1" customWidth="1"/>
    <col min="1304" max="1304" width="15.6328125" bestFit="1" customWidth="1"/>
    <col min="1305" max="1305" width="9.7265625" bestFit="1" customWidth="1"/>
    <col min="1306" max="1306" width="12.26953125" bestFit="1" customWidth="1"/>
    <col min="1307" max="1307" width="15.6328125" bestFit="1" customWidth="1"/>
    <col min="1308" max="1308" width="9.7265625" bestFit="1" customWidth="1"/>
    <col min="1309" max="1309" width="12.26953125" bestFit="1" customWidth="1"/>
    <col min="1310" max="1310" width="15.6328125" bestFit="1" customWidth="1"/>
    <col min="1311" max="1311" width="9.7265625" bestFit="1" customWidth="1"/>
    <col min="1312" max="1312" width="12.26953125" bestFit="1" customWidth="1"/>
    <col min="1313" max="1313" width="15.6328125" bestFit="1" customWidth="1"/>
    <col min="1314" max="1314" width="9.7265625" bestFit="1" customWidth="1"/>
    <col min="1315" max="1315" width="12.26953125" bestFit="1" customWidth="1"/>
    <col min="1316" max="1316" width="15.6328125" bestFit="1" customWidth="1"/>
    <col min="1317" max="1317" width="9.7265625" bestFit="1" customWidth="1"/>
    <col min="1318" max="1318" width="12.26953125" bestFit="1" customWidth="1"/>
    <col min="1319" max="1319" width="15.6328125" bestFit="1" customWidth="1"/>
    <col min="1320" max="1320" width="9.7265625" bestFit="1" customWidth="1"/>
    <col min="1321" max="1321" width="12.26953125" bestFit="1" customWidth="1"/>
    <col min="1322" max="1322" width="15.6328125" bestFit="1" customWidth="1"/>
    <col min="1323" max="1323" width="9.7265625" bestFit="1" customWidth="1"/>
    <col min="1324" max="1324" width="12.26953125" bestFit="1" customWidth="1"/>
    <col min="1325" max="1325" width="15.6328125" bestFit="1" customWidth="1"/>
    <col min="1326" max="1326" width="9.7265625" bestFit="1" customWidth="1"/>
    <col min="1327" max="1327" width="12.26953125" bestFit="1" customWidth="1"/>
    <col min="1328" max="1328" width="15.6328125" bestFit="1" customWidth="1"/>
    <col min="1329" max="1329" width="9.7265625" bestFit="1" customWidth="1"/>
    <col min="1330" max="1330" width="12.26953125" bestFit="1" customWidth="1"/>
    <col min="1331" max="1331" width="15.6328125" bestFit="1" customWidth="1"/>
    <col min="1332" max="1332" width="9.7265625" bestFit="1" customWidth="1"/>
    <col min="1333" max="1333" width="12.26953125" bestFit="1" customWidth="1"/>
    <col min="1334" max="1334" width="15.6328125" bestFit="1" customWidth="1"/>
    <col min="1335" max="1335" width="9.7265625" bestFit="1" customWidth="1"/>
    <col min="1336" max="1336" width="12.26953125" bestFit="1" customWidth="1"/>
    <col min="1337" max="1337" width="15.6328125" bestFit="1" customWidth="1"/>
    <col min="1338" max="1338" width="9.7265625" bestFit="1" customWidth="1"/>
    <col min="1339" max="1339" width="12.26953125" bestFit="1" customWidth="1"/>
    <col min="1340" max="1340" width="15.6328125" bestFit="1" customWidth="1"/>
    <col min="1341" max="1341" width="9.7265625" bestFit="1" customWidth="1"/>
    <col min="1342" max="1342" width="12.26953125" bestFit="1" customWidth="1"/>
    <col min="1343" max="1343" width="15.6328125" bestFit="1" customWidth="1"/>
    <col min="1344" max="1344" width="9.7265625" bestFit="1" customWidth="1"/>
    <col min="1345" max="1345" width="12.26953125" bestFit="1" customWidth="1"/>
    <col min="1346" max="1346" width="15.6328125" bestFit="1" customWidth="1"/>
    <col min="1347" max="1347" width="9.7265625" bestFit="1" customWidth="1"/>
    <col min="1348" max="1348" width="12.26953125" bestFit="1" customWidth="1"/>
    <col min="1349" max="1349" width="15.6328125" bestFit="1" customWidth="1"/>
    <col min="1350" max="1350" width="9.7265625" bestFit="1" customWidth="1"/>
    <col min="1351" max="1351" width="12.26953125" bestFit="1" customWidth="1"/>
    <col min="1352" max="1352" width="15.6328125" bestFit="1" customWidth="1"/>
    <col min="1353" max="1353" width="9.7265625" bestFit="1" customWidth="1"/>
    <col min="1354" max="1354" width="12.26953125" bestFit="1" customWidth="1"/>
    <col min="1355" max="1355" width="15.6328125" bestFit="1" customWidth="1"/>
    <col min="1356" max="1356" width="9.7265625" bestFit="1" customWidth="1"/>
    <col min="1357" max="1357" width="12.26953125" bestFit="1" customWidth="1"/>
    <col min="1358" max="1358" width="15.6328125" bestFit="1" customWidth="1"/>
    <col min="1359" max="1359" width="9.7265625" bestFit="1" customWidth="1"/>
    <col min="1360" max="1360" width="12.26953125" bestFit="1" customWidth="1"/>
    <col min="1361" max="1361" width="15.6328125" bestFit="1" customWidth="1"/>
    <col min="1362" max="1362" width="9.7265625" bestFit="1" customWidth="1"/>
    <col min="1363" max="1363" width="12.26953125" bestFit="1" customWidth="1"/>
    <col min="1364" max="1364" width="15.6328125" bestFit="1" customWidth="1"/>
    <col min="1365" max="1365" width="9.7265625" bestFit="1" customWidth="1"/>
    <col min="1366" max="1366" width="12.26953125" bestFit="1" customWidth="1"/>
    <col min="1367" max="1367" width="15.6328125" bestFit="1" customWidth="1"/>
    <col min="1368" max="1368" width="9.7265625" bestFit="1" customWidth="1"/>
    <col min="1369" max="1369" width="12.26953125" bestFit="1" customWidth="1"/>
    <col min="1370" max="1370" width="15.6328125" bestFit="1" customWidth="1"/>
    <col min="1371" max="1371" width="9.7265625" bestFit="1" customWidth="1"/>
    <col min="1372" max="1372" width="12.26953125" bestFit="1" customWidth="1"/>
    <col min="1373" max="1373" width="15.6328125" bestFit="1" customWidth="1"/>
    <col min="1374" max="1374" width="9.7265625" bestFit="1" customWidth="1"/>
    <col min="1375" max="1375" width="12.26953125" bestFit="1" customWidth="1"/>
    <col min="1376" max="1376" width="15.6328125" bestFit="1" customWidth="1"/>
    <col min="1377" max="1377" width="9.7265625" bestFit="1" customWidth="1"/>
    <col min="1378" max="1378" width="12.26953125" bestFit="1" customWidth="1"/>
    <col min="1379" max="1379" width="15.6328125" bestFit="1" customWidth="1"/>
    <col min="1380" max="1380" width="9.7265625" bestFit="1" customWidth="1"/>
    <col min="1381" max="1381" width="12.26953125" bestFit="1" customWidth="1"/>
    <col min="1382" max="1382" width="15.6328125" bestFit="1" customWidth="1"/>
    <col min="1383" max="1383" width="9.7265625" bestFit="1" customWidth="1"/>
    <col min="1384" max="1384" width="12.26953125" bestFit="1" customWidth="1"/>
    <col min="1385" max="1385" width="15.6328125" bestFit="1" customWidth="1"/>
    <col min="1386" max="1386" width="9.7265625" bestFit="1" customWidth="1"/>
    <col min="1387" max="1387" width="12.26953125" bestFit="1" customWidth="1"/>
    <col min="1388" max="1388" width="15.6328125" bestFit="1" customWidth="1"/>
    <col min="1389" max="1389" width="9.7265625" bestFit="1" customWidth="1"/>
    <col min="1390" max="1390" width="12.26953125" bestFit="1" customWidth="1"/>
    <col min="1391" max="1391" width="15.6328125" bestFit="1" customWidth="1"/>
    <col min="1392" max="1392" width="9.7265625" bestFit="1" customWidth="1"/>
    <col min="1393" max="1393" width="12.26953125" bestFit="1" customWidth="1"/>
    <col min="1394" max="1394" width="15.6328125" bestFit="1" customWidth="1"/>
    <col min="1395" max="1395" width="9.7265625" bestFit="1" customWidth="1"/>
    <col min="1396" max="1396" width="12.26953125" bestFit="1" customWidth="1"/>
    <col min="1397" max="1397" width="15.6328125" bestFit="1" customWidth="1"/>
    <col min="1398" max="1398" width="9.7265625" bestFit="1" customWidth="1"/>
    <col min="1399" max="1399" width="12.26953125" bestFit="1" customWidth="1"/>
    <col min="1400" max="1400" width="15.6328125" bestFit="1" customWidth="1"/>
    <col min="1401" max="1401" width="9.7265625" bestFit="1" customWidth="1"/>
    <col min="1402" max="1402" width="12.26953125" bestFit="1" customWidth="1"/>
    <col min="1403" max="1403" width="15.6328125" bestFit="1" customWidth="1"/>
    <col min="1404" max="1404" width="9.7265625" bestFit="1" customWidth="1"/>
    <col min="1405" max="1405" width="12.26953125" bestFit="1" customWidth="1"/>
    <col min="1406" max="1406" width="15.6328125" bestFit="1" customWidth="1"/>
    <col min="1407" max="1407" width="9.7265625" bestFit="1" customWidth="1"/>
    <col min="1408" max="1408" width="12.26953125" bestFit="1" customWidth="1"/>
    <col min="1409" max="1409" width="15.6328125" bestFit="1" customWidth="1"/>
    <col min="1410" max="1410" width="9.7265625" bestFit="1" customWidth="1"/>
    <col min="1411" max="1411" width="12.26953125" bestFit="1" customWidth="1"/>
    <col min="1412" max="1412" width="15.6328125" bestFit="1" customWidth="1"/>
    <col min="1413" max="1413" width="9.7265625" bestFit="1" customWidth="1"/>
    <col min="1414" max="1414" width="12.26953125" bestFit="1" customWidth="1"/>
    <col min="1415" max="1415" width="15.6328125" bestFit="1" customWidth="1"/>
    <col min="1416" max="1416" width="9.7265625" bestFit="1" customWidth="1"/>
    <col min="1417" max="1417" width="12.26953125" bestFit="1" customWidth="1"/>
    <col min="1418" max="1418" width="15.6328125" bestFit="1" customWidth="1"/>
    <col min="1419" max="1419" width="9.7265625" bestFit="1" customWidth="1"/>
    <col min="1420" max="1420" width="12.26953125" bestFit="1" customWidth="1"/>
    <col min="1421" max="1421" width="15.6328125" bestFit="1" customWidth="1"/>
    <col min="1422" max="1422" width="9.7265625" bestFit="1" customWidth="1"/>
    <col min="1423" max="1423" width="12.26953125" bestFit="1" customWidth="1"/>
    <col min="1424" max="1424" width="15.6328125" bestFit="1" customWidth="1"/>
    <col min="1425" max="1425" width="9.7265625" bestFit="1" customWidth="1"/>
    <col min="1426" max="1426" width="12.26953125" bestFit="1" customWidth="1"/>
    <col min="1427" max="1427" width="15.6328125" bestFit="1" customWidth="1"/>
    <col min="1428" max="1428" width="9.7265625" bestFit="1" customWidth="1"/>
    <col min="1429" max="1429" width="12.26953125" bestFit="1" customWidth="1"/>
    <col min="1430" max="1430" width="15.6328125" bestFit="1" customWidth="1"/>
    <col min="1431" max="1431" width="9.7265625" bestFit="1" customWidth="1"/>
    <col min="1432" max="1432" width="12.26953125" bestFit="1" customWidth="1"/>
    <col min="1433" max="1433" width="15.6328125" bestFit="1" customWidth="1"/>
    <col min="1434" max="1434" width="9.7265625" bestFit="1" customWidth="1"/>
    <col min="1435" max="1435" width="12.26953125" bestFit="1" customWidth="1"/>
    <col min="1436" max="1436" width="15.6328125" bestFit="1" customWidth="1"/>
    <col min="1437" max="1437" width="9.7265625" bestFit="1" customWidth="1"/>
    <col min="1438" max="1438" width="12.26953125" bestFit="1" customWidth="1"/>
    <col min="1439" max="1439" width="15.6328125" bestFit="1" customWidth="1"/>
    <col min="1440" max="1440" width="9.7265625" bestFit="1" customWidth="1"/>
    <col min="1441" max="1441" width="12.26953125" bestFit="1" customWidth="1"/>
    <col min="1442" max="1442" width="15.6328125" bestFit="1" customWidth="1"/>
    <col min="1443" max="1443" width="9.7265625" bestFit="1" customWidth="1"/>
    <col min="1444" max="1444" width="12.26953125" bestFit="1" customWidth="1"/>
    <col min="1445" max="1445" width="15.6328125" bestFit="1" customWidth="1"/>
    <col min="1446" max="1446" width="9.7265625" bestFit="1" customWidth="1"/>
    <col min="1447" max="1447" width="12.26953125" bestFit="1" customWidth="1"/>
    <col min="1448" max="1448" width="15.6328125" bestFit="1" customWidth="1"/>
    <col min="1449" max="1449" width="9.7265625" bestFit="1" customWidth="1"/>
    <col min="1450" max="1450" width="12.26953125" bestFit="1" customWidth="1"/>
    <col min="1451" max="1451" width="15.6328125" bestFit="1" customWidth="1"/>
    <col min="1452" max="1452" width="9.7265625" bestFit="1" customWidth="1"/>
    <col min="1453" max="1453" width="12.26953125" bestFit="1" customWidth="1"/>
    <col min="1454" max="1454" width="15.6328125" bestFit="1" customWidth="1"/>
    <col min="1455" max="1455" width="9.7265625" bestFit="1" customWidth="1"/>
    <col min="1456" max="1456" width="12.26953125" bestFit="1" customWidth="1"/>
    <col min="1457" max="1457" width="15.6328125" bestFit="1" customWidth="1"/>
    <col min="1458" max="1458" width="9.7265625" bestFit="1" customWidth="1"/>
    <col min="1459" max="1459" width="12.26953125" bestFit="1" customWidth="1"/>
    <col min="1460" max="1460" width="15.6328125" bestFit="1" customWidth="1"/>
    <col min="1461" max="1461" width="9.7265625" bestFit="1" customWidth="1"/>
    <col min="1462" max="1462" width="12.26953125" bestFit="1" customWidth="1"/>
    <col min="1463" max="1463" width="15.6328125" bestFit="1" customWidth="1"/>
    <col min="1464" max="1464" width="9.7265625" bestFit="1" customWidth="1"/>
    <col min="1465" max="1465" width="12.26953125" bestFit="1" customWidth="1"/>
    <col min="1466" max="1466" width="15.6328125" bestFit="1" customWidth="1"/>
    <col min="1467" max="1467" width="9.7265625" bestFit="1" customWidth="1"/>
    <col min="1468" max="1468" width="12.26953125" bestFit="1" customWidth="1"/>
    <col min="1469" max="1469" width="15.6328125" bestFit="1" customWidth="1"/>
    <col min="1470" max="1470" width="9.7265625" bestFit="1" customWidth="1"/>
    <col min="1471" max="1471" width="12.26953125" bestFit="1" customWidth="1"/>
    <col min="1472" max="1472" width="15.6328125" bestFit="1" customWidth="1"/>
    <col min="1473" max="1473" width="9.7265625" bestFit="1" customWidth="1"/>
    <col min="1474" max="1474" width="12.26953125" bestFit="1" customWidth="1"/>
    <col min="1475" max="1475" width="15.6328125" bestFit="1" customWidth="1"/>
    <col min="1476" max="1476" width="9.7265625" bestFit="1" customWidth="1"/>
    <col min="1477" max="1477" width="12.26953125" bestFit="1" customWidth="1"/>
    <col min="1478" max="1478" width="15.6328125" bestFit="1" customWidth="1"/>
    <col min="1479" max="1479" width="9.7265625" bestFit="1" customWidth="1"/>
    <col min="1480" max="1480" width="12.26953125" bestFit="1" customWidth="1"/>
    <col min="1481" max="1481" width="15.6328125" bestFit="1" customWidth="1"/>
    <col min="1482" max="1482" width="9.7265625" bestFit="1" customWidth="1"/>
    <col min="1483" max="1483" width="12.26953125" bestFit="1" customWidth="1"/>
    <col min="1484" max="1484" width="15.6328125" bestFit="1" customWidth="1"/>
    <col min="1485" max="1485" width="9.7265625" bestFit="1" customWidth="1"/>
    <col min="1486" max="1486" width="12.26953125" bestFit="1" customWidth="1"/>
    <col min="1487" max="1487" width="15.6328125" bestFit="1" customWidth="1"/>
    <col min="1488" max="1488" width="9.7265625" bestFit="1" customWidth="1"/>
    <col min="1489" max="1489" width="12.26953125" bestFit="1" customWidth="1"/>
    <col min="1490" max="1490" width="15.6328125" bestFit="1" customWidth="1"/>
    <col min="1491" max="1491" width="9.7265625" bestFit="1" customWidth="1"/>
    <col min="1492" max="1492" width="12.26953125" bestFit="1" customWidth="1"/>
    <col min="1493" max="1493" width="15.6328125" bestFit="1" customWidth="1"/>
    <col min="1494" max="1494" width="9.7265625" bestFit="1" customWidth="1"/>
    <col min="1495" max="1495" width="12.26953125" bestFit="1" customWidth="1"/>
    <col min="1496" max="1496" width="15.6328125" bestFit="1" customWidth="1"/>
    <col min="1497" max="1497" width="9.7265625" bestFit="1" customWidth="1"/>
    <col min="1498" max="1498" width="12.26953125" bestFit="1" customWidth="1"/>
    <col min="1499" max="1499" width="15.6328125" bestFit="1" customWidth="1"/>
    <col min="1500" max="1500" width="9.7265625" bestFit="1" customWidth="1"/>
    <col min="1501" max="1501" width="12.26953125" bestFit="1" customWidth="1"/>
    <col min="1502" max="1502" width="15.6328125" bestFit="1" customWidth="1"/>
    <col min="1503" max="1503" width="9.7265625" bestFit="1" customWidth="1"/>
    <col min="1504" max="1504" width="12.26953125" bestFit="1" customWidth="1"/>
    <col min="1505" max="1505" width="15.6328125" bestFit="1" customWidth="1"/>
    <col min="1506" max="1506" width="9.7265625" bestFit="1" customWidth="1"/>
    <col min="1507" max="1507" width="12.26953125" bestFit="1" customWidth="1"/>
    <col min="1508" max="1508" width="15.6328125" bestFit="1" customWidth="1"/>
    <col min="1509" max="1509" width="9.7265625" bestFit="1" customWidth="1"/>
    <col min="1510" max="1510" width="12.26953125" bestFit="1" customWidth="1"/>
    <col min="1511" max="1511" width="15.6328125" bestFit="1" customWidth="1"/>
    <col min="1512" max="1512" width="9.7265625" bestFit="1" customWidth="1"/>
    <col min="1513" max="1513" width="12.26953125" bestFit="1" customWidth="1"/>
    <col min="1514" max="1514" width="15.6328125" bestFit="1" customWidth="1"/>
    <col min="1515" max="1515" width="9.7265625" bestFit="1" customWidth="1"/>
    <col min="1516" max="1516" width="12.26953125" bestFit="1" customWidth="1"/>
    <col min="1517" max="1517" width="15.6328125" bestFit="1" customWidth="1"/>
    <col min="1518" max="1518" width="9.7265625" bestFit="1" customWidth="1"/>
    <col min="1519" max="1519" width="12.26953125" bestFit="1" customWidth="1"/>
    <col min="1520" max="1520" width="15.6328125" bestFit="1" customWidth="1"/>
    <col min="1521" max="1521" width="9.7265625" bestFit="1" customWidth="1"/>
    <col min="1522" max="1522" width="12.26953125" bestFit="1" customWidth="1"/>
    <col min="1523" max="1523" width="15.6328125" bestFit="1" customWidth="1"/>
    <col min="1524" max="1524" width="9.7265625" bestFit="1" customWidth="1"/>
    <col min="1525" max="1525" width="12.26953125" bestFit="1" customWidth="1"/>
    <col min="1526" max="1526" width="15.6328125" bestFit="1" customWidth="1"/>
    <col min="1527" max="1527" width="9.7265625" bestFit="1" customWidth="1"/>
    <col min="1528" max="1528" width="12.26953125" bestFit="1" customWidth="1"/>
    <col min="1529" max="1529" width="15.6328125" bestFit="1" customWidth="1"/>
    <col min="1530" max="1530" width="9.7265625" bestFit="1" customWidth="1"/>
    <col min="1531" max="1531" width="12.26953125" bestFit="1" customWidth="1"/>
    <col min="1532" max="1532" width="15.6328125" bestFit="1" customWidth="1"/>
    <col min="1533" max="1533" width="9.7265625" bestFit="1" customWidth="1"/>
    <col min="1534" max="1534" width="12.26953125" bestFit="1" customWidth="1"/>
    <col min="1535" max="1535" width="15.6328125" bestFit="1" customWidth="1"/>
    <col min="1536" max="1536" width="9.7265625" bestFit="1" customWidth="1"/>
    <col min="1537" max="1537" width="12.26953125" bestFit="1" customWidth="1"/>
    <col min="1538" max="1538" width="15.6328125" bestFit="1" customWidth="1"/>
    <col min="1539" max="1539" width="9.7265625" bestFit="1" customWidth="1"/>
    <col min="1540" max="1540" width="12.26953125" bestFit="1" customWidth="1"/>
    <col min="1541" max="1541" width="15.6328125" bestFit="1" customWidth="1"/>
    <col min="1542" max="1542" width="9.7265625" bestFit="1" customWidth="1"/>
    <col min="1543" max="1543" width="12.26953125" bestFit="1" customWidth="1"/>
    <col min="1544" max="1544" width="15.6328125" bestFit="1" customWidth="1"/>
    <col min="1545" max="1545" width="9.7265625" bestFit="1" customWidth="1"/>
    <col min="1546" max="1546" width="12.26953125" bestFit="1" customWidth="1"/>
    <col min="1547" max="1547" width="15.6328125" bestFit="1" customWidth="1"/>
    <col min="1548" max="1548" width="9.7265625" bestFit="1" customWidth="1"/>
    <col min="1549" max="1549" width="12.26953125" bestFit="1" customWidth="1"/>
    <col min="1550" max="1550" width="15.6328125" bestFit="1" customWidth="1"/>
    <col min="1551" max="1551" width="9.7265625" bestFit="1" customWidth="1"/>
    <col min="1552" max="1552" width="12.26953125" bestFit="1" customWidth="1"/>
    <col min="1553" max="1553" width="15.6328125" bestFit="1" customWidth="1"/>
    <col min="1554" max="1554" width="9.7265625" bestFit="1" customWidth="1"/>
    <col min="1555" max="1555" width="12.26953125" bestFit="1" customWidth="1"/>
    <col min="1556" max="1556" width="15.6328125" bestFit="1" customWidth="1"/>
    <col min="1557" max="1557" width="9.7265625" bestFit="1" customWidth="1"/>
    <col min="1558" max="1558" width="12.26953125" bestFit="1" customWidth="1"/>
    <col min="1559" max="1559" width="15.6328125" bestFit="1" customWidth="1"/>
    <col min="1560" max="1560" width="9.7265625" bestFit="1" customWidth="1"/>
    <col min="1561" max="1561" width="12.26953125" bestFit="1" customWidth="1"/>
    <col min="1562" max="1562" width="15.6328125" bestFit="1" customWidth="1"/>
    <col min="1563" max="1563" width="9.7265625" bestFit="1" customWidth="1"/>
    <col min="1564" max="1564" width="12.26953125" bestFit="1" customWidth="1"/>
    <col min="1565" max="1565" width="15.6328125" bestFit="1" customWidth="1"/>
    <col min="1566" max="1566" width="9.7265625" bestFit="1" customWidth="1"/>
    <col min="1567" max="1567" width="12.26953125" bestFit="1" customWidth="1"/>
    <col min="1568" max="1568" width="15.6328125" bestFit="1" customWidth="1"/>
    <col min="1569" max="1569" width="9.7265625" bestFit="1" customWidth="1"/>
    <col min="1570" max="1570" width="12.26953125" bestFit="1" customWidth="1"/>
    <col min="1571" max="1571" width="15.6328125" bestFit="1" customWidth="1"/>
    <col min="1572" max="1572" width="9.7265625" bestFit="1" customWidth="1"/>
    <col min="1573" max="1573" width="12.26953125" bestFit="1" customWidth="1"/>
    <col min="1574" max="1574" width="15.6328125" bestFit="1" customWidth="1"/>
    <col min="1575" max="1575" width="9.7265625" bestFit="1" customWidth="1"/>
    <col min="1576" max="1576" width="12.26953125" bestFit="1" customWidth="1"/>
    <col min="1577" max="1577" width="15.6328125" bestFit="1" customWidth="1"/>
    <col min="1578" max="1578" width="9.7265625" bestFit="1" customWidth="1"/>
    <col min="1579" max="1579" width="12.26953125" bestFit="1" customWidth="1"/>
    <col min="1580" max="1580" width="15.6328125" bestFit="1" customWidth="1"/>
    <col min="1581" max="1581" width="9.7265625" bestFit="1" customWidth="1"/>
    <col min="1582" max="1582" width="12.26953125" bestFit="1" customWidth="1"/>
    <col min="1583" max="1583" width="15.6328125" bestFit="1" customWidth="1"/>
    <col min="1584" max="1584" width="9.7265625" bestFit="1" customWidth="1"/>
    <col min="1585" max="1585" width="12.26953125" bestFit="1" customWidth="1"/>
    <col min="1586" max="1586" width="15.6328125" bestFit="1" customWidth="1"/>
    <col min="1587" max="1587" width="9.7265625" bestFit="1" customWidth="1"/>
    <col min="1588" max="1588" width="12.26953125" bestFit="1" customWidth="1"/>
    <col min="1589" max="1589" width="15.6328125" bestFit="1" customWidth="1"/>
    <col min="1590" max="1590" width="9.7265625" bestFit="1" customWidth="1"/>
    <col min="1591" max="1591" width="12.26953125" bestFit="1" customWidth="1"/>
    <col min="1592" max="1592" width="15.6328125" bestFit="1" customWidth="1"/>
    <col min="1593" max="1593" width="9.7265625" bestFit="1" customWidth="1"/>
    <col min="1594" max="1594" width="12.26953125" bestFit="1" customWidth="1"/>
    <col min="1595" max="1595" width="15.6328125" bestFit="1" customWidth="1"/>
    <col min="1596" max="1596" width="9.7265625" bestFit="1" customWidth="1"/>
    <col min="1597" max="1597" width="12.26953125" bestFit="1" customWidth="1"/>
    <col min="1598" max="1598" width="15.6328125" bestFit="1" customWidth="1"/>
    <col min="1599" max="1599" width="9.7265625" bestFit="1" customWidth="1"/>
    <col min="1600" max="1600" width="12.26953125" bestFit="1" customWidth="1"/>
    <col min="1601" max="1601" width="15.6328125" bestFit="1" customWidth="1"/>
    <col min="1602" max="1602" width="9.7265625" bestFit="1" customWidth="1"/>
    <col min="1603" max="1603" width="12.26953125" bestFit="1" customWidth="1"/>
    <col min="1604" max="1604" width="15.6328125" bestFit="1" customWidth="1"/>
    <col min="1605" max="1605" width="9.7265625" bestFit="1" customWidth="1"/>
    <col min="1606" max="1606" width="12.26953125" bestFit="1" customWidth="1"/>
    <col min="1607" max="1607" width="15.6328125" bestFit="1" customWidth="1"/>
    <col min="1608" max="1608" width="9.7265625" bestFit="1" customWidth="1"/>
    <col min="1609" max="1609" width="12.26953125" bestFit="1" customWidth="1"/>
    <col min="1610" max="1610" width="15.6328125" bestFit="1" customWidth="1"/>
    <col min="1611" max="1611" width="9.7265625" bestFit="1" customWidth="1"/>
    <col min="1612" max="1612" width="12.26953125" bestFit="1" customWidth="1"/>
    <col min="1613" max="1613" width="15.6328125" bestFit="1" customWidth="1"/>
    <col min="1614" max="1614" width="9.7265625" bestFit="1" customWidth="1"/>
    <col min="1615" max="1615" width="12.26953125" bestFit="1" customWidth="1"/>
    <col min="1616" max="1616" width="15.6328125" bestFit="1" customWidth="1"/>
    <col min="1617" max="1617" width="9.7265625" bestFit="1" customWidth="1"/>
    <col min="1618" max="1618" width="12.26953125" bestFit="1" customWidth="1"/>
    <col min="1619" max="1619" width="15.6328125" bestFit="1" customWidth="1"/>
    <col min="1620" max="1620" width="9.7265625" bestFit="1" customWidth="1"/>
    <col min="1621" max="1621" width="12.26953125" bestFit="1" customWidth="1"/>
    <col min="1622" max="1622" width="15.6328125" bestFit="1" customWidth="1"/>
    <col min="1623" max="1623" width="9.7265625" bestFit="1" customWidth="1"/>
    <col min="1624" max="1624" width="12.26953125" bestFit="1" customWidth="1"/>
    <col min="1625" max="1625" width="15.6328125" bestFit="1" customWidth="1"/>
    <col min="1626" max="1626" width="9.7265625" bestFit="1" customWidth="1"/>
    <col min="1627" max="1627" width="12.26953125" bestFit="1" customWidth="1"/>
    <col min="1628" max="1628" width="15.6328125" bestFit="1" customWidth="1"/>
    <col min="1629" max="1629" width="9.7265625" bestFit="1" customWidth="1"/>
    <col min="1630" max="1630" width="12.26953125" bestFit="1" customWidth="1"/>
    <col min="1631" max="1631" width="15.6328125" bestFit="1" customWidth="1"/>
    <col min="1632" max="1632" width="9.7265625" bestFit="1" customWidth="1"/>
    <col min="1633" max="1633" width="12.26953125" bestFit="1" customWidth="1"/>
    <col min="1634" max="1634" width="15.6328125" bestFit="1" customWidth="1"/>
    <col min="1635" max="1635" width="9.7265625" bestFit="1" customWidth="1"/>
    <col min="1636" max="1636" width="12.26953125" bestFit="1" customWidth="1"/>
    <col min="1637" max="1637" width="15.6328125" bestFit="1" customWidth="1"/>
    <col min="1638" max="1638" width="9.7265625" bestFit="1" customWidth="1"/>
    <col min="1639" max="1639" width="12.26953125" bestFit="1" customWidth="1"/>
    <col min="1640" max="1640" width="15.6328125" bestFit="1" customWidth="1"/>
    <col min="1641" max="1641" width="9.7265625" bestFit="1" customWidth="1"/>
    <col min="1642" max="1642" width="12.26953125" bestFit="1" customWidth="1"/>
    <col min="1643" max="1643" width="15.6328125" bestFit="1" customWidth="1"/>
    <col min="1644" max="1644" width="9.7265625" bestFit="1" customWidth="1"/>
    <col min="1645" max="1645" width="12.26953125" bestFit="1" customWidth="1"/>
    <col min="1646" max="1646" width="15.6328125" bestFit="1" customWidth="1"/>
    <col min="1647" max="1647" width="9.7265625" bestFit="1" customWidth="1"/>
    <col min="1648" max="1648" width="12.26953125" bestFit="1" customWidth="1"/>
    <col min="1649" max="1649" width="15.6328125" bestFit="1" customWidth="1"/>
    <col min="1650" max="1650" width="9.7265625" bestFit="1" customWidth="1"/>
    <col min="1651" max="1651" width="12.26953125" bestFit="1" customWidth="1"/>
    <col min="1652" max="1652" width="15.6328125" bestFit="1" customWidth="1"/>
    <col min="1653" max="1653" width="9.7265625" bestFit="1" customWidth="1"/>
    <col min="1654" max="1654" width="12.26953125" bestFit="1" customWidth="1"/>
    <col min="1655" max="1655" width="15.6328125" bestFit="1" customWidth="1"/>
    <col min="1656" max="1656" width="9.7265625" bestFit="1" customWidth="1"/>
    <col min="1657" max="1657" width="12.26953125" bestFit="1" customWidth="1"/>
    <col min="1658" max="1658" width="15.6328125" bestFit="1" customWidth="1"/>
    <col min="1659" max="1659" width="9.7265625" bestFit="1" customWidth="1"/>
    <col min="1660" max="1660" width="12.26953125" bestFit="1" customWidth="1"/>
    <col min="1661" max="1661" width="15.6328125" bestFit="1" customWidth="1"/>
    <col min="1662" max="1662" width="9.7265625" bestFit="1" customWidth="1"/>
    <col min="1663" max="1663" width="12.26953125" bestFit="1" customWidth="1"/>
    <col min="1664" max="1664" width="15.6328125" bestFit="1" customWidth="1"/>
    <col min="1665" max="1665" width="9.7265625" bestFit="1" customWidth="1"/>
    <col min="1666" max="1666" width="12.26953125" bestFit="1" customWidth="1"/>
    <col min="1667" max="1667" width="15.6328125" bestFit="1" customWidth="1"/>
    <col min="1668" max="1668" width="9.7265625" bestFit="1" customWidth="1"/>
    <col min="1669" max="1669" width="12.26953125" bestFit="1" customWidth="1"/>
    <col min="1670" max="1670" width="15.6328125" bestFit="1" customWidth="1"/>
    <col min="1671" max="1671" width="9.7265625" bestFit="1" customWidth="1"/>
    <col min="1672" max="1672" width="12.26953125" bestFit="1" customWidth="1"/>
    <col min="1673" max="1673" width="15.6328125" bestFit="1" customWidth="1"/>
    <col min="1674" max="1674" width="9.7265625" bestFit="1" customWidth="1"/>
    <col min="1675" max="1675" width="12.26953125" bestFit="1" customWidth="1"/>
    <col min="1676" max="1676" width="15.6328125" bestFit="1" customWidth="1"/>
    <col min="1677" max="1677" width="9.7265625" bestFit="1" customWidth="1"/>
    <col min="1678" max="1678" width="12.26953125" bestFit="1" customWidth="1"/>
    <col min="1679" max="1679" width="15.6328125" bestFit="1" customWidth="1"/>
    <col min="1680" max="1680" width="9.7265625" bestFit="1" customWidth="1"/>
    <col min="1681" max="1681" width="12.26953125" bestFit="1" customWidth="1"/>
    <col min="1682" max="1682" width="15.6328125" bestFit="1" customWidth="1"/>
    <col min="1683" max="1683" width="9.7265625" bestFit="1" customWidth="1"/>
    <col min="1684" max="1684" width="12.26953125" bestFit="1" customWidth="1"/>
    <col min="1685" max="1685" width="15.6328125" bestFit="1" customWidth="1"/>
    <col min="1686" max="1686" width="9.7265625" bestFit="1" customWidth="1"/>
    <col min="1687" max="1687" width="12.26953125" bestFit="1" customWidth="1"/>
    <col min="1688" max="1688" width="15.6328125" bestFit="1" customWidth="1"/>
    <col min="1689" max="1689" width="9.7265625" bestFit="1" customWidth="1"/>
    <col min="1690" max="1690" width="12.26953125" bestFit="1" customWidth="1"/>
    <col min="1691" max="1691" width="15.6328125" bestFit="1" customWidth="1"/>
    <col min="1692" max="1692" width="9.7265625" bestFit="1" customWidth="1"/>
    <col min="1693" max="1693" width="12.26953125" bestFit="1" customWidth="1"/>
    <col min="1694" max="1694" width="15.6328125" bestFit="1" customWidth="1"/>
    <col min="1695" max="1695" width="9.7265625" bestFit="1" customWidth="1"/>
    <col min="1696" max="1696" width="12.26953125" bestFit="1" customWidth="1"/>
    <col min="1697" max="1697" width="15.6328125" bestFit="1" customWidth="1"/>
    <col min="1698" max="1698" width="9.7265625" bestFit="1" customWidth="1"/>
    <col min="1699" max="1699" width="12.26953125" bestFit="1" customWidth="1"/>
    <col min="1700" max="1700" width="15.6328125" bestFit="1" customWidth="1"/>
    <col min="1701" max="1701" width="9.7265625" bestFit="1" customWidth="1"/>
    <col min="1702" max="1702" width="12.26953125" bestFit="1" customWidth="1"/>
    <col min="1703" max="1703" width="15.6328125" bestFit="1" customWidth="1"/>
    <col min="1704" max="1704" width="9.7265625" bestFit="1" customWidth="1"/>
    <col min="1705" max="1705" width="12.26953125" bestFit="1" customWidth="1"/>
    <col min="1706" max="1706" width="15.6328125" bestFit="1" customWidth="1"/>
    <col min="1707" max="1707" width="9.7265625" bestFit="1" customWidth="1"/>
    <col min="1708" max="1708" width="12.26953125" bestFit="1" customWidth="1"/>
    <col min="1709" max="1709" width="15.6328125" bestFit="1" customWidth="1"/>
    <col min="1710" max="1710" width="9.7265625" bestFit="1" customWidth="1"/>
    <col min="1711" max="1711" width="12.26953125" bestFit="1" customWidth="1"/>
    <col min="1712" max="1712" width="15.6328125" bestFit="1" customWidth="1"/>
    <col min="1713" max="1713" width="9.7265625" bestFit="1" customWidth="1"/>
    <col min="1714" max="1714" width="12.26953125" bestFit="1" customWidth="1"/>
    <col min="1715" max="1715" width="15.6328125" bestFit="1" customWidth="1"/>
    <col min="1716" max="1716" width="9.7265625" bestFit="1" customWidth="1"/>
    <col min="1717" max="1717" width="12.26953125" bestFit="1" customWidth="1"/>
    <col min="1718" max="1718" width="15.6328125" bestFit="1" customWidth="1"/>
    <col min="1719" max="1719" width="9.7265625" bestFit="1" customWidth="1"/>
    <col min="1720" max="1720" width="12.26953125" bestFit="1" customWidth="1"/>
    <col min="1721" max="1721" width="15.6328125" bestFit="1" customWidth="1"/>
    <col min="1722" max="1722" width="9.7265625" bestFit="1" customWidth="1"/>
    <col min="1723" max="1723" width="12.26953125" bestFit="1" customWidth="1"/>
    <col min="1724" max="1724" width="15.6328125" bestFit="1" customWidth="1"/>
    <col min="1725" max="1725" width="9.7265625" bestFit="1" customWidth="1"/>
    <col min="1726" max="1726" width="12.26953125" bestFit="1" customWidth="1"/>
    <col min="1727" max="1727" width="15.6328125" bestFit="1" customWidth="1"/>
    <col min="1728" max="1728" width="9.7265625" bestFit="1" customWidth="1"/>
    <col min="1729" max="1729" width="12.26953125" bestFit="1" customWidth="1"/>
    <col min="1730" max="1730" width="15.6328125" bestFit="1" customWidth="1"/>
    <col min="1731" max="1731" width="9.7265625" bestFit="1" customWidth="1"/>
    <col min="1732" max="1732" width="12.26953125" bestFit="1" customWidth="1"/>
    <col min="1733" max="1733" width="15.6328125" bestFit="1" customWidth="1"/>
    <col min="1734" max="1734" width="9.7265625" bestFit="1" customWidth="1"/>
    <col min="1735" max="1735" width="12.26953125" bestFit="1" customWidth="1"/>
    <col min="1736" max="1736" width="15.6328125" bestFit="1" customWidth="1"/>
    <col min="1737" max="1737" width="9.7265625" bestFit="1" customWidth="1"/>
    <col min="1738" max="1738" width="12.26953125" bestFit="1" customWidth="1"/>
    <col min="1739" max="1739" width="15.6328125" bestFit="1" customWidth="1"/>
    <col min="1740" max="1740" width="9.7265625" bestFit="1" customWidth="1"/>
    <col min="1741" max="1741" width="12.26953125" bestFit="1" customWidth="1"/>
    <col min="1742" max="1742" width="15.6328125" bestFit="1" customWidth="1"/>
    <col min="1743" max="1743" width="9.7265625" bestFit="1" customWidth="1"/>
    <col min="1744" max="1744" width="12.26953125" bestFit="1" customWidth="1"/>
    <col min="1745" max="1745" width="15.6328125" bestFit="1" customWidth="1"/>
    <col min="1746" max="1746" width="9.7265625" bestFit="1" customWidth="1"/>
    <col min="1747" max="1747" width="12.26953125" bestFit="1" customWidth="1"/>
    <col min="1748" max="1748" width="15.6328125" bestFit="1" customWidth="1"/>
    <col min="1749" max="1749" width="9.7265625" bestFit="1" customWidth="1"/>
    <col min="1750" max="1750" width="12.26953125" bestFit="1" customWidth="1"/>
    <col min="1751" max="1751" width="15.6328125" bestFit="1" customWidth="1"/>
    <col min="1752" max="1752" width="9.7265625" bestFit="1" customWidth="1"/>
    <col min="1753" max="1753" width="12.26953125" bestFit="1" customWidth="1"/>
    <col min="1754" max="1754" width="15.6328125" bestFit="1" customWidth="1"/>
    <col min="1755" max="1755" width="9.7265625" bestFit="1" customWidth="1"/>
    <col min="1756" max="1756" width="12.26953125" bestFit="1" customWidth="1"/>
    <col min="1757" max="1757" width="15.6328125" bestFit="1" customWidth="1"/>
    <col min="1758" max="1758" width="9.7265625" bestFit="1" customWidth="1"/>
    <col min="1759" max="1759" width="12.26953125" bestFit="1" customWidth="1"/>
    <col min="1760" max="1760" width="15.6328125" bestFit="1" customWidth="1"/>
    <col min="1761" max="1761" width="9.7265625" bestFit="1" customWidth="1"/>
    <col min="1762" max="1762" width="12.26953125" bestFit="1" customWidth="1"/>
    <col min="1763" max="1763" width="15.6328125" bestFit="1" customWidth="1"/>
    <col min="1764" max="1764" width="9.7265625" bestFit="1" customWidth="1"/>
    <col min="1765" max="1765" width="12.26953125" bestFit="1" customWidth="1"/>
    <col min="1766" max="1766" width="15.6328125" bestFit="1" customWidth="1"/>
    <col min="1767" max="1767" width="9.7265625" bestFit="1" customWidth="1"/>
    <col min="1768" max="1768" width="12.26953125" bestFit="1" customWidth="1"/>
    <col min="1769" max="1769" width="15.6328125" bestFit="1" customWidth="1"/>
    <col min="1770" max="1770" width="9.7265625" bestFit="1" customWidth="1"/>
    <col min="1771" max="1771" width="12.26953125" bestFit="1" customWidth="1"/>
    <col min="1772" max="1772" width="15.6328125" bestFit="1" customWidth="1"/>
    <col min="1773" max="1773" width="9.7265625" bestFit="1" customWidth="1"/>
    <col min="1774" max="1774" width="12.26953125" bestFit="1" customWidth="1"/>
    <col min="1775" max="1775" width="15.6328125" bestFit="1" customWidth="1"/>
    <col min="1776" max="1776" width="9.7265625" bestFit="1" customWidth="1"/>
    <col min="1777" max="1777" width="12.26953125" bestFit="1" customWidth="1"/>
    <col min="1778" max="1778" width="15.6328125" bestFit="1" customWidth="1"/>
    <col min="1779" max="1779" width="9.7265625" bestFit="1" customWidth="1"/>
    <col min="1780" max="1780" width="12.26953125" bestFit="1" customWidth="1"/>
    <col min="1781" max="1781" width="15.6328125" bestFit="1" customWidth="1"/>
    <col min="1782" max="1782" width="9.7265625" bestFit="1" customWidth="1"/>
    <col min="1783" max="1783" width="12.26953125" bestFit="1" customWidth="1"/>
    <col min="1784" max="1784" width="15.6328125" bestFit="1" customWidth="1"/>
    <col min="1785" max="1785" width="9.7265625" bestFit="1" customWidth="1"/>
    <col min="1786" max="1786" width="12.26953125" bestFit="1" customWidth="1"/>
    <col min="1787" max="1787" width="15.6328125" bestFit="1" customWidth="1"/>
    <col min="1788" max="1788" width="9.7265625" bestFit="1" customWidth="1"/>
    <col min="1789" max="1789" width="12.26953125" bestFit="1" customWidth="1"/>
    <col min="1790" max="1790" width="15.6328125" bestFit="1" customWidth="1"/>
    <col min="1791" max="1791" width="9.7265625" bestFit="1" customWidth="1"/>
    <col min="1792" max="1792" width="12.26953125" bestFit="1" customWidth="1"/>
    <col min="1793" max="1793" width="15.6328125" bestFit="1" customWidth="1"/>
    <col min="1794" max="1794" width="9.7265625" bestFit="1" customWidth="1"/>
    <col min="1795" max="1795" width="12.26953125" bestFit="1" customWidth="1"/>
    <col min="1796" max="1796" width="15.6328125" bestFit="1" customWidth="1"/>
    <col min="1797" max="1797" width="9.7265625" bestFit="1" customWidth="1"/>
    <col min="1798" max="1798" width="12.26953125" bestFit="1" customWidth="1"/>
    <col min="1799" max="1799" width="15.6328125" bestFit="1" customWidth="1"/>
    <col min="1800" max="1800" width="9.7265625" bestFit="1" customWidth="1"/>
    <col min="1801" max="1801" width="12.26953125" bestFit="1" customWidth="1"/>
    <col min="1802" max="1802" width="15.6328125" bestFit="1" customWidth="1"/>
    <col min="1803" max="1803" width="9.7265625" bestFit="1" customWidth="1"/>
    <col min="1804" max="1804" width="12.26953125" bestFit="1" customWidth="1"/>
    <col min="1805" max="1805" width="15.6328125" bestFit="1" customWidth="1"/>
    <col min="1806" max="1806" width="9.7265625" bestFit="1" customWidth="1"/>
    <col min="1807" max="1807" width="12.26953125" bestFit="1" customWidth="1"/>
    <col min="1808" max="1808" width="15.6328125" bestFit="1" customWidth="1"/>
    <col min="1809" max="1809" width="9.7265625" bestFit="1" customWidth="1"/>
    <col min="1810" max="1810" width="12.26953125" bestFit="1" customWidth="1"/>
    <col min="1811" max="1811" width="15.6328125" bestFit="1" customWidth="1"/>
    <col min="1812" max="1812" width="9.7265625" bestFit="1" customWidth="1"/>
    <col min="1813" max="1813" width="12.26953125" bestFit="1" customWidth="1"/>
    <col min="1814" max="1814" width="15.6328125" bestFit="1" customWidth="1"/>
    <col min="1815" max="1815" width="9.7265625" bestFit="1" customWidth="1"/>
    <col min="1816" max="1816" width="12.26953125" bestFit="1" customWidth="1"/>
    <col min="1817" max="1817" width="15.6328125" bestFit="1" customWidth="1"/>
    <col min="1818" max="1818" width="9.7265625" bestFit="1" customWidth="1"/>
    <col min="1819" max="1819" width="12.26953125" bestFit="1" customWidth="1"/>
    <col min="1820" max="1820" width="15.6328125" bestFit="1" customWidth="1"/>
    <col min="1821" max="1821" width="9.7265625" bestFit="1" customWidth="1"/>
    <col min="1822" max="1822" width="12.26953125" bestFit="1" customWidth="1"/>
    <col min="1823" max="1823" width="15.6328125" bestFit="1" customWidth="1"/>
    <col min="1824" max="1824" width="9.7265625" bestFit="1" customWidth="1"/>
    <col min="1825" max="1825" width="12.26953125" bestFit="1" customWidth="1"/>
    <col min="1826" max="1826" width="15.6328125" bestFit="1" customWidth="1"/>
    <col min="1827" max="1827" width="9.7265625" bestFit="1" customWidth="1"/>
    <col min="1828" max="1828" width="12.26953125" bestFit="1" customWidth="1"/>
    <col min="1829" max="1829" width="15.6328125" bestFit="1" customWidth="1"/>
    <col min="1830" max="1830" width="9.7265625" bestFit="1" customWidth="1"/>
    <col min="1831" max="1831" width="12.26953125" bestFit="1" customWidth="1"/>
    <col min="1832" max="1832" width="15.6328125" bestFit="1" customWidth="1"/>
    <col min="1833" max="1833" width="9.7265625" bestFit="1" customWidth="1"/>
    <col min="1834" max="1834" width="12.26953125" bestFit="1" customWidth="1"/>
    <col min="1835" max="1835" width="15.6328125" bestFit="1" customWidth="1"/>
    <col min="1836" max="1836" width="9.7265625" bestFit="1" customWidth="1"/>
    <col min="1837" max="1837" width="12.26953125" bestFit="1" customWidth="1"/>
    <col min="1838" max="1838" width="15.6328125" bestFit="1" customWidth="1"/>
    <col min="1839" max="1839" width="9.7265625" bestFit="1" customWidth="1"/>
    <col min="1840" max="1840" width="12.26953125" bestFit="1" customWidth="1"/>
    <col min="1841" max="1841" width="15.6328125" bestFit="1" customWidth="1"/>
    <col min="1842" max="1842" width="9.7265625" bestFit="1" customWidth="1"/>
    <col min="1843" max="1843" width="12.26953125" bestFit="1" customWidth="1"/>
    <col min="1844" max="1844" width="15.6328125" bestFit="1" customWidth="1"/>
    <col min="1845" max="1845" width="9.7265625" bestFit="1" customWidth="1"/>
    <col min="1846" max="1846" width="12.26953125" bestFit="1" customWidth="1"/>
    <col min="1847" max="1847" width="15.6328125" bestFit="1" customWidth="1"/>
    <col min="1848" max="1848" width="9.7265625" bestFit="1" customWidth="1"/>
    <col min="1849" max="1849" width="17.1796875" bestFit="1" customWidth="1"/>
    <col min="1850" max="1850" width="20.453125" bestFit="1" customWidth="1"/>
    <col min="1851" max="1851" width="14.54296875" bestFit="1" customWidth="1"/>
  </cols>
  <sheetData>
    <row r="1" spans="1:21" x14ac:dyDescent="0.35">
      <c r="A1" t="s">
        <v>0</v>
      </c>
      <c r="B1" s="38" t="s">
        <v>1</v>
      </c>
      <c r="C1" t="s">
        <v>2</v>
      </c>
      <c r="D1" t="s">
        <v>3</v>
      </c>
      <c r="E1" t="s">
        <v>4</v>
      </c>
      <c r="F1" t="s">
        <v>5</v>
      </c>
      <c r="G1" t="s">
        <v>6</v>
      </c>
      <c r="H1" t="s">
        <v>7</v>
      </c>
      <c r="I1" t="s">
        <v>8</v>
      </c>
      <c r="J1" t="s">
        <v>9</v>
      </c>
      <c r="K1" t="s">
        <v>10</v>
      </c>
      <c r="L1" t="s">
        <v>11</v>
      </c>
      <c r="M1" t="s">
        <v>12</v>
      </c>
      <c r="N1" t="s">
        <v>13</v>
      </c>
      <c r="O1" t="s">
        <v>14</v>
      </c>
      <c r="P1" t="s">
        <v>15</v>
      </c>
    </row>
    <row r="2" spans="1:21" x14ac:dyDescent="0.35">
      <c r="A2" s="21">
        <v>1</v>
      </c>
      <c r="B2" s="39">
        <v>40544</v>
      </c>
      <c r="C2" s="21">
        <v>1</v>
      </c>
      <c r="D2" s="21">
        <v>0</v>
      </c>
      <c r="E2" s="21">
        <v>1</v>
      </c>
      <c r="F2" s="21">
        <v>0</v>
      </c>
      <c r="G2" s="21" t="b">
        <v>0</v>
      </c>
      <c r="H2" s="21">
        <v>6</v>
      </c>
      <c r="I2" s="21">
        <v>1</v>
      </c>
      <c r="J2" s="21">
        <v>0.24</v>
      </c>
      <c r="K2" s="21">
        <v>0.28789999999999999</v>
      </c>
      <c r="L2" s="21">
        <v>0.81</v>
      </c>
      <c r="M2" s="21">
        <v>0</v>
      </c>
      <c r="N2" s="21">
        <v>3</v>
      </c>
      <c r="O2" s="21">
        <v>13</v>
      </c>
      <c r="P2" s="21">
        <v>16</v>
      </c>
      <c r="R2" s="41" t="s">
        <v>6</v>
      </c>
      <c r="S2" s="42" t="s">
        <v>55</v>
      </c>
    </row>
    <row r="3" spans="1:21" x14ac:dyDescent="0.35">
      <c r="A3" s="21">
        <v>2</v>
      </c>
      <c r="B3" s="39">
        <v>40544</v>
      </c>
      <c r="C3" s="21">
        <v>1</v>
      </c>
      <c r="D3" s="21">
        <v>0</v>
      </c>
      <c r="E3" s="21">
        <v>1</v>
      </c>
      <c r="F3" s="21">
        <v>1</v>
      </c>
      <c r="G3" s="21" t="b">
        <v>0</v>
      </c>
      <c r="H3" s="21">
        <v>6</v>
      </c>
      <c r="I3" s="21">
        <v>1</v>
      </c>
      <c r="J3" s="21">
        <v>0.22</v>
      </c>
      <c r="K3" s="21">
        <v>0.2727</v>
      </c>
      <c r="L3" s="21">
        <v>0.8</v>
      </c>
      <c r="M3" s="21">
        <v>0</v>
      </c>
      <c r="N3" s="21">
        <v>8</v>
      </c>
      <c r="O3" s="21">
        <v>32</v>
      </c>
      <c r="P3" s="21">
        <v>40</v>
      </c>
      <c r="R3" s="41" t="s">
        <v>0</v>
      </c>
      <c r="S3" s="42" t="s">
        <v>55</v>
      </c>
    </row>
    <row r="4" spans="1:21" x14ac:dyDescent="0.35">
      <c r="A4" s="21">
        <v>3</v>
      </c>
      <c r="B4" s="39">
        <v>40544</v>
      </c>
      <c r="C4" s="21">
        <v>1</v>
      </c>
      <c r="D4" s="21">
        <v>0</v>
      </c>
      <c r="E4" s="21">
        <v>1</v>
      </c>
      <c r="F4" s="21">
        <v>2</v>
      </c>
      <c r="G4" s="21" t="b">
        <v>0</v>
      </c>
      <c r="H4" s="21">
        <v>6</v>
      </c>
      <c r="I4" s="21">
        <v>1</v>
      </c>
      <c r="J4" s="21">
        <v>0.22</v>
      </c>
      <c r="K4" s="21">
        <v>0.2727</v>
      </c>
      <c r="L4" s="21">
        <v>0.8</v>
      </c>
      <c r="M4" s="21">
        <v>0</v>
      </c>
      <c r="N4" s="21">
        <v>5</v>
      </c>
      <c r="O4" s="21">
        <v>27</v>
      </c>
      <c r="P4" s="21">
        <v>32</v>
      </c>
    </row>
    <row r="5" spans="1:21" x14ac:dyDescent="0.35">
      <c r="A5" s="21">
        <v>4</v>
      </c>
      <c r="B5" s="39">
        <v>40544</v>
      </c>
      <c r="C5" s="21">
        <v>1</v>
      </c>
      <c r="D5" s="21">
        <v>0</v>
      </c>
      <c r="E5" s="21">
        <v>1</v>
      </c>
      <c r="F5" s="21">
        <v>3</v>
      </c>
      <c r="G5" s="21" t="b">
        <v>0</v>
      </c>
      <c r="H5" s="21">
        <v>6</v>
      </c>
      <c r="I5" s="21">
        <v>1</v>
      </c>
      <c r="J5" s="21">
        <v>0.24</v>
      </c>
      <c r="K5" s="21">
        <v>0.28789999999999999</v>
      </c>
      <c r="L5" s="21">
        <v>0.75</v>
      </c>
      <c r="M5" s="21">
        <v>0</v>
      </c>
      <c r="N5" s="21">
        <v>3</v>
      </c>
      <c r="O5" s="21">
        <v>10</v>
      </c>
      <c r="P5" s="21">
        <v>13</v>
      </c>
      <c r="R5" s="41" t="s">
        <v>53</v>
      </c>
      <c r="S5" s="42" t="s">
        <v>58</v>
      </c>
      <c r="T5" s="42" t="s">
        <v>56</v>
      </c>
      <c r="U5" s="42" t="s">
        <v>57</v>
      </c>
    </row>
    <row r="6" spans="1:21" x14ac:dyDescent="0.35">
      <c r="A6" s="21">
        <v>5</v>
      </c>
      <c r="B6" s="39">
        <v>40544</v>
      </c>
      <c r="C6" s="21">
        <v>1</v>
      </c>
      <c r="D6" s="21">
        <v>0</v>
      </c>
      <c r="E6" s="21">
        <v>1</v>
      </c>
      <c r="F6" s="21">
        <v>4</v>
      </c>
      <c r="G6" s="21" t="b">
        <v>0</v>
      </c>
      <c r="H6" s="21">
        <v>6</v>
      </c>
      <c r="I6" s="21">
        <v>1</v>
      </c>
      <c r="J6" s="21">
        <v>0.24</v>
      </c>
      <c r="K6" s="21">
        <v>0.28789999999999999</v>
      </c>
      <c r="L6" s="21">
        <v>0.75</v>
      </c>
      <c r="M6" s="21">
        <v>0</v>
      </c>
      <c r="N6" s="21">
        <v>0</v>
      </c>
      <c r="O6" s="21">
        <v>1</v>
      </c>
      <c r="P6" s="21">
        <v>1</v>
      </c>
      <c r="R6" s="43">
        <v>40544</v>
      </c>
      <c r="S6" s="44">
        <v>331</v>
      </c>
      <c r="T6" s="44">
        <v>654</v>
      </c>
      <c r="U6" s="44">
        <v>985</v>
      </c>
    </row>
    <row r="7" spans="1:21" x14ac:dyDescent="0.35">
      <c r="A7" s="21">
        <v>6</v>
      </c>
      <c r="B7" s="39">
        <v>40544</v>
      </c>
      <c r="C7" s="21">
        <v>1</v>
      </c>
      <c r="D7" s="21">
        <v>0</v>
      </c>
      <c r="E7" s="21">
        <v>1</v>
      </c>
      <c r="F7" s="21">
        <v>5</v>
      </c>
      <c r="G7" s="21" t="b">
        <v>0</v>
      </c>
      <c r="H7" s="21">
        <v>6</v>
      </c>
      <c r="I7" s="21">
        <v>2</v>
      </c>
      <c r="J7" s="21">
        <v>0.24</v>
      </c>
      <c r="K7" s="21">
        <v>0.2576</v>
      </c>
      <c r="L7" s="21">
        <v>0.75</v>
      </c>
      <c r="M7" s="21">
        <v>8.9599999999999999E-2</v>
      </c>
      <c r="N7" s="21">
        <v>0</v>
      </c>
      <c r="O7" s="21">
        <v>1</v>
      </c>
      <c r="P7" s="21">
        <v>1</v>
      </c>
      <c r="R7" s="43">
        <v>40545</v>
      </c>
      <c r="S7" s="44">
        <v>131</v>
      </c>
      <c r="T7" s="44">
        <v>670</v>
      </c>
      <c r="U7" s="44">
        <v>801</v>
      </c>
    </row>
    <row r="8" spans="1:21" x14ac:dyDescent="0.35">
      <c r="A8" s="21">
        <v>7</v>
      </c>
      <c r="B8" s="39">
        <v>40544</v>
      </c>
      <c r="C8" s="21">
        <v>1</v>
      </c>
      <c r="D8" s="21">
        <v>0</v>
      </c>
      <c r="E8" s="21">
        <v>1</v>
      </c>
      <c r="F8" s="21">
        <v>6</v>
      </c>
      <c r="G8" s="21" t="b">
        <v>0</v>
      </c>
      <c r="H8" s="21">
        <v>6</v>
      </c>
      <c r="I8" s="21">
        <v>1</v>
      </c>
      <c r="J8" s="21">
        <v>0.22</v>
      </c>
      <c r="K8" s="21">
        <v>0.2727</v>
      </c>
      <c r="L8" s="21">
        <v>0.8</v>
      </c>
      <c r="M8" s="21">
        <v>0</v>
      </c>
      <c r="N8" s="21">
        <v>2</v>
      </c>
      <c r="O8" s="21">
        <v>0</v>
      </c>
      <c r="P8" s="21">
        <v>2</v>
      </c>
      <c r="R8" s="43">
        <v>40546</v>
      </c>
      <c r="S8" s="44">
        <v>120</v>
      </c>
      <c r="T8" s="44">
        <v>1229</v>
      </c>
      <c r="U8" s="44">
        <v>1349</v>
      </c>
    </row>
    <row r="9" spans="1:21" x14ac:dyDescent="0.35">
      <c r="A9" s="21">
        <v>8</v>
      </c>
      <c r="B9" s="39">
        <v>40544</v>
      </c>
      <c r="C9" s="21">
        <v>1</v>
      </c>
      <c r="D9" s="21">
        <v>0</v>
      </c>
      <c r="E9" s="21">
        <v>1</v>
      </c>
      <c r="F9" s="21">
        <v>7</v>
      </c>
      <c r="G9" s="21" t="b">
        <v>0</v>
      </c>
      <c r="H9" s="21">
        <v>6</v>
      </c>
      <c r="I9" s="21">
        <v>1</v>
      </c>
      <c r="J9" s="21">
        <v>0.2</v>
      </c>
      <c r="K9" s="21">
        <v>0.2576</v>
      </c>
      <c r="L9" s="21">
        <v>0.86</v>
      </c>
      <c r="M9" s="21">
        <v>0</v>
      </c>
      <c r="N9" s="21">
        <v>1</v>
      </c>
      <c r="O9" s="21">
        <v>2</v>
      </c>
      <c r="P9" s="21">
        <v>3</v>
      </c>
      <c r="R9" s="43">
        <v>40547</v>
      </c>
      <c r="S9" s="44">
        <v>108</v>
      </c>
      <c r="T9" s="44">
        <v>1454</v>
      </c>
      <c r="U9" s="44">
        <v>1562</v>
      </c>
    </row>
    <row r="10" spans="1:21" x14ac:dyDescent="0.35">
      <c r="A10" s="21">
        <v>9</v>
      </c>
      <c r="B10" s="39">
        <v>40544</v>
      </c>
      <c r="C10" s="21">
        <v>1</v>
      </c>
      <c r="D10" s="21">
        <v>0</v>
      </c>
      <c r="E10" s="21">
        <v>1</v>
      </c>
      <c r="F10" s="21">
        <v>8</v>
      </c>
      <c r="G10" s="21" t="b">
        <v>0</v>
      </c>
      <c r="H10" s="21">
        <v>6</v>
      </c>
      <c r="I10" s="21">
        <v>1</v>
      </c>
      <c r="J10" s="21">
        <v>0.24</v>
      </c>
      <c r="K10" s="21">
        <v>0</v>
      </c>
      <c r="L10" s="21">
        <v>0.75</v>
      </c>
      <c r="M10" s="21">
        <v>0</v>
      </c>
      <c r="N10" s="21">
        <v>1</v>
      </c>
      <c r="O10" s="21">
        <v>7</v>
      </c>
      <c r="P10" s="21">
        <v>8</v>
      </c>
      <c r="R10" s="43">
        <v>40548</v>
      </c>
      <c r="S10" s="44">
        <v>82</v>
      </c>
      <c r="T10" s="44">
        <v>1518</v>
      </c>
      <c r="U10" s="44">
        <v>1600</v>
      </c>
    </row>
    <row r="11" spans="1:21" x14ac:dyDescent="0.35">
      <c r="A11" s="21">
        <v>10</v>
      </c>
      <c r="B11" s="39">
        <v>40544</v>
      </c>
      <c r="C11" s="21">
        <v>1</v>
      </c>
      <c r="D11" s="21">
        <v>0</v>
      </c>
      <c r="E11" s="21">
        <v>1</v>
      </c>
      <c r="F11" s="21">
        <v>9</v>
      </c>
      <c r="G11" s="21" t="b">
        <v>0</v>
      </c>
      <c r="H11" s="21">
        <v>6</v>
      </c>
      <c r="I11" s="21">
        <v>1</v>
      </c>
      <c r="J11" s="21">
        <v>0.32</v>
      </c>
      <c r="K11" s="21">
        <v>0.34849999999999998</v>
      </c>
      <c r="L11" s="21">
        <v>0.76</v>
      </c>
      <c r="M11" s="21">
        <v>0</v>
      </c>
      <c r="N11" s="21">
        <v>8</v>
      </c>
      <c r="O11" s="21">
        <v>6</v>
      </c>
      <c r="P11" s="21">
        <v>14</v>
      </c>
      <c r="R11" s="43">
        <v>40549</v>
      </c>
      <c r="S11" s="44">
        <v>88</v>
      </c>
      <c r="T11" s="44">
        <v>1518</v>
      </c>
      <c r="U11" s="44">
        <v>1606</v>
      </c>
    </row>
    <row r="12" spans="1:21" x14ac:dyDescent="0.35">
      <c r="A12" s="21">
        <v>11</v>
      </c>
      <c r="B12" s="39">
        <v>40544</v>
      </c>
      <c r="C12" s="21">
        <v>1</v>
      </c>
      <c r="D12" s="21">
        <v>0</v>
      </c>
      <c r="E12" s="21">
        <v>1</v>
      </c>
      <c r="F12" s="21">
        <v>10</v>
      </c>
      <c r="G12" s="21" t="b">
        <v>0</v>
      </c>
      <c r="H12" s="21">
        <v>6</v>
      </c>
      <c r="I12" s="21">
        <v>1</v>
      </c>
      <c r="J12" s="21">
        <v>0.38</v>
      </c>
      <c r="K12" s="21">
        <v>0.39389999999999997</v>
      </c>
      <c r="L12" s="21">
        <v>0.76</v>
      </c>
      <c r="M12" s="21">
        <v>0.25369999999999998</v>
      </c>
      <c r="N12" s="21">
        <v>12</v>
      </c>
      <c r="O12" s="21">
        <v>24</v>
      </c>
      <c r="P12" s="21">
        <v>36</v>
      </c>
      <c r="R12" s="43">
        <v>40550</v>
      </c>
      <c r="S12" s="44">
        <v>148</v>
      </c>
      <c r="T12" s="44">
        <v>1362</v>
      </c>
      <c r="U12" s="44">
        <v>1510</v>
      </c>
    </row>
    <row r="13" spans="1:21" x14ac:dyDescent="0.35">
      <c r="A13" s="21">
        <v>12</v>
      </c>
      <c r="B13" s="39">
        <v>40544</v>
      </c>
      <c r="C13" s="21">
        <v>1</v>
      </c>
      <c r="D13" s="21">
        <v>0</v>
      </c>
      <c r="E13" s="21">
        <v>1</v>
      </c>
      <c r="F13" s="21">
        <v>11</v>
      </c>
      <c r="G13" s="21" t="b">
        <v>0</v>
      </c>
      <c r="H13" s="21">
        <v>6</v>
      </c>
      <c r="I13" s="21">
        <v>1</v>
      </c>
      <c r="J13" s="21">
        <v>0.36</v>
      </c>
      <c r="K13" s="21">
        <v>0.33329999999999999</v>
      </c>
      <c r="L13" s="21">
        <v>0.81</v>
      </c>
      <c r="M13" s="21">
        <v>0.28360000000000002</v>
      </c>
      <c r="N13" s="21">
        <v>26</v>
      </c>
      <c r="O13" s="21">
        <v>30</v>
      </c>
      <c r="P13" s="21">
        <v>56</v>
      </c>
      <c r="R13" s="43">
        <v>40551</v>
      </c>
      <c r="S13" s="44">
        <v>68</v>
      </c>
      <c r="T13" s="44">
        <v>891</v>
      </c>
      <c r="U13" s="44">
        <v>959</v>
      </c>
    </row>
    <row r="14" spans="1:21" x14ac:dyDescent="0.35">
      <c r="A14" s="21">
        <v>13</v>
      </c>
      <c r="B14" s="39">
        <v>40544</v>
      </c>
      <c r="C14" s="21">
        <v>1</v>
      </c>
      <c r="D14" s="21">
        <v>0</v>
      </c>
      <c r="E14" s="21">
        <v>1</v>
      </c>
      <c r="F14" s="21">
        <v>12</v>
      </c>
      <c r="G14" s="21" t="b">
        <v>0</v>
      </c>
      <c r="H14" s="21">
        <v>6</v>
      </c>
      <c r="I14" s="21">
        <v>1</v>
      </c>
      <c r="J14" s="21">
        <v>0.42</v>
      </c>
      <c r="K14" s="21">
        <v>0.42420000000000002</v>
      </c>
      <c r="L14" s="21">
        <v>0.77</v>
      </c>
      <c r="M14" s="21">
        <v>0.28360000000000002</v>
      </c>
      <c r="N14" s="21">
        <v>29</v>
      </c>
      <c r="O14" s="21">
        <v>55</v>
      </c>
      <c r="P14" s="21">
        <v>84</v>
      </c>
      <c r="R14" s="43">
        <v>40552</v>
      </c>
      <c r="S14" s="44">
        <v>54</v>
      </c>
      <c r="T14" s="44">
        <v>768</v>
      </c>
      <c r="U14" s="44">
        <v>822</v>
      </c>
    </row>
    <row r="15" spans="1:21" x14ac:dyDescent="0.35">
      <c r="A15" s="21">
        <v>14</v>
      </c>
      <c r="B15" s="39">
        <v>40544</v>
      </c>
      <c r="C15" s="21">
        <v>1</v>
      </c>
      <c r="D15" s="21">
        <v>0</v>
      </c>
      <c r="E15" s="21">
        <v>1</v>
      </c>
      <c r="F15" s="21">
        <v>13</v>
      </c>
      <c r="G15" s="21" t="b">
        <v>0</v>
      </c>
      <c r="H15" s="21">
        <v>6</v>
      </c>
      <c r="I15" s="21">
        <v>2</v>
      </c>
      <c r="J15" s="21">
        <v>0.46</v>
      </c>
      <c r="K15" s="21">
        <v>0.45450000000000002</v>
      </c>
      <c r="L15" s="21">
        <v>0.72</v>
      </c>
      <c r="M15" s="21">
        <v>0.29849999999999999</v>
      </c>
      <c r="N15" s="21">
        <v>47</v>
      </c>
      <c r="O15" s="21">
        <v>47</v>
      </c>
      <c r="P15" s="21">
        <v>94</v>
      </c>
      <c r="R15" s="43">
        <v>40553</v>
      </c>
      <c r="S15" s="44">
        <v>41</v>
      </c>
      <c r="T15" s="44">
        <v>1280</v>
      </c>
      <c r="U15" s="44">
        <v>1321</v>
      </c>
    </row>
    <row r="16" spans="1:21" x14ac:dyDescent="0.35">
      <c r="A16" s="21">
        <v>15</v>
      </c>
      <c r="B16" s="39">
        <v>40544</v>
      </c>
      <c r="C16" s="21">
        <v>1</v>
      </c>
      <c r="D16" s="21">
        <v>0</v>
      </c>
      <c r="E16" s="21">
        <v>1</v>
      </c>
      <c r="F16" s="21">
        <v>14</v>
      </c>
      <c r="G16" s="21" t="b">
        <v>0</v>
      </c>
      <c r="H16" s="21">
        <v>6</v>
      </c>
      <c r="I16" s="21">
        <v>2</v>
      </c>
      <c r="J16" s="21">
        <v>0.46</v>
      </c>
      <c r="K16" s="21">
        <v>0.45450000000000002</v>
      </c>
      <c r="L16" s="21">
        <v>0.72</v>
      </c>
      <c r="M16" s="21">
        <v>0.28360000000000002</v>
      </c>
      <c r="N16" s="21">
        <v>35</v>
      </c>
      <c r="O16" s="21">
        <v>71</v>
      </c>
      <c r="P16" s="21">
        <v>106</v>
      </c>
      <c r="R16" s="43">
        <v>40554</v>
      </c>
      <c r="S16" s="44">
        <v>43</v>
      </c>
      <c r="T16" s="44">
        <v>1220</v>
      </c>
      <c r="U16" s="44">
        <v>1263</v>
      </c>
    </row>
    <row r="17" spans="1:21" x14ac:dyDescent="0.35">
      <c r="A17" s="21">
        <v>16</v>
      </c>
      <c r="B17" s="39">
        <v>40544</v>
      </c>
      <c r="C17" s="21">
        <v>1</v>
      </c>
      <c r="D17" s="21">
        <v>0</v>
      </c>
      <c r="E17" s="21">
        <v>1</v>
      </c>
      <c r="F17" s="21">
        <v>15</v>
      </c>
      <c r="G17" s="21" t="b">
        <v>0</v>
      </c>
      <c r="H17" s="21">
        <v>6</v>
      </c>
      <c r="I17" s="21">
        <v>2</v>
      </c>
      <c r="J17" s="21">
        <v>0.44</v>
      </c>
      <c r="K17" s="21">
        <v>0.43940000000000001</v>
      </c>
      <c r="L17" s="21">
        <v>0.77</v>
      </c>
      <c r="M17" s="21">
        <v>0.29849999999999999</v>
      </c>
      <c r="N17" s="21">
        <v>40</v>
      </c>
      <c r="O17" s="21">
        <v>70</v>
      </c>
      <c r="P17" s="21">
        <v>110</v>
      </c>
      <c r="R17" s="43">
        <v>40555</v>
      </c>
      <c r="S17" s="44">
        <v>25</v>
      </c>
      <c r="T17" s="44">
        <v>1137</v>
      </c>
      <c r="U17" s="44">
        <v>1162</v>
      </c>
    </row>
    <row r="18" spans="1:21" x14ac:dyDescent="0.35">
      <c r="A18" s="21">
        <v>17</v>
      </c>
      <c r="B18" s="39">
        <v>40544</v>
      </c>
      <c r="C18" s="21">
        <v>1</v>
      </c>
      <c r="D18" s="21">
        <v>0</v>
      </c>
      <c r="E18" s="21">
        <v>1</v>
      </c>
      <c r="F18" s="21">
        <v>16</v>
      </c>
      <c r="G18" s="21" t="b">
        <v>0</v>
      </c>
      <c r="H18" s="21">
        <v>6</v>
      </c>
      <c r="I18" s="21">
        <v>2</v>
      </c>
      <c r="J18" s="21">
        <v>0.42</v>
      </c>
      <c r="K18" s="21">
        <v>0.42420000000000002</v>
      </c>
      <c r="L18" s="21">
        <v>0.82</v>
      </c>
      <c r="M18" s="21">
        <v>0.29849999999999999</v>
      </c>
      <c r="N18" s="21">
        <v>41</v>
      </c>
      <c r="O18" s="21">
        <v>52</v>
      </c>
      <c r="P18" s="21">
        <v>93</v>
      </c>
      <c r="R18" s="43">
        <v>40556</v>
      </c>
      <c r="S18" s="44">
        <v>38</v>
      </c>
      <c r="T18" s="44">
        <v>1368</v>
      </c>
      <c r="U18" s="44">
        <v>1406</v>
      </c>
    </row>
    <row r="19" spans="1:21" x14ac:dyDescent="0.35">
      <c r="A19" s="21">
        <v>18</v>
      </c>
      <c r="B19" s="39">
        <v>40544</v>
      </c>
      <c r="C19" s="21">
        <v>1</v>
      </c>
      <c r="D19" s="21">
        <v>0</v>
      </c>
      <c r="E19" s="21">
        <v>1</v>
      </c>
      <c r="F19" s="21">
        <v>17</v>
      </c>
      <c r="G19" s="21" t="b">
        <v>0</v>
      </c>
      <c r="H19" s="21">
        <v>6</v>
      </c>
      <c r="I19" s="21">
        <v>2</v>
      </c>
      <c r="J19" s="21">
        <v>0.44</v>
      </c>
      <c r="K19" s="21">
        <v>0</v>
      </c>
      <c r="L19" s="21">
        <v>0.82</v>
      </c>
      <c r="M19" s="21">
        <v>0.28360000000000002</v>
      </c>
      <c r="N19" s="21">
        <v>15</v>
      </c>
      <c r="O19" s="21">
        <v>52</v>
      </c>
      <c r="P19" s="21">
        <v>67</v>
      </c>
      <c r="R19" s="43">
        <v>40557</v>
      </c>
      <c r="S19" s="44">
        <v>54</v>
      </c>
      <c r="T19" s="44">
        <v>1367</v>
      </c>
      <c r="U19" s="44">
        <v>1421</v>
      </c>
    </row>
    <row r="20" spans="1:21" x14ac:dyDescent="0.35">
      <c r="A20" s="21">
        <v>19</v>
      </c>
      <c r="B20" s="39">
        <v>40544</v>
      </c>
      <c r="C20" s="21">
        <v>1</v>
      </c>
      <c r="D20" s="21">
        <v>0</v>
      </c>
      <c r="E20" s="21">
        <v>1</v>
      </c>
      <c r="F20" s="21">
        <v>18</v>
      </c>
      <c r="G20" s="21" t="b">
        <v>0</v>
      </c>
      <c r="H20" s="21">
        <v>6</v>
      </c>
      <c r="I20" s="21">
        <v>3</v>
      </c>
      <c r="J20" s="21">
        <v>0.42</v>
      </c>
      <c r="K20" s="21">
        <v>0.42420000000000002</v>
      </c>
      <c r="L20" s="21">
        <v>0.88</v>
      </c>
      <c r="M20" s="21">
        <v>0.25369999999999998</v>
      </c>
      <c r="N20" s="21">
        <v>9</v>
      </c>
      <c r="O20" s="21">
        <v>26</v>
      </c>
      <c r="P20" s="21">
        <v>35</v>
      </c>
      <c r="R20" s="43">
        <v>40558</v>
      </c>
      <c r="S20" s="44">
        <v>222</v>
      </c>
      <c r="T20" s="44">
        <v>1026</v>
      </c>
      <c r="U20" s="44">
        <v>1248</v>
      </c>
    </row>
    <row r="21" spans="1:21" x14ac:dyDescent="0.35">
      <c r="A21" s="21">
        <v>20</v>
      </c>
      <c r="B21" s="39">
        <v>40544</v>
      </c>
      <c r="C21" s="21">
        <v>1</v>
      </c>
      <c r="D21" s="21">
        <v>0</v>
      </c>
      <c r="E21" s="21">
        <v>1</v>
      </c>
      <c r="F21" s="21">
        <v>19</v>
      </c>
      <c r="G21" s="21" t="b">
        <v>0</v>
      </c>
      <c r="H21" s="21">
        <v>6</v>
      </c>
      <c r="I21" s="21">
        <v>3</v>
      </c>
      <c r="J21" s="21">
        <v>0.42</v>
      </c>
      <c r="K21" s="21">
        <v>0.42420000000000002</v>
      </c>
      <c r="L21" s="21">
        <v>0.88</v>
      </c>
      <c r="M21" s="21">
        <v>0.25369999999999998</v>
      </c>
      <c r="N21" s="21">
        <v>6</v>
      </c>
      <c r="O21" s="21">
        <v>31</v>
      </c>
      <c r="P21" s="21">
        <v>37</v>
      </c>
      <c r="R21" s="43">
        <v>40559</v>
      </c>
      <c r="S21" s="44">
        <v>251</v>
      </c>
      <c r="T21" s="44">
        <v>953</v>
      </c>
      <c r="U21" s="44">
        <v>1204</v>
      </c>
    </row>
    <row r="22" spans="1:21" x14ac:dyDescent="0.35">
      <c r="A22" s="21">
        <v>21</v>
      </c>
      <c r="B22" s="39">
        <v>40544</v>
      </c>
      <c r="C22" s="21">
        <v>1</v>
      </c>
      <c r="D22" s="21">
        <v>0</v>
      </c>
      <c r="E22" s="21">
        <v>1</v>
      </c>
      <c r="F22" s="21">
        <v>20</v>
      </c>
      <c r="G22" s="21" t="b">
        <v>0</v>
      </c>
      <c r="H22" s="21">
        <v>6</v>
      </c>
      <c r="I22" s="21">
        <v>2</v>
      </c>
      <c r="J22" s="21">
        <v>0.4</v>
      </c>
      <c r="K22" s="21">
        <v>0.40910000000000002</v>
      </c>
      <c r="L22" s="21">
        <v>0.87</v>
      </c>
      <c r="M22" s="21">
        <v>0.25369999999999998</v>
      </c>
      <c r="N22" s="21">
        <v>11</v>
      </c>
      <c r="O22" s="21">
        <v>25</v>
      </c>
      <c r="P22" s="21">
        <v>36</v>
      </c>
      <c r="R22" s="43">
        <v>40560</v>
      </c>
      <c r="S22" s="44">
        <v>117</v>
      </c>
      <c r="T22" s="44">
        <v>883</v>
      </c>
      <c r="U22" s="44">
        <v>1000</v>
      </c>
    </row>
    <row r="23" spans="1:21" x14ac:dyDescent="0.35">
      <c r="A23" s="21">
        <v>22</v>
      </c>
      <c r="B23" s="39">
        <v>40544</v>
      </c>
      <c r="C23" s="21">
        <v>1</v>
      </c>
      <c r="D23" s="21">
        <v>0</v>
      </c>
      <c r="E23" s="21">
        <v>1</v>
      </c>
      <c r="F23" s="21">
        <v>21</v>
      </c>
      <c r="G23" s="21" t="b">
        <v>0</v>
      </c>
      <c r="H23" s="21">
        <v>6</v>
      </c>
      <c r="I23" s="21">
        <v>2</v>
      </c>
      <c r="J23" s="21">
        <v>0.4</v>
      </c>
      <c r="K23" s="21">
        <v>0.40910000000000002</v>
      </c>
      <c r="L23" s="21">
        <v>0.87</v>
      </c>
      <c r="M23" s="21">
        <v>0.19400000000000001</v>
      </c>
      <c r="N23" s="21">
        <v>3</v>
      </c>
      <c r="O23" s="21">
        <v>31</v>
      </c>
      <c r="P23" s="21">
        <v>34</v>
      </c>
      <c r="R23" s="43">
        <v>40561</v>
      </c>
      <c r="S23" s="44">
        <v>9</v>
      </c>
      <c r="T23" s="44">
        <v>674</v>
      </c>
      <c r="U23" s="44">
        <v>683</v>
      </c>
    </row>
    <row r="24" spans="1:21" x14ac:dyDescent="0.35">
      <c r="A24" s="21">
        <v>23</v>
      </c>
      <c r="B24" s="39">
        <v>40544</v>
      </c>
      <c r="C24" s="21">
        <v>1</v>
      </c>
      <c r="D24" s="21">
        <v>0</v>
      </c>
      <c r="E24" s="21">
        <v>1</v>
      </c>
      <c r="F24" s="21">
        <v>22</v>
      </c>
      <c r="G24" s="21" t="b">
        <v>0</v>
      </c>
      <c r="H24" s="21">
        <v>6</v>
      </c>
      <c r="I24" s="21">
        <v>2</v>
      </c>
      <c r="J24" s="21">
        <v>0.4</v>
      </c>
      <c r="K24" s="21">
        <v>0.40910000000000002</v>
      </c>
      <c r="L24" s="21">
        <v>0.94</v>
      </c>
      <c r="M24" s="21">
        <v>0.22389999999999999</v>
      </c>
      <c r="N24" s="21">
        <v>11</v>
      </c>
      <c r="O24" s="21">
        <v>17</v>
      </c>
      <c r="P24" s="21">
        <v>28</v>
      </c>
      <c r="R24" s="43">
        <v>40562</v>
      </c>
      <c r="S24" s="44">
        <v>78</v>
      </c>
      <c r="T24" s="44">
        <v>1572</v>
      </c>
      <c r="U24" s="44">
        <v>1650</v>
      </c>
    </row>
    <row r="25" spans="1:21" x14ac:dyDescent="0.35">
      <c r="A25" s="21">
        <v>24</v>
      </c>
      <c r="B25" s="39">
        <v>40544</v>
      </c>
      <c r="C25" s="21">
        <v>1</v>
      </c>
      <c r="D25" s="21">
        <v>0</v>
      </c>
      <c r="E25" s="21">
        <v>1</v>
      </c>
      <c r="F25" s="21">
        <v>23</v>
      </c>
      <c r="G25" s="21" t="b">
        <v>0</v>
      </c>
      <c r="H25" s="21">
        <v>6</v>
      </c>
      <c r="I25" s="21">
        <v>2</v>
      </c>
      <c r="J25" s="21">
        <v>0.46</v>
      </c>
      <c r="K25" s="21">
        <v>0</v>
      </c>
      <c r="L25" s="21">
        <v>0.88</v>
      </c>
      <c r="M25" s="21">
        <v>0.29849999999999999</v>
      </c>
      <c r="N25" s="21">
        <v>15</v>
      </c>
      <c r="O25" s="21">
        <v>24</v>
      </c>
      <c r="P25" s="21">
        <v>39</v>
      </c>
      <c r="R25" s="43">
        <v>40563</v>
      </c>
      <c r="S25" s="44">
        <v>83</v>
      </c>
      <c r="T25" s="44">
        <v>1844</v>
      </c>
      <c r="U25" s="44">
        <v>1927</v>
      </c>
    </row>
    <row r="26" spans="1:21" x14ac:dyDescent="0.35">
      <c r="A26" s="21">
        <v>25</v>
      </c>
      <c r="B26" s="39">
        <v>40545</v>
      </c>
      <c r="C26" s="21">
        <v>1</v>
      </c>
      <c r="D26" s="21">
        <v>0</v>
      </c>
      <c r="E26" s="21">
        <v>1</v>
      </c>
      <c r="F26" s="21">
        <v>0</v>
      </c>
      <c r="G26" s="21" t="b">
        <v>0</v>
      </c>
      <c r="H26" s="21">
        <v>0</v>
      </c>
      <c r="I26" s="21">
        <v>2</v>
      </c>
      <c r="J26" s="21">
        <v>0.46</v>
      </c>
      <c r="K26" s="21">
        <v>0.45450000000000002</v>
      </c>
      <c r="L26" s="21">
        <v>0.88</v>
      </c>
      <c r="M26" s="21">
        <v>0.29849999999999999</v>
      </c>
      <c r="N26" s="21">
        <v>4</v>
      </c>
      <c r="O26" s="21">
        <v>13</v>
      </c>
      <c r="P26" s="21">
        <v>17</v>
      </c>
      <c r="R26" s="43">
        <v>40564</v>
      </c>
      <c r="S26" s="44">
        <v>75</v>
      </c>
      <c r="T26" s="44">
        <v>1468</v>
      </c>
      <c r="U26" s="44">
        <v>1543</v>
      </c>
    </row>
    <row r="27" spans="1:21" x14ac:dyDescent="0.35">
      <c r="A27" s="21">
        <v>26</v>
      </c>
      <c r="B27" s="39">
        <v>40545</v>
      </c>
      <c r="C27" s="21">
        <v>1</v>
      </c>
      <c r="D27" s="21">
        <v>0</v>
      </c>
      <c r="E27" s="21">
        <v>1</v>
      </c>
      <c r="F27" s="21">
        <v>1</v>
      </c>
      <c r="G27" s="21" t="b">
        <v>0</v>
      </c>
      <c r="H27" s="21">
        <v>0</v>
      </c>
      <c r="I27" s="21">
        <v>2</v>
      </c>
      <c r="J27" s="21">
        <v>0.44</v>
      </c>
      <c r="K27" s="21">
        <v>0.43940000000000001</v>
      </c>
      <c r="L27" s="21">
        <v>0.94</v>
      </c>
      <c r="M27" s="21">
        <v>0.25369999999999998</v>
      </c>
      <c r="N27" s="21">
        <v>1</v>
      </c>
      <c r="O27" s="21">
        <v>16</v>
      </c>
      <c r="P27" s="21">
        <v>17</v>
      </c>
      <c r="R27" s="43">
        <v>40565</v>
      </c>
      <c r="S27" s="44">
        <v>93</v>
      </c>
      <c r="T27" s="44">
        <v>888</v>
      </c>
      <c r="U27" s="44">
        <v>981</v>
      </c>
    </row>
    <row r="28" spans="1:21" x14ac:dyDescent="0.35">
      <c r="A28" s="21">
        <v>27</v>
      </c>
      <c r="B28" s="39">
        <v>40545</v>
      </c>
      <c r="C28" s="21">
        <v>1</v>
      </c>
      <c r="D28" s="21">
        <v>0</v>
      </c>
      <c r="E28" s="21">
        <v>1</v>
      </c>
      <c r="F28" s="21">
        <v>2</v>
      </c>
      <c r="G28" s="21" t="b">
        <v>0</v>
      </c>
      <c r="H28" s="21">
        <v>0</v>
      </c>
      <c r="I28" s="21">
        <v>2</v>
      </c>
      <c r="J28" s="21">
        <v>0.42</v>
      </c>
      <c r="K28" s="21">
        <v>0.42420000000000002</v>
      </c>
      <c r="L28" s="21">
        <v>1</v>
      </c>
      <c r="M28" s="21">
        <v>0.28360000000000002</v>
      </c>
      <c r="N28" s="21">
        <v>1</v>
      </c>
      <c r="O28" s="21">
        <v>8</v>
      </c>
      <c r="P28" s="21">
        <v>9</v>
      </c>
      <c r="R28" s="43">
        <v>40566</v>
      </c>
      <c r="S28" s="44">
        <v>150</v>
      </c>
      <c r="T28" s="44">
        <v>836</v>
      </c>
      <c r="U28" s="44">
        <v>986</v>
      </c>
    </row>
    <row r="29" spans="1:21" x14ac:dyDescent="0.35">
      <c r="A29" s="21">
        <v>28</v>
      </c>
      <c r="B29" s="39">
        <v>40545</v>
      </c>
      <c r="C29" s="21">
        <v>1</v>
      </c>
      <c r="D29" s="21">
        <v>0</v>
      </c>
      <c r="E29" s="21">
        <v>1</v>
      </c>
      <c r="F29" s="21">
        <v>3</v>
      </c>
      <c r="G29" s="21" t="b">
        <v>0</v>
      </c>
      <c r="H29" s="21">
        <v>0</v>
      </c>
      <c r="I29" s="21">
        <v>2</v>
      </c>
      <c r="J29" s="21">
        <v>0.46</v>
      </c>
      <c r="K29" s="21">
        <v>0.45450000000000002</v>
      </c>
      <c r="L29" s="21">
        <v>0.94</v>
      </c>
      <c r="M29" s="21">
        <v>0.19400000000000001</v>
      </c>
      <c r="N29" s="21">
        <v>2</v>
      </c>
      <c r="O29" s="21">
        <v>4</v>
      </c>
      <c r="P29" s="21">
        <v>6</v>
      </c>
      <c r="R29" s="43">
        <v>40567</v>
      </c>
      <c r="S29" s="44">
        <v>86</v>
      </c>
      <c r="T29" s="44">
        <v>1330</v>
      </c>
      <c r="U29" s="44">
        <v>1416</v>
      </c>
    </row>
    <row r="30" spans="1:21" x14ac:dyDescent="0.35">
      <c r="A30" s="21">
        <v>29</v>
      </c>
      <c r="B30" s="39">
        <v>40545</v>
      </c>
      <c r="C30" s="21">
        <v>1</v>
      </c>
      <c r="D30" s="21">
        <v>0</v>
      </c>
      <c r="E30" s="21">
        <v>1</v>
      </c>
      <c r="F30" s="21">
        <v>4</v>
      </c>
      <c r="G30" s="21" t="b">
        <v>0</v>
      </c>
      <c r="H30" s="21">
        <v>0</v>
      </c>
      <c r="I30" s="21">
        <v>2</v>
      </c>
      <c r="J30" s="21">
        <v>0.46</v>
      </c>
      <c r="K30" s="21">
        <v>0</v>
      </c>
      <c r="L30" s="21">
        <v>0.94</v>
      </c>
      <c r="M30" s="21">
        <v>0.19400000000000001</v>
      </c>
      <c r="N30" s="21">
        <v>2</v>
      </c>
      <c r="O30" s="21">
        <v>1</v>
      </c>
      <c r="P30" s="21">
        <v>3</v>
      </c>
      <c r="R30" s="43">
        <v>40568</v>
      </c>
      <c r="S30" s="44">
        <v>186</v>
      </c>
      <c r="T30" s="44">
        <v>1799</v>
      </c>
      <c r="U30" s="44">
        <v>1985</v>
      </c>
    </row>
    <row r="31" spans="1:21" x14ac:dyDescent="0.35">
      <c r="A31" s="21">
        <v>30</v>
      </c>
      <c r="B31" s="39">
        <v>40545</v>
      </c>
      <c r="C31" s="21">
        <v>1</v>
      </c>
      <c r="D31" s="21">
        <v>0</v>
      </c>
      <c r="E31" s="21">
        <v>1</v>
      </c>
      <c r="F31" s="21">
        <v>6</v>
      </c>
      <c r="G31" s="21" t="b">
        <v>0</v>
      </c>
      <c r="H31" s="21">
        <v>0</v>
      </c>
      <c r="I31" s="21">
        <v>3</v>
      </c>
      <c r="J31" s="21">
        <v>0.42</v>
      </c>
      <c r="K31" s="21">
        <v>0.42420000000000002</v>
      </c>
      <c r="L31" s="21">
        <v>0.77</v>
      </c>
      <c r="M31" s="21">
        <v>0.29849999999999999</v>
      </c>
      <c r="N31" s="21">
        <v>0</v>
      </c>
      <c r="O31" s="21">
        <v>2</v>
      </c>
      <c r="P31" s="21">
        <v>2</v>
      </c>
      <c r="R31" s="43">
        <v>40569</v>
      </c>
      <c r="S31" s="44">
        <v>34</v>
      </c>
      <c r="T31" s="44">
        <v>472</v>
      </c>
      <c r="U31" s="44">
        <v>506</v>
      </c>
    </row>
    <row r="32" spans="1:21" x14ac:dyDescent="0.35">
      <c r="A32" s="21">
        <v>31</v>
      </c>
      <c r="B32" s="39">
        <v>40545</v>
      </c>
      <c r="C32" s="21">
        <v>1</v>
      </c>
      <c r="D32" s="21">
        <v>0</v>
      </c>
      <c r="E32" s="21">
        <v>1</v>
      </c>
      <c r="F32" s="21">
        <v>7</v>
      </c>
      <c r="G32" s="21" t="b">
        <v>0</v>
      </c>
      <c r="H32" s="21">
        <v>0</v>
      </c>
      <c r="I32" s="21">
        <v>2</v>
      </c>
      <c r="J32" s="21">
        <v>0.4</v>
      </c>
      <c r="K32" s="21">
        <v>0.40910000000000002</v>
      </c>
      <c r="L32" s="21">
        <v>0.76</v>
      </c>
      <c r="M32" s="21">
        <v>0.19400000000000001</v>
      </c>
      <c r="N32" s="21">
        <v>0</v>
      </c>
      <c r="O32" s="21">
        <v>1</v>
      </c>
      <c r="P32" s="21">
        <v>1</v>
      </c>
      <c r="R32" s="43">
        <v>40570</v>
      </c>
      <c r="S32" s="44">
        <v>15</v>
      </c>
      <c r="T32" s="44">
        <v>416</v>
      </c>
      <c r="U32" s="44">
        <v>431</v>
      </c>
    </row>
    <row r="33" spans="1:21" x14ac:dyDescent="0.35">
      <c r="A33" s="21">
        <v>32</v>
      </c>
      <c r="B33" s="39">
        <v>40545</v>
      </c>
      <c r="C33" s="21">
        <v>1</v>
      </c>
      <c r="D33" s="21">
        <v>0</v>
      </c>
      <c r="E33" s="21">
        <v>1</v>
      </c>
      <c r="F33" s="21">
        <v>8</v>
      </c>
      <c r="G33" s="21" t="b">
        <v>0</v>
      </c>
      <c r="H33" s="21">
        <v>0</v>
      </c>
      <c r="I33" s="21">
        <v>3</v>
      </c>
      <c r="J33" s="21">
        <v>0.4</v>
      </c>
      <c r="K33" s="21">
        <v>0.40910000000000002</v>
      </c>
      <c r="L33" s="21">
        <v>0.71</v>
      </c>
      <c r="M33" s="21">
        <v>0.22389999999999999</v>
      </c>
      <c r="N33" s="21">
        <v>0</v>
      </c>
      <c r="O33" s="21">
        <v>8</v>
      </c>
      <c r="P33" s="21">
        <v>8</v>
      </c>
      <c r="R33" s="43">
        <v>40571</v>
      </c>
      <c r="S33" s="44">
        <v>16</v>
      </c>
      <c r="T33" s="44">
        <v>555</v>
      </c>
      <c r="U33" s="44">
        <v>571</v>
      </c>
    </row>
    <row r="34" spans="1:21" x14ac:dyDescent="0.35">
      <c r="A34" s="21">
        <v>33</v>
      </c>
      <c r="B34" s="39">
        <v>40545</v>
      </c>
      <c r="C34" s="21">
        <v>1</v>
      </c>
      <c r="D34" s="21">
        <v>0</v>
      </c>
      <c r="E34" s="21">
        <v>1</v>
      </c>
      <c r="F34" s="21">
        <v>9</v>
      </c>
      <c r="G34" s="21" t="b">
        <v>0</v>
      </c>
      <c r="H34" s="21">
        <v>0</v>
      </c>
      <c r="I34" s="21">
        <v>2</v>
      </c>
      <c r="J34" s="21">
        <v>0.38</v>
      </c>
      <c r="K34" s="21">
        <v>0</v>
      </c>
      <c r="L34" s="21">
        <v>0.76</v>
      </c>
      <c r="M34" s="21">
        <v>0.22389999999999999</v>
      </c>
      <c r="N34" s="21">
        <v>1</v>
      </c>
      <c r="O34" s="21">
        <v>19</v>
      </c>
      <c r="P34" s="21">
        <v>20</v>
      </c>
      <c r="R34" s="43" t="s">
        <v>54</v>
      </c>
      <c r="S34" s="44">
        <v>2746</v>
      </c>
      <c r="T34" s="44">
        <v>31152</v>
      </c>
      <c r="U34" s="44">
        <v>33898</v>
      </c>
    </row>
    <row r="35" spans="1:21" x14ac:dyDescent="0.35">
      <c r="A35" s="21">
        <v>34</v>
      </c>
      <c r="B35" s="39">
        <v>40545</v>
      </c>
      <c r="C35" s="21">
        <v>1</v>
      </c>
      <c r="D35" s="21">
        <v>0</v>
      </c>
      <c r="E35" s="21">
        <v>1</v>
      </c>
      <c r="F35" s="21">
        <v>10</v>
      </c>
      <c r="G35" s="21" t="b">
        <v>0</v>
      </c>
      <c r="H35" s="21">
        <v>0</v>
      </c>
      <c r="I35" s="21">
        <v>2</v>
      </c>
      <c r="J35" s="21">
        <v>0.36</v>
      </c>
      <c r="K35" s="21">
        <v>0.34849999999999998</v>
      </c>
      <c r="L35" s="21">
        <v>0.81</v>
      </c>
      <c r="M35" s="21">
        <v>0.22389999999999999</v>
      </c>
      <c r="N35" s="21">
        <v>7</v>
      </c>
      <c r="O35" s="21">
        <v>46</v>
      </c>
      <c r="P35" s="21">
        <v>53</v>
      </c>
    </row>
    <row r="36" spans="1:21" x14ac:dyDescent="0.35">
      <c r="A36" s="21">
        <v>35</v>
      </c>
      <c r="B36" s="39">
        <v>40545</v>
      </c>
      <c r="C36" s="21">
        <v>1</v>
      </c>
      <c r="D36" s="21">
        <v>0</v>
      </c>
      <c r="E36" s="21">
        <v>1</v>
      </c>
      <c r="F36" s="21">
        <v>11</v>
      </c>
      <c r="G36" s="21" t="b">
        <v>0</v>
      </c>
      <c r="H36" s="21">
        <v>0</v>
      </c>
      <c r="I36" s="21">
        <v>2</v>
      </c>
      <c r="J36" s="21">
        <v>0.36</v>
      </c>
      <c r="K36" s="21">
        <v>0.33329999999999999</v>
      </c>
      <c r="L36" s="21">
        <v>0.71</v>
      </c>
      <c r="M36" s="21">
        <v>0.25369999999999998</v>
      </c>
      <c r="N36" s="21">
        <v>16</v>
      </c>
      <c r="O36" s="21">
        <v>54</v>
      </c>
      <c r="P36" s="21">
        <v>70</v>
      </c>
    </row>
    <row r="37" spans="1:21" x14ac:dyDescent="0.35">
      <c r="A37" s="21">
        <v>36</v>
      </c>
      <c r="B37" s="39">
        <v>40545</v>
      </c>
      <c r="C37" s="21">
        <v>1</v>
      </c>
      <c r="D37" s="21">
        <v>0</v>
      </c>
      <c r="E37" s="21">
        <v>1</v>
      </c>
      <c r="F37" s="21">
        <v>12</v>
      </c>
      <c r="G37" s="21" t="b">
        <v>0</v>
      </c>
      <c r="H37" s="21">
        <v>0</v>
      </c>
      <c r="I37" s="21">
        <v>2</v>
      </c>
      <c r="J37" s="21">
        <v>0.36</v>
      </c>
      <c r="K37" s="21">
        <v>0.33329999999999999</v>
      </c>
      <c r="L37" s="21">
        <v>0.66</v>
      </c>
      <c r="M37" s="21">
        <v>0.29849999999999999</v>
      </c>
      <c r="N37" s="21">
        <v>20</v>
      </c>
      <c r="O37" s="21">
        <v>73</v>
      </c>
      <c r="P37" s="21">
        <v>93</v>
      </c>
    </row>
    <row r="38" spans="1:21" x14ac:dyDescent="0.35">
      <c r="A38" s="21">
        <v>37</v>
      </c>
      <c r="B38" s="39">
        <v>40545</v>
      </c>
      <c r="C38" s="21">
        <v>1</v>
      </c>
      <c r="D38" s="21">
        <v>0</v>
      </c>
      <c r="E38" s="21">
        <v>1</v>
      </c>
      <c r="F38" s="21">
        <v>13</v>
      </c>
      <c r="G38" s="21" t="b">
        <v>0</v>
      </c>
      <c r="H38" s="21">
        <v>0</v>
      </c>
      <c r="I38" s="21">
        <v>2</v>
      </c>
      <c r="J38" s="21">
        <v>0.36</v>
      </c>
      <c r="K38" s="21">
        <v>0.34849999999999998</v>
      </c>
      <c r="L38" s="21">
        <v>0.66</v>
      </c>
      <c r="M38" s="21">
        <v>0.1343</v>
      </c>
      <c r="N38" s="21">
        <v>11</v>
      </c>
      <c r="O38" s="21">
        <v>64</v>
      </c>
      <c r="P38" s="21">
        <v>75</v>
      </c>
    </row>
    <row r="39" spans="1:21" x14ac:dyDescent="0.35">
      <c r="A39" s="21">
        <v>38</v>
      </c>
      <c r="B39" s="39">
        <v>40545</v>
      </c>
      <c r="C39" s="21">
        <v>1</v>
      </c>
      <c r="D39" s="21">
        <v>0</v>
      </c>
      <c r="E39" s="21">
        <v>1</v>
      </c>
      <c r="F39" s="21">
        <v>14</v>
      </c>
      <c r="G39" s="21" t="b">
        <v>0</v>
      </c>
      <c r="H39" s="21">
        <v>0</v>
      </c>
      <c r="I39" s="21">
        <v>3</v>
      </c>
      <c r="J39" s="21">
        <v>0.36</v>
      </c>
      <c r="K39" s="21">
        <v>0</v>
      </c>
      <c r="L39" s="21">
        <v>0.76</v>
      </c>
      <c r="M39" s="21">
        <v>0.19400000000000001</v>
      </c>
      <c r="N39" s="21">
        <v>4</v>
      </c>
      <c r="O39" s="21">
        <v>55</v>
      </c>
      <c r="P39" s="21">
        <v>59</v>
      </c>
    </row>
    <row r="40" spans="1:21" x14ac:dyDescent="0.35">
      <c r="A40" s="21">
        <v>39</v>
      </c>
      <c r="B40" s="39">
        <v>40545</v>
      </c>
      <c r="C40" s="21">
        <v>1</v>
      </c>
      <c r="D40" s="21">
        <v>0</v>
      </c>
      <c r="E40" s="21">
        <v>1</v>
      </c>
      <c r="F40" s="21">
        <v>15</v>
      </c>
      <c r="G40" s="21" t="b">
        <v>0</v>
      </c>
      <c r="H40" s="21">
        <v>0</v>
      </c>
      <c r="I40" s="21">
        <v>3</v>
      </c>
      <c r="J40" s="21">
        <v>0.34</v>
      </c>
      <c r="K40" s="21">
        <v>0.33329999999999999</v>
      </c>
      <c r="L40" s="21">
        <v>0.81</v>
      </c>
      <c r="M40" s="21">
        <v>0.16420000000000001</v>
      </c>
      <c r="N40" s="21">
        <v>19</v>
      </c>
      <c r="O40" s="21">
        <v>55</v>
      </c>
      <c r="P40" s="21">
        <v>74</v>
      </c>
    </row>
    <row r="41" spans="1:21" x14ac:dyDescent="0.35">
      <c r="A41" s="21">
        <v>40</v>
      </c>
      <c r="B41" s="39">
        <v>40545</v>
      </c>
      <c r="C41" s="21">
        <v>1</v>
      </c>
      <c r="D41" s="21">
        <v>0</v>
      </c>
      <c r="E41" s="21">
        <v>1</v>
      </c>
      <c r="F41" s="21">
        <v>16</v>
      </c>
      <c r="G41" s="21" t="b">
        <v>0</v>
      </c>
      <c r="H41" s="21">
        <v>0</v>
      </c>
      <c r="I41" s="21">
        <v>3</v>
      </c>
      <c r="J41" s="21">
        <v>0.34</v>
      </c>
      <c r="K41" s="21">
        <v>0.33329999999999999</v>
      </c>
      <c r="L41" s="21">
        <v>0.71</v>
      </c>
      <c r="M41" s="21">
        <v>0.16420000000000001</v>
      </c>
      <c r="N41" s="21">
        <v>9</v>
      </c>
      <c r="O41" s="21">
        <v>67</v>
      </c>
      <c r="P41" s="21">
        <v>76</v>
      </c>
    </row>
    <row r="42" spans="1:21" x14ac:dyDescent="0.35">
      <c r="A42" s="21">
        <v>41</v>
      </c>
      <c r="B42" s="39">
        <v>40545</v>
      </c>
      <c r="C42" s="21">
        <v>1</v>
      </c>
      <c r="D42" s="21">
        <v>0</v>
      </c>
      <c r="E42" s="21">
        <v>1</v>
      </c>
      <c r="F42" s="21">
        <v>17</v>
      </c>
      <c r="G42" s="21" t="b">
        <v>0</v>
      </c>
      <c r="H42" s="21">
        <v>0</v>
      </c>
      <c r="I42" s="21">
        <v>1</v>
      </c>
      <c r="J42" s="21">
        <v>0.34</v>
      </c>
      <c r="K42" s="21">
        <v>0.33329999999999999</v>
      </c>
      <c r="L42" s="21">
        <v>0.56999999999999995</v>
      </c>
      <c r="M42" s="21">
        <v>0.19400000000000001</v>
      </c>
      <c r="N42" s="21">
        <v>7</v>
      </c>
      <c r="O42" s="21">
        <v>58</v>
      </c>
      <c r="P42" s="21">
        <v>65</v>
      </c>
    </row>
    <row r="43" spans="1:21" x14ac:dyDescent="0.35">
      <c r="A43" s="21">
        <v>42</v>
      </c>
      <c r="B43" s="39">
        <v>40545</v>
      </c>
      <c r="C43" s="21">
        <v>1</v>
      </c>
      <c r="D43" s="21">
        <v>0</v>
      </c>
      <c r="E43" s="21">
        <v>1</v>
      </c>
      <c r="F43" s="21">
        <v>18</v>
      </c>
      <c r="G43" s="21" t="b">
        <v>0</v>
      </c>
      <c r="H43" s="21">
        <v>0</v>
      </c>
      <c r="I43" s="21">
        <v>2</v>
      </c>
      <c r="J43" s="21">
        <v>0.36</v>
      </c>
      <c r="K43" s="21">
        <v>0.33329999999999999</v>
      </c>
      <c r="L43" s="21">
        <v>0.46</v>
      </c>
      <c r="M43" s="21">
        <v>0.32840000000000003</v>
      </c>
      <c r="N43" s="21">
        <v>10</v>
      </c>
      <c r="O43" s="21">
        <v>43</v>
      </c>
      <c r="P43" s="21">
        <v>53</v>
      </c>
    </row>
    <row r="44" spans="1:21" x14ac:dyDescent="0.35">
      <c r="A44" s="21">
        <v>43</v>
      </c>
      <c r="B44" s="39">
        <v>40545</v>
      </c>
      <c r="C44" s="21">
        <v>1</v>
      </c>
      <c r="D44" s="21">
        <v>0</v>
      </c>
      <c r="E44" s="21">
        <v>1</v>
      </c>
      <c r="F44" s="21">
        <v>19</v>
      </c>
      <c r="G44" s="21" t="b">
        <v>0</v>
      </c>
      <c r="H44" s="21">
        <v>0</v>
      </c>
      <c r="I44" s="21">
        <v>1</v>
      </c>
      <c r="J44" s="21">
        <v>0.32</v>
      </c>
      <c r="K44" s="21">
        <v>0.28789999999999999</v>
      </c>
      <c r="L44" s="21">
        <v>0.42</v>
      </c>
      <c r="M44" s="21">
        <v>0.44779999999999998</v>
      </c>
      <c r="N44" s="21">
        <v>1</v>
      </c>
      <c r="O44" s="21">
        <v>29</v>
      </c>
      <c r="P44" s="21">
        <v>30</v>
      </c>
    </row>
    <row r="45" spans="1:21" x14ac:dyDescent="0.35">
      <c r="A45" s="21">
        <v>44</v>
      </c>
      <c r="B45" s="39">
        <v>40545</v>
      </c>
      <c r="C45" s="21">
        <v>1</v>
      </c>
      <c r="D45" s="21">
        <v>0</v>
      </c>
      <c r="E45" s="21">
        <v>1</v>
      </c>
      <c r="F45" s="21">
        <v>20</v>
      </c>
      <c r="G45" s="21" t="b">
        <v>0</v>
      </c>
      <c r="H45" s="21">
        <v>0</v>
      </c>
      <c r="I45" s="21">
        <v>1</v>
      </c>
      <c r="J45" s="21">
        <v>0.3</v>
      </c>
      <c r="K45" s="21">
        <v>0</v>
      </c>
      <c r="L45" s="21">
        <v>0.39</v>
      </c>
      <c r="M45" s="21">
        <v>0.35820000000000002</v>
      </c>
      <c r="N45" s="21">
        <v>5</v>
      </c>
      <c r="O45" s="21">
        <v>17</v>
      </c>
      <c r="P45" s="21">
        <v>22</v>
      </c>
    </row>
    <row r="46" spans="1:21" x14ac:dyDescent="0.35">
      <c r="A46" s="21">
        <v>45</v>
      </c>
      <c r="B46" s="39">
        <v>40545</v>
      </c>
      <c r="C46" s="21">
        <v>1</v>
      </c>
      <c r="D46" s="21">
        <v>0</v>
      </c>
      <c r="E46" s="21">
        <v>1</v>
      </c>
      <c r="F46" s="21">
        <v>21</v>
      </c>
      <c r="G46" s="21" t="b">
        <v>0</v>
      </c>
      <c r="H46" s="21">
        <v>0</v>
      </c>
      <c r="I46" s="21">
        <v>1</v>
      </c>
      <c r="J46" s="21">
        <v>0.26</v>
      </c>
      <c r="K46" s="21">
        <v>0.2273</v>
      </c>
      <c r="L46" s="21">
        <v>0.44</v>
      </c>
      <c r="M46" s="21">
        <v>0.32840000000000003</v>
      </c>
      <c r="N46" s="21">
        <v>11</v>
      </c>
      <c r="O46" s="21">
        <v>20</v>
      </c>
      <c r="P46" s="21">
        <v>31</v>
      </c>
    </row>
    <row r="47" spans="1:21" x14ac:dyDescent="0.35">
      <c r="A47" s="21">
        <v>46</v>
      </c>
      <c r="B47" s="39">
        <v>40545</v>
      </c>
      <c r="C47" s="21">
        <v>1</v>
      </c>
      <c r="D47" s="21">
        <v>0</v>
      </c>
      <c r="E47" s="21">
        <v>1</v>
      </c>
      <c r="F47" s="21">
        <v>22</v>
      </c>
      <c r="G47" s="21" t="b">
        <v>0</v>
      </c>
      <c r="H47" s="21">
        <v>0</v>
      </c>
      <c r="I47" s="21">
        <v>1</v>
      </c>
      <c r="J47" s="21">
        <v>0.24</v>
      </c>
      <c r="K47" s="21">
        <v>0.21210000000000001</v>
      </c>
      <c r="L47" s="21">
        <v>0.44</v>
      </c>
      <c r="M47" s="21">
        <v>0.29849999999999999</v>
      </c>
      <c r="N47" s="21">
        <v>0</v>
      </c>
      <c r="O47" s="21">
        <v>9</v>
      </c>
      <c r="P47" s="21">
        <v>9</v>
      </c>
    </row>
    <row r="48" spans="1:21" x14ac:dyDescent="0.35">
      <c r="A48" s="21">
        <v>47</v>
      </c>
      <c r="B48" s="39">
        <v>40545</v>
      </c>
      <c r="C48" s="21">
        <v>1</v>
      </c>
      <c r="D48" s="21">
        <v>0</v>
      </c>
      <c r="E48" s="21">
        <v>1</v>
      </c>
      <c r="F48" s="21">
        <v>23</v>
      </c>
      <c r="G48" s="21" t="b">
        <v>0</v>
      </c>
      <c r="H48" s="21">
        <v>0</v>
      </c>
      <c r="I48" s="21">
        <v>1</v>
      </c>
      <c r="J48" s="21">
        <v>0.22</v>
      </c>
      <c r="K48" s="21">
        <v>0.2273</v>
      </c>
      <c r="L48" s="21">
        <v>0.47</v>
      </c>
      <c r="M48" s="21">
        <v>0.16420000000000001</v>
      </c>
      <c r="N48" s="21">
        <v>0</v>
      </c>
      <c r="O48" s="21">
        <v>8</v>
      </c>
      <c r="P48" s="21">
        <v>8</v>
      </c>
    </row>
    <row r="49" spans="1:16" x14ac:dyDescent="0.35">
      <c r="A49" s="21">
        <v>48</v>
      </c>
      <c r="B49" s="39">
        <v>40546</v>
      </c>
      <c r="C49" s="21">
        <v>1</v>
      </c>
      <c r="D49" s="21">
        <v>0</v>
      </c>
      <c r="E49" s="21">
        <v>1</v>
      </c>
      <c r="F49" s="21">
        <v>0</v>
      </c>
      <c r="G49" s="21" t="b">
        <v>0</v>
      </c>
      <c r="H49" s="21">
        <v>1</v>
      </c>
      <c r="I49" s="21">
        <v>1</v>
      </c>
      <c r="J49" s="21">
        <v>0.22</v>
      </c>
      <c r="K49" s="21">
        <v>0.19700000000000001</v>
      </c>
      <c r="L49" s="21">
        <v>0.44</v>
      </c>
      <c r="M49" s="21">
        <v>0.35820000000000002</v>
      </c>
      <c r="N49" s="21">
        <v>0</v>
      </c>
      <c r="O49" s="21">
        <v>5</v>
      </c>
      <c r="P49" s="21">
        <v>5</v>
      </c>
    </row>
    <row r="50" spans="1:16" x14ac:dyDescent="0.35">
      <c r="A50" s="21">
        <v>49</v>
      </c>
      <c r="B50" s="39">
        <v>40546</v>
      </c>
      <c r="C50" s="21">
        <v>1</v>
      </c>
      <c r="D50" s="21">
        <v>0</v>
      </c>
      <c r="E50" s="21">
        <v>1</v>
      </c>
      <c r="F50" s="21">
        <v>1</v>
      </c>
      <c r="G50" s="21" t="b">
        <v>0</v>
      </c>
      <c r="H50" s="21">
        <v>1</v>
      </c>
      <c r="I50" s="21">
        <v>1</v>
      </c>
      <c r="J50" s="21">
        <v>0.2</v>
      </c>
      <c r="K50" s="21">
        <v>0</v>
      </c>
      <c r="L50" s="21">
        <v>0.44</v>
      </c>
      <c r="M50" s="21">
        <v>0.41789999999999999</v>
      </c>
      <c r="N50" s="21">
        <v>0</v>
      </c>
      <c r="O50" s="21">
        <v>2</v>
      </c>
      <c r="P50" s="21">
        <v>2</v>
      </c>
    </row>
    <row r="51" spans="1:16" x14ac:dyDescent="0.35">
      <c r="A51" s="21">
        <v>50</v>
      </c>
      <c r="B51" s="39">
        <v>40546</v>
      </c>
      <c r="C51" s="21">
        <v>1</v>
      </c>
      <c r="D51" s="21">
        <v>0</v>
      </c>
      <c r="E51" s="21">
        <v>1</v>
      </c>
      <c r="F51" s="21">
        <v>4</v>
      </c>
      <c r="G51" s="21" t="b">
        <v>0</v>
      </c>
      <c r="H51" s="21">
        <v>1</v>
      </c>
      <c r="I51" s="21">
        <v>1</v>
      </c>
      <c r="J51" s="21">
        <v>0.16</v>
      </c>
      <c r="K51" s="21">
        <v>0.13639999999999999</v>
      </c>
      <c r="L51" s="21">
        <v>0.47</v>
      </c>
      <c r="M51" s="21">
        <v>0.3881</v>
      </c>
      <c r="N51" s="21">
        <v>0</v>
      </c>
      <c r="O51" s="21">
        <v>1</v>
      </c>
      <c r="P51" s="21">
        <v>1</v>
      </c>
    </row>
    <row r="52" spans="1:16" x14ac:dyDescent="0.35">
      <c r="A52" s="21">
        <v>51</v>
      </c>
      <c r="B52" s="39">
        <v>40546</v>
      </c>
      <c r="C52" s="21">
        <v>1</v>
      </c>
      <c r="D52" s="21">
        <v>0</v>
      </c>
      <c r="E52" s="21">
        <v>1</v>
      </c>
      <c r="F52" s="21">
        <v>5</v>
      </c>
      <c r="G52" s="21" t="b">
        <v>0</v>
      </c>
      <c r="H52" s="21">
        <v>1</v>
      </c>
      <c r="I52" s="21">
        <v>1</v>
      </c>
      <c r="J52" s="21">
        <v>0.16</v>
      </c>
      <c r="K52" s="21">
        <v>0.13639999999999999</v>
      </c>
      <c r="L52" s="21">
        <v>0.47</v>
      </c>
      <c r="M52" s="21">
        <v>0.28360000000000002</v>
      </c>
      <c r="N52" s="21">
        <v>0</v>
      </c>
      <c r="O52" s="21">
        <v>3</v>
      </c>
      <c r="P52" s="21">
        <v>3</v>
      </c>
    </row>
    <row r="53" spans="1:16" x14ac:dyDescent="0.35">
      <c r="A53" s="21">
        <v>52</v>
      </c>
      <c r="B53" s="39">
        <v>40546</v>
      </c>
      <c r="C53" s="21">
        <v>1</v>
      </c>
      <c r="D53" s="21">
        <v>0</v>
      </c>
      <c r="E53" s="21">
        <v>1</v>
      </c>
      <c r="F53" s="21">
        <v>6</v>
      </c>
      <c r="G53" s="21" t="b">
        <v>0</v>
      </c>
      <c r="H53" s="21">
        <v>1</v>
      </c>
      <c r="I53" s="21">
        <v>1</v>
      </c>
      <c r="J53" s="21">
        <v>0.14000000000000001</v>
      </c>
      <c r="K53" s="21">
        <v>0.1061</v>
      </c>
      <c r="L53" s="21">
        <v>0.5</v>
      </c>
      <c r="M53" s="21">
        <v>0.3881</v>
      </c>
      <c r="N53" s="21">
        <v>0</v>
      </c>
      <c r="O53" s="21">
        <v>30</v>
      </c>
      <c r="P53" s="21">
        <v>30</v>
      </c>
    </row>
    <row r="54" spans="1:16" x14ac:dyDescent="0.35">
      <c r="A54" s="21">
        <v>53</v>
      </c>
      <c r="B54" s="39">
        <v>40546</v>
      </c>
      <c r="C54" s="21">
        <v>1</v>
      </c>
      <c r="D54" s="21">
        <v>0</v>
      </c>
      <c r="E54" s="21">
        <v>1</v>
      </c>
      <c r="F54" s="21">
        <v>7</v>
      </c>
      <c r="G54" s="21" t="b">
        <v>0</v>
      </c>
      <c r="H54" s="21">
        <v>1</v>
      </c>
      <c r="I54" s="21">
        <v>1</v>
      </c>
      <c r="J54" s="21">
        <v>0.14000000000000001</v>
      </c>
      <c r="K54" s="21">
        <v>0.13639999999999999</v>
      </c>
      <c r="L54" s="21">
        <v>0.5</v>
      </c>
      <c r="M54" s="21">
        <v>0.19400000000000001</v>
      </c>
      <c r="N54" s="21">
        <v>1</v>
      </c>
      <c r="O54" s="21">
        <v>63</v>
      </c>
      <c r="P54" s="21">
        <v>64</v>
      </c>
    </row>
    <row r="55" spans="1:16" x14ac:dyDescent="0.35">
      <c r="A55" s="21">
        <v>54</v>
      </c>
      <c r="B55" s="39">
        <v>40546</v>
      </c>
      <c r="C55" s="21">
        <v>1</v>
      </c>
      <c r="D55" s="21">
        <v>0</v>
      </c>
      <c r="E55" s="21">
        <v>1</v>
      </c>
      <c r="F55" s="21">
        <v>8</v>
      </c>
      <c r="G55" s="21" t="b">
        <v>0</v>
      </c>
      <c r="H55" s="21">
        <v>1</v>
      </c>
      <c r="I55" s="21">
        <v>1</v>
      </c>
      <c r="J55" s="21">
        <v>0.14000000000000001</v>
      </c>
      <c r="K55" s="21">
        <v>0.1212</v>
      </c>
      <c r="L55" s="21">
        <v>0.5</v>
      </c>
      <c r="M55" s="21">
        <v>0.28360000000000002</v>
      </c>
      <c r="N55" s="21">
        <v>1</v>
      </c>
      <c r="O55" s="21">
        <v>153</v>
      </c>
      <c r="P55" s="21">
        <v>154</v>
      </c>
    </row>
    <row r="56" spans="1:16" x14ac:dyDescent="0.35">
      <c r="A56" s="21">
        <v>55</v>
      </c>
      <c r="B56" s="39">
        <v>40546</v>
      </c>
      <c r="C56" s="21">
        <v>1</v>
      </c>
      <c r="D56" s="21">
        <v>0</v>
      </c>
      <c r="E56" s="21">
        <v>1</v>
      </c>
      <c r="F56" s="21">
        <v>9</v>
      </c>
      <c r="G56" s="21" t="b">
        <v>0</v>
      </c>
      <c r="H56" s="21">
        <v>1</v>
      </c>
      <c r="I56" s="21">
        <v>1</v>
      </c>
      <c r="J56" s="21">
        <v>0.16</v>
      </c>
      <c r="K56" s="21">
        <v>0.13639999999999999</v>
      </c>
      <c r="L56" s="21">
        <v>0.43</v>
      </c>
      <c r="M56" s="21">
        <v>0.3881</v>
      </c>
      <c r="N56" s="21">
        <v>7</v>
      </c>
      <c r="O56" s="21">
        <v>81</v>
      </c>
      <c r="P56" s="21">
        <v>88</v>
      </c>
    </row>
    <row r="57" spans="1:16" x14ac:dyDescent="0.35">
      <c r="A57" s="21">
        <v>56</v>
      </c>
      <c r="B57" s="39">
        <v>40546</v>
      </c>
      <c r="C57" s="21">
        <v>1</v>
      </c>
      <c r="D57" s="21">
        <v>0</v>
      </c>
      <c r="E57" s="21">
        <v>1</v>
      </c>
      <c r="F57" s="21">
        <v>10</v>
      </c>
      <c r="G57" s="21" t="b">
        <v>0</v>
      </c>
      <c r="H57" s="21">
        <v>1</v>
      </c>
      <c r="I57" s="21">
        <v>1</v>
      </c>
      <c r="J57" s="21">
        <v>0.18</v>
      </c>
      <c r="K57" s="21">
        <v>0.16669999999999999</v>
      </c>
      <c r="L57" s="21">
        <v>0.43</v>
      </c>
      <c r="M57" s="21">
        <v>0.25369999999999998</v>
      </c>
      <c r="N57" s="21">
        <v>11</v>
      </c>
      <c r="O57" s="21">
        <v>33</v>
      </c>
      <c r="P57" s="21">
        <v>44</v>
      </c>
    </row>
    <row r="58" spans="1:16" x14ac:dyDescent="0.35">
      <c r="A58" s="21">
        <v>57</v>
      </c>
      <c r="B58" s="39">
        <v>40546</v>
      </c>
      <c r="C58" s="21">
        <v>1</v>
      </c>
      <c r="D58" s="21">
        <v>0</v>
      </c>
      <c r="E58" s="21">
        <v>1</v>
      </c>
      <c r="F58" s="21">
        <v>11</v>
      </c>
      <c r="G58" s="21" t="b">
        <v>0</v>
      </c>
      <c r="H58" s="21">
        <v>1</v>
      </c>
      <c r="I58" s="21">
        <v>1</v>
      </c>
      <c r="J58" s="21">
        <v>0.2</v>
      </c>
      <c r="K58" s="21">
        <v>0.18179999999999999</v>
      </c>
      <c r="L58" s="21">
        <v>0.4</v>
      </c>
      <c r="M58" s="21">
        <v>0.32840000000000003</v>
      </c>
      <c r="N58" s="21">
        <v>10</v>
      </c>
      <c r="O58" s="21">
        <v>41</v>
      </c>
      <c r="P58" s="21">
        <v>51</v>
      </c>
    </row>
    <row r="59" spans="1:16" x14ac:dyDescent="0.35">
      <c r="A59" s="21">
        <v>58</v>
      </c>
      <c r="B59" s="39">
        <v>40546</v>
      </c>
      <c r="C59" s="21">
        <v>1</v>
      </c>
      <c r="D59" s="21">
        <v>0</v>
      </c>
      <c r="E59" s="21">
        <v>1</v>
      </c>
      <c r="F59" s="21">
        <v>12</v>
      </c>
      <c r="G59" s="21" t="b">
        <v>0</v>
      </c>
      <c r="H59" s="21">
        <v>1</v>
      </c>
      <c r="I59" s="21">
        <v>1</v>
      </c>
      <c r="J59" s="21">
        <v>0.22</v>
      </c>
      <c r="K59" s="21">
        <v>0.21210000000000001</v>
      </c>
      <c r="L59" s="21">
        <v>0.35</v>
      </c>
      <c r="M59" s="21">
        <v>0.29849999999999999</v>
      </c>
      <c r="N59" s="21">
        <v>13</v>
      </c>
      <c r="O59" s="21">
        <v>48</v>
      </c>
      <c r="P59" s="21">
        <v>61</v>
      </c>
    </row>
    <row r="60" spans="1:16" x14ac:dyDescent="0.35">
      <c r="A60" s="21">
        <v>59</v>
      </c>
      <c r="B60" s="39">
        <v>40546</v>
      </c>
      <c r="C60" s="21">
        <v>1</v>
      </c>
      <c r="D60" s="21">
        <v>0</v>
      </c>
      <c r="E60" s="21">
        <v>1</v>
      </c>
      <c r="F60" s="21">
        <v>13</v>
      </c>
      <c r="G60" s="21" t="b">
        <v>0</v>
      </c>
      <c r="H60" s="21">
        <v>1</v>
      </c>
      <c r="I60" s="21">
        <v>1</v>
      </c>
      <c r="J60" s="21">
        <v>0.24</v>
      </c>
      <c r="K60" s="21">
        <v>0</v>
      </c>
      <c r="L60" s="21">
        <v>0.35</v>
      </c>
      <c r="M60" s="21">
        <v>0.28360000000000002</v>
      </c>
      <c r="N60" s="21">
        <v>8</v>
      </c>
      <c r="O60" s="21">
        <v>53</v>
      </c>
      <c r="P60" s="21">
        <v>61</v>
      </c>
    </row>
    <row r="61" spans="1:16" x14ac:dyDescent="0.35">
      <c r="A61" s="21">
        <v>60</v>
      </c>
      <c r="B61" s="39">
        <v>40546</v>
      </c>
      <c r="C61" s="21">
        <v>1</v>
      </c>
      <c r="D61" s="21">
        <v>0</v>
      </c>
      <c r="E61" s="21">
        <v>1</v>
      </c>
      <c r="F61" s="21">
        <v>14</v>
      </c>
      <c r="G61" s="21" t="b">
        <v>0</v>
      </c>
      <c r="H61" s="21">
        <v>1</v>
      </c>
      <c r="I61" s="21">
        <v>1</v>
      </c>
      <c r="J61" s="21">
        <v>0.26</v>
      </c>
      <c r="K61" s="21">
        <v>0.2424</v>
      </c>
      <c r="L61" s="21">
        <v>0.3</v>
      </c>
      <c r="M61" s="21">
        <v>0.28360000000000002</v>
      </c>
      <c r="N61" s="21">
        <v>11</v>
      </c>
      <c r="O61" s="21">
        <v>66</v>
      </c>
      <c r="P61" s="21">
        <v>77</v>
      </c>
    </row>
    <row r="62" spans="1:16" x14ac:dyDescent="0.35">
      <c r="A62" s="21">
        <v>61</v>
      </c>
      <c r="B62" s="39">
        <v>40546</v>
      </c>
      <c r="C62" s="21">
        <v>1</v>
      </c>
      <c r="D62" s="21">
        <v>0</v>
      </c>
      <c r="E62" s="21">
        <v>1</v>
      </c>
      <c r="F62" s="21">
        <v>15</v>
      </c>
      <c r="G62" s="21" t="b">
        <v>0</v>
      </c>
      <c r="H62" s="21">
        <v>1</v>
      </c>
      <c r="I62" s="21">
        <v>1</v>
      </c>
      <c r="J62" s="21">
        <v>0.26</v>
      </c>
      <c r="K62" s="21">
        <v>0.2424</v>
      </c>
      <c r="L62" s="21">
        <v>0.3</v>
      </c>
      <c r="M62" s="21">
        <v>0.25369999999999998</v>
      </c>
      <c r="N62" s="21">
        <v>14</v>
      </c>
      <c r="O62" s="21">
        <v>58</v>
      </c>
      <c r="P62" s="21">
        <v>72</v>
      </c>
    </row>
    <row r="63" spans="1:16" x14ac:dyDescent="0.35">
      <c r="A63" s="21">
        <v>62</v>
      </c>
      <c r="B63" s="39">
        <v>40546</v>
      </c>
      <c r="C63" s="21">
        <v>1</v>
      </c>
      <c r="D63" s="21">
        <v>0</v>
      </c>
      <c r="E63" s="21">
        <v>1</v>
      </c>
      <c r="F63" s="21">
        <v>16</v>
      </c>
      <c r="G63" s="21" t="b">
        <v>0</v>
      </c>
      <c r="H63" s="21">
        <v>1</v>
      </c>
      <c r="I63" s="21">
        <v>1</v>
      </c>
      <c r="J63" s="21">
        <v>0.26</v>
      </c>
      <c r="K63" s="21">
        <v>0.2424</v>
      </c>
      <c r="L63" s="21">
        <v>0.3</v>
      </c>
      <c r="M63" s="21">
        <v>0.25369999999999998</v>
      </c>
      <c r="N63" s="21">
        <v>9</v>
      </c>
      <c r="O63" s="21">
        <v>67</v>
      </c>
      <c r="P63" s="21">
        <v>76</v>
      </c>
    </row>
    <row r="64" spans="1:16" x14ac:dyDescent="0.35">
      <c r="A64" s="21">
        <v>63</v>
      </c>
      <c r="B64" s="39">
        <v>40546</v>
      </c>
      <c r="C64" s="21">
        <v>1</v>
      </c>
      <c r="D64" s="21">
        <v>0</v>
      </c>
      <c r="E64" s="21">
        <v>1</v>
      </c>
      <c r="F64" s="21">
        <v>17</v>
      </c>
      <c r="G64" s="21" t="b">
        <v>0</v>
      </c>
      <c r="H64" s="21">
        <v>1</v>
      </c>
      <c r="I64" s="21">
        <v>1</v>
      </c>
      <c r="J64" s="21">
        <v>0.24</v>
      </c>
      <c r="K64" s="21">
        <v>0.2273</v>
      </c>
      <c r="L64" s="21">
        <v>0.3</v>
      </c>
      <c r="M64" s="21">
        <v>0.22389999999999999</v>
      </c>
      <c r="N64" s="21">
        <v>11</v>
      </c>
      <c r="O64" s="21">
        <v>146</v>
      </c>
      <c r="P64" s="21">
        <v>157</v>
      </c>
    </row>
    <row r="65" spans="1:16" x14ac:dyDescent="0.35">
      <c r="A65" s="21">
        <v>64</v>
      </c>
      <c r="B65" s="39">
        <v>40546</v>
      </c>
      <c r="C65" s="21">
        <v>1</v>
      </c>
      <c r="D65" s="21">
        <v>0</v>
      </c>
      <c r="E65" s="21">
        <v>1</v>
      </c>
      <c r="F65" s="21">
        <v>18</v>
      </c>
      <c r="G65" s="21" t="b">
        <v>0</v>
      </c>
      <c r="H65" s="21">
        <v>1</v>
      </c>
      <c r="I65" s="21">
        <v>1</v>
      </c>
      <c r="J65" s="21">
        <v>0.24</v>
      </c>
      <c r="K65" s="21">
        <v>0.2576</v>
      </c>
      <c r="L65" s="21">
        <v>0.32</v>
      </c>
      <c r="M65" s="21">
        <v>0.1045</v>
      </c>
      <c r="N65" s="21">
        <v>9</v>
      </c>
      <c r="O65" s="21">
        <v>148</v>
      </c>
      <c r="P65" s="21">
        <v>157</v>
      </c>
    </row>
    <row r="66" spans="1:16" x14ac:dyDescent="0.35">
      <c r="A66" s="21">
        <v>65</v>
      </c>
      <c r="B66" s="39">
        <v>40546</v>
      </c>
      <c r="C66" s="21">
        <v>1</v>
      </c>
      <c r="D66" s="21">
        <v>0</v>
      </c>
      <c r="E66" s="21">
        <v>1</v>
      </c>
      <c r="F66" s="21">
        <v>19</v>
      </c>
      <c r="G66" s="21" t="b">
        <v>0</v>
      </c>
      <c r="H66" s="21">
        <v>1</v>
      </c>
      <c r="I66" s="21">
        <v>1</v>
      </c>
      <c r="J66" s="21">
        <v>0.2</v>
      </c>
      <c r="K66" s="21">
        <v>0.2576</v>
      </c>
      <c r="L66" s="21">
        <v>0.47</v>
      </c>
      <c r="M66" s="21">
        <v>0</v>
      </c>
      <c r="N66" s="21">
        <v>8</v>
      </c>
      <c r="O66" s="21">
        <v>102</v>
      </c>
      <c r="P66" s="21">
        <v>110</v>
      </c>
    </row>
    <row r="67" spans="1:16" x14ac:dyDescent="0.35">
      <c r="A67" s="21">
        <v>66</v>
      </c>
      <c r="B67" s="39">
        <v>40546</v>
      </c>
      <c r="C67" s="21">
        <v>1</v>
      </c>
      <c r="D67" s="21">
        <v>0</v>
      </c>
      <c r="E67" s="21">
        <v>1</v>
      </c>
      <c r="F67" s="21">
        <v>20</v>
      </c>
      <c r="G67" s="21" t="b">
        <v>0</v>
      </c>
      <c r="H67" s="21">
        <v>1</v>
      </c>
      <c r="I67" s="21">
        <v>1</v>
      </c>
      <c r="J67" s="21">
        <v>0.2</v>
      </c>
      <c r="K67" s="21">
        <v>0</v>
      </c>
      <c r="L67" s="21">
        <v>0.47</v>
      </c>
      <c r="M67" s="21">
        <v>0.1045</v>
      </c>
      <c r="N67" s="21">
        <v>3</v>
      </c>
      <c r="O67" s="21">
        <v>49</v>
      </c>
      <c r="P67" s="21">
        <v>52</v>
      </c>
    </row>
    <row r="68" spans="1:16" x14ac:dyDescent="0.35">
      <c r="A68" s="21">
        <v>67</v>
      </c>
      <c r="B68" s="39">
        <v>40546</v>
      </c>
      <c r="C68" s="21">
        <v>1</v>
      </c>
      <c r="D68" s="21">
        <v>0</v>
      </c>
      <c r="E68" s="21">
        <v>1</v>
      </c>
      <c r="F68" s="21">
        <v>21</v>
      </c>
      <c r="G68" s="21" t="b">
        <v>0</v>
      </c>
      <c r="H68" s="21">
        <v>1</v>
      </c>
      <c r="I68" s="21">
        <v>1</v>
      </c>
      <c r="J68" s="21">
        <v>0.18</v>
      </c>
      <c r="K68" s="21">
        <v>0.19700000000000001</v>
      </c>
      <c r="L68" s="21">
        <v>0.64</v>
      </c>
      <c r="M68" s="21">
        <v>0.1343</v>
      </c>
      <c r="N68" s="21">
        <v>3</v>
      </c>
      <c r="O68" s="21">
        <v>49</v>
      </c>
      <c r="P68" s="21">
        <v>52</v>
      </c>
    </row>
    <row r="69" spans="1:16" x14ac:dyDescent="0.35">
      <c r="A69" s="21">
        <v>68</v>
      </c>
      <c r="B69" s="39">
        <v>40546</v>
      </c>
      <c r="C69" s="21">
        <v>1</v>
      </c>
      <c r="D69" s="21">
        <v>0</v>
      </c>
      <c r="E69" s="21">
        <v>1</v>
      </c>
      <c r="F69" s="21">
        <v>22</v>
      </c>
      <c r="G69" s="21" t="b">
        <v>0</v>
      </c>
      <c r="H69" s="21">
        <v>1</v>
      </c>
      <c r="I69" s="21">
        <v>1</v>
      </c>
      <c r="J69" s="21">
        <v>0.14000000000000001</v>
      </c>
      <c r="K69" s="21">
        <v>0.1515</v>
      </c>
      <c r="L69" s="21">
        <v>0.69</v>
      </c>
      <c r="M69" s="21">
        <v>0.1343</v>
      </c>
      <c r="N69" s="21">
        <v>0</v>
      </c>
      <c r="O69" s="21">
        <v>20</v>
      </c>
      <c r="P69" s="21">
        <v>20</v>
      </c>
    </row>
    <row r="70" spans="1:16" x14ac:dyDescent="0.35">
      <c r="A70" s="21">
        <v>69</v>
      </c>
      <c r="B70" s="39">
        <v>40546</v>
      </c>
      <c r="C70" s="21">
        <v>1</v>
      </c>
      <c r="D70" s="21">
        <v>0</v>
      </c>
      <c r="E70" s="21">
        <v>1</v>
      </c>
      <c r="F70" s="21">
        <v>23</v>
      </c>
      <c r="G70" s="21" t="b">
        <v>0</v>
      </c>
      <c r="H70" s="21">
        <v>1</v>
      </c>
      <c r="I70" s="21">
        <v>1</v>
      </c>
      <c r="J70" s="21">
        <v>0.18</v>
      </c>
      <c r="K70" s="21">
        <v>0.21210000000000001</v>
      </c>
      <c r="L70" s="21">
        <v>0.55000000000000004</v>
      </c>
      <c r="M70" s="21">
        <v>0.1045</v>
      </c>
      <c r="N70" s="21">
        <v>1</v>
      </c>
      <c r="O70" s="21">
        <v>11</v>
      </c>
      <c r="P70" s="21">
        <v>12</v>
      </c>
    </row>
    <row r="71" spans="1:16" x14ac:dyDescent="0.35">
      <c r="A71" s="21">
        <v>70</v>
      </c>
      <c r="B71" s="39">
        <v>40547</v>
      </c>
      <c r="C71" s="21">
        <v>1</v>
      </c>
      <c r="D71" s="21">
        <v>0</v>
      </c>
      <c r="E71" s="21">
        <v>1</v>
      </c>
      <c r="F71" s="21">
        <v>0</v>
      </c>
      <c r="G71" s="21" t="b">
        <v>0</v>
      </c>
      <c r="H71" s="21">
        <v>2</v>
      </c>
      <c r="I71" s="21">
        <v>1</v>
      </c>
      <c r="J71" s="21">
        <v>0.16</v>
      </c>
      <c r="K71" s="21">
        <v>0</v>
      </c>
      <c r="L71" s="21">
        <v>0.55000000000000004</v>
      </c>
      <c r="M71" s="21">
        <v>0.1045</v>
      </c>
      <c r="N71" s="21">
        <v>0</v>
      </c>
      <c r="O71" s="21">
        <v>5</v>
      </c>
      <c r="P71" s="21">
        <v>5</v>
      </c>
    </row>
    <row r="72" spans="1:16" x14ac:dyDescent="0.35">
      <c r="A72" s="21">
        <v>71</v>
      </c>
      <c r="B72" s="39">
        <v>40547</v>
      </c>
      <c r="C72" s="21">
        <v>1</v>
      </c>
      <c r="D72" s="21">
        <v>0</v>
      </c>
      <c r="E72" s="21">
        <v>1</v>
      </c>
      <c r="F72" s="21">
        <v>1</v>
      </c>
      <c r="G72" s="21" t="b">
        <v>0</v>
      </c>
      <c r="H72" s="21">
        <v>2</v>
      </c>
      <c r="I72" s="21">
        <v>1</v>
      </c>
      <c r="J72" s="21">
        <v>0.16</v>
      </c>
      <c r="K72" s="21">
        <v>0.18179999999999999</v>
      </c>
      <c r="L72" s="21">
        <v>0.59</v>
      </c>
      <c r="M72" s="21">
        <v>0.1045</v>
      </c>
      <c r="N72" s="21">
        <v>0</v>
      </c>
      <c r="O72" s="21">
        <v>2</v>
      </c>
      <c r="P72" s="21">
        <v>2</v>
      </c>
    </row>
    <row r="73" spans="1:16" x14ac:dyDescent="0.35">
      <c r="A73" s="21">
        <v>72</v>
      </c>
      <c r="B73" s="39">
        <v>40547</v>
      </c>
      <c r="C73" s="21">
        <v>1</v>
      </c>
      <c r="D73" s="21">
        <v>0</v>
      </c>
      <c r="E73" s="21">
        <v>1</v>
      </c>
      <c r="F73" s="21">
        <v>2</v>
      </c>
      <c r="G73" s="21" t="b">
        <v>0</v>
      </c>
      <c r="H73" s="21">
        <v>2</v>
      </c>
      <c r="I73" s="21">
        <v>1</v>
      </c>
      <c r="J73" s="21">
        <v>0.14000000000000001</v>
      </c>
      <c r="K73" s="21">
        <v>0.1515</v>
      </c>
      <c r="L73" s="21">
        <v>0.63</v>
      </c>
      <c r="M73" s="21">
        <v>0.1343</v>
      </c>
      <c r="N73" s="21">
        <v>0</v>
      </c>
      <c r="O73" s="21">
        <v>1</v>
      </c>
      <c r="P73" s="21">
        <v>1</v>
      </c>
    </row>
    <row r="74" spans="1:16" x14ac:dyDescent="0.35">
      <c r="A74" s="21">
        <v>73</v>
      </c>
      <c r="B74" s="39">
        <v>40547</v>
      </c>
      <c r="C74" s="21">
        <v>1</v>
      </c>
      <c r="D74" s="21">
        <v>0</v>
      </c>
      <c r="E74" s="21">
        <v>1</v>
      </c>
      <c r="F74" s="21">
        <v>4</v>
      </c>
      <c r="G74" s="21" t="b">
        <v>0</v>
      </c>
      <c r="H74" s="21">
        <v>2</v>
      </c>
      <c r="I74" s="21">
        <v>1</v>
      </c>
      <c r="J74" s="21">
        <v>0.14000000000000001</v>
      </c>
      <c r="K74" s="21">
        <v>0.18179999999999999</v>
      </c>
      <c r="L74" s="21">
        <v>0.63</v>
      </c>
      <c r="M74" s="21">
        <v>8.9599999999999999E-2</v>
      </c>
      <c r="N74" s="21">
        <v>0</v>
      </c>
      <c r="O74" s="21">
        <v>2</v>
      </c>
      <c r="P74" s="21">
        <v>2</v>
      </c>
    </row>
    <row r="75" spans="1:16" x14ac:dyDescent="0.35">
      <c r="A75" s="21">
        <v>74</v>
      </c>
      <c r="B75" s="39">
        <v>40547</v>
      </c>
      <c r="C75" s="21">
        <v>1</v>
      </c>
      <c r="D75" s="21">
        <v>0</v>
      </c>
      <c r="E75" s="21">
        <v>1</v>
      </c>
      <c r="F75" s="21">
        <v>5</v>
      </c>
      <c r="G75" s="21" t="b">
        <v>0</v>
      </c>
      <c r="H75" s="21">
        <v>2</v>
      </c>
      <c r="I75" s="21">
        <v>1</v>
      </c>
      <c r="J75" s="21">
        <v>0.12</v>
      </c>
      <c r="K75" s="21">
        <v>0.1515</v>
      </c>
      <c r="L75" s="21">
        <v>0.68</v>
      </c>
      <c r="M75" s="21">
        <v>0.1045</v>
      </c>
      <c r="N75" s="21">
        <v>0</v>
      </c>
      <c r="O75" s="21">
        <v>4</v>
      </c>
      <c r="P75" s="21">
        <v>4</v>
      </c>
    </row>
    <row r="76" spans="1:16" x14ac:dyDescent="0.35">
      <c r="A76" s="21">
        <v>75</v>
      </c>
      <c r="B76" s="39">
        <v>40547</v>
      </c>
      <c r="C76" s="21">
        <v>1</v>
      </c>
      <c r="D76" s="21">
        <v>0</v>
      </c>
      <c r="E76" s="21">
        <v>1</v>
      </c>
      <c r="F76" s="21">
        <v>6</v>
      </c>
      <c r="G76" s="21" t="b">
        <v>0</v>
      </c>
      <c r="H76" s="21">
        <v>2</v>
      </c>
      <c r="I76" s="21">
        <v>1</v>
      </c>
      <c r="J76" s="21">
        <v>0.12</v>
      </c>
      <c r="K76" s="21">
        <v>0.1515</v>
      </c>
      <c r="L76" s="21">
        <v>0.74</v>
      </c>
      <c r="M76" s="21">
        <v>0.1045</v>
      </c>
      <c r="N76" s="21">
        <v>0</v>
      </c>
      <c r="O76" s="21">
        <v>36</v>
      </c>
      <c r="P76" s="21">
        <v>36</v>
      </c>
    </row>
    <row r="77" spans="1:16" x14ac:dyDescent="0.35">
      <c r="A77" s="21">
        <v>76</v>
      </c>
      <c r="B77" s="39">
        <v>40547</v>
      </c>
      <c r="C77" s="21">
        <v>1</v>
      </c>
      <c r="D77" s="21">
        <v>0</v>
      </c>
      <c r="E77" s="21">
        <v>1</v>
      </c>
      <c r="F77" s="21">
        <v>7</v>
      </c>
      <c r="G77" s="21" t="b">
        <v>0</v>
      </c>
      <c r="H77" s="21">
        <v>2</v>
      </c>
      <c r="I77" s="21">
        <v>1</v>
      </c>
      <c r="J77" s="21">
        <v>0.12</v>
      </c>
      <c r="K77" s="21">
        <v>0.1515</v>
      </c>
      <c r="L77" s="21">
        <v>0.74</v>
      </c>
      <c r="M77" s="21">
        <v>0.1343</v>
      </c>
      <c r="N77" s="21">
        <v>2</v>
      </c>
      <c r="O77" s="21">
        <v>92</v>
      </c>
      <c r="P77" s="21">
        <v>94</v>
      </c>
    </row>
    <row r="78" spans="1:16" x14ac:dyDescent="0.35">
      <c r="A78" s="21">
        <v>77</v>
      </c>
      <c r="B78" s="39">
        <v>40547</v>
      </c>
      <c r="C78" s="21">
        <v>1</v>
      </c>
      <c r="D78" s="21">
        <v>0</v>
      </c>
      <c r="E78" s="21">
        <v>1</v>
      </c>
      <c r="F78" s="21">
        <v>8</v>
      </c>
      <c r="G78" s="21" t="b">
        <v>0</v>
      </c>
      <c r="H78" s="21">
        <v>2</v>
      </c>
      <c r="I78" s="21">
        <v>1</v>
      </c>
      <c r="J78" s="21">
        <v>0.14000000000000001</v>
      </c>
      <c r="K78" s="21">
        <v>0.1515</v>
      </c>
      <c r="L78" s="21">
        <v>0.69</v>
      </c>
      <c r="M78" s="21">
        <v>0.16420000000000001</v>
      </c>
      <c r="N78" s="21">
        <v>2</v>
      </c>
      <c r="O78" s="21">
        <v>177</v>
      </c>
      <c r="P78" s="21">
        <v>179</v>
      </c>
    </row>
    <row r="79" spans="1:16" x14ac:dyDescent="0.35">
      <c r="A79" s="21">
        <v>78</v>
      </c>
      <c r="B79" s="39">
        <v>40547</v>
      </c>
      <c r="C79" s="21">
        <v>1</v>
      </c>
      <c r="D79" s="21">
        <v>0</v>
      </c>
      <c r="E79" s="21">
        <v>1</v>
      </c>
      <c r="F79" s="21">
        <v>9</v>
      </c>
      <c r="G79" s="21" t="b">
        <v>0</v>
      </c>
      <c r="H79" s="21">
        <v>2</v>
      </c>
      <c r="I79" s="21">
        <v>1</v>
      </c>
      <c r="J79" s="21">
        <v>0.16</v>
      </c>
      <c r="K79" s="21">
        <v>0.1515</v>
      </c>
      <c r="L79" s="21">
        <v>0.64</v>
      </c>
      <c r="M79" s="21">
        <v>0.22389999999999999</v>
      </c>
      <c r="N79" s="21">
        <v>2</v>
      </c>
      <c r="O79" s="21">
        <v>98</v>
      </c>
      <c r="P79" s="21">
        <v>100</v>
      </c>
    </row>
    <row r="80" spans="1:16" x14ac:dyDescent="0.35">
      <c r="A80" s="21">
        <v>79</v>
      </c>
      <c r="B80" s="39">
        <v>40547</v>
      </c>
      <c r="C80" s="21">
        <v>1</v>
      </c>
      <c r="D80" s="21">
        <v>0</v>
      </c>
      <c r="E80" s="21">
        <v>1</v>
      </c>
      <c r="F80" s="21">
        <v>10</v>
      </c>
      <c r="G80" s="21" t="b">
        <v>0</v>
      </c>
      <c r="H80" s="21">
        <v>2</v>
      </c>
      <c r="I80" s="21">
        <v>2</v>
      </c>
      <c r="J80" s="21">
        <v>0.16</v>
      </c>
      <c r="K80" s="21">
        <v>0.13639999999999999</v>
      </c>
      <c r="L80" s="21">
        <v>0.69</v>
      </c>
      <c r="M80" s="21">
        <v>0.32840000000000003</v>
      </c>
      <c r="N80" s="21">
        <v>5</v>
      </c>
      <c r="O80" s="21">
        <v>37</v>
      </c>
      <c r="P80" s="21">
        <v>42</v>
      </c>
    </row>
    <row r="81" spans="1:16" x14ac:dyDescent="0.35">
      <c r="A81" s="21">
        <v>80</v>
      </c>
      <c r="B81" s="39">
        <v>40547</v>
      </c>
      <c r="C81" s="21">
        <v>1</v>
      </c>
      <c r="D81" s="21">
        <v>0</v>
      </c>
      <c r="E81" s="21">
        <v>1</v>
      </c>
      <c r="F81" s="21">
        <v>11</v>
      </c>
      <c r="G81" s="21" t="b">
        <v>0</v>
      </c>
      <c r="H81" s="21">
        <v>2</v>
      </c>
      <c r="I81" s="21">
        <v>1</v>
      </c>
      <c r="J81" s="21">
        <v>0.22</v>
      </c>
      <c r="K81" s="21">
        <v>0.21210000000000001</v>
      </c>
      <c r="L81" s="21">
        <v>0.51</v>
      </c>
      <c r="M81" s="21">
        <v>0.29849999999999999</v>
      </c>
      <c r="N81" s="21">
        <v>7</v>
      </c>
      <c r="O81" s="21">
        <v>50</v>
      </c>
      <c r="P81" s="21">
        <v>57</v>
      </c>
    </row>
    <row r="82" spans="1:16" x14ac:dyDescent="0.35">
      <c r="A82" s="21">
        <v>81</v>
      </c>
      <c r="B82" s="39">
        <v>40547</v>
      </c>
      <c r="C82" s="21">
        <v>1</v>
      </c>
      <c r="D82" s="21">
        <v>0</v>
      </c>
      <c r="E82" s="21">
        <v>1</v>
      </c>
      <c r="F82" s="21">
        <v>12</v>
      </c>
      <c r="G82" s="21" t="b">
        <v>0</v>
      </c>
      <c r="H82" s="21">
        <v>2</v>
      </c>
      <c r="I82" s="21">
        <v>1</v>
      </c>
      <c r="J82" s="21">
        <v>0.22</v>
      </c>
      <c r="K82" s="21">
        <v>0.2273</v>
      </c>
      <c r="L82" s="21">
        <v>0.51</v>
      </c>
      <c r="M82" s="21">
        <v>0.16420000000000001</v>
      </c>
      <c r="N82" s="21">
        <v>12</v>
      </c>
      <c r="O82" s="21">
        <v>66</v>
      </c>
      <c r="P82" s="21">
        <v>78</v>
      </c>
    </row>
    <row r="83" spans="1:16" x14ac:dyDescent="0.35">
      <c r="A83" s="21">
        <v>82</v>
      </c>
      <c r="B83" s="39">
        <v>40547</v>
      </c>
      <c r="C83" s="21">
        <v>1</v>
      </c>
      <c r="D83" s="21">
        <v>0</v>
      </c>
      <c r="E83" s="21">
        <v>1</v>
      </c>
      <c r="F83" s="21">
        <v>13</v>
      </c>
      <c r="G83" s="21" t="b">
        <v>0</v>
      </c>
      <c r="H83" s="21">
        <v>2</v>
      </c>
      <c r="I83" s="21">
        <v>1</v>
      </c>
      <c r="J83" s="21">
        <v>0.24</v>
      </c>
      <c r="K83" s="21">
        <v>0.2273</v>
      </c>
      <c r="L83" s="21">
        <v>0.56000000000000005</v>
      </c>
      <c r="M83" s="21">
        <v>0.19400000000000001</v>
      </c>
      <c r="N83" s="21">
        <v>18</v>
      </c>
      <c r="O83" s="21">
        <v>79</v>
      </c>
      <c r="P83" s="21">
        <v>97</v>
      </c>
    </row>
    <row r="84" spans="1:16" x14ac:dyDescent="0.35">
      <c r="A84" s="21">
        <v>83</v>
      </c>
      <c r="B84" s="39">
        <v>40547</v>
      </c>
      <c r="C84" s="21">
        <v>1</v>
      </c>
      <c r="D84" s="21">
        <v>0</v>
      </c>
      <c r="E84" s="21">
        <v>1</v>
      </c>
      <c r="F84" s="21">
        <v>14</v>
      </c>
      <c r="G84" s="21" t="b">
        <v>0</v>
      </c>
      <c r="H84" s="21">
        <v>2</v>
      </c>
      <c r="I84" s="21">
        <v>1</v>
      </c>
      <c r="J84" s="21">
        <v>0.26</v>
      </c>
      <c r="K84" s="21">
        <v>0.2576</v>
      </c>
      <c r="L84" s="21">
        <v>0.52</v>
      </c>
      <c r="M84" s="21">
        <v>0.22389999999999999</v>
      </c>
      <c r="N84" s="21">
        <v>9</v>
      </c>
      <c r="O84" s="21">
        <v>54</v>
      </c>
      <c r="P84" s="21">
        <v>63</v>
      </c>
    </row>
    <row r="85" spans="1:16" x14ac:dyDescent="0.35">
      <c r="A85" s="21">
        <v>84</v>
      </c>
      <c r="B85" s="39">
        <v>40547</v>
      </c>
      <c r="C85" s="21">
        <v>1</v>
      </c>
      <c r="D85" s="21">
        <v>0</v>
      </c>
      <c r="E85" s="21">
        <v>1</v>
      </c>
      <c r="F85" s="21">
        <v>15</v>
      </c>
      <c r="G85" s="21" t="b">
        <v>0</v>
      </c>
      <c r="H85" s="21">
        <v>2</v>
      </c>
      <c r="I85" s="21">
        <v>1</v>
      </c>
      <c r="J85" s="21">
        <v>0.28000000000000003</v>
      </c>
      <c r="K85" s="21">
        <v>0.2727</v>
      </c>
      <c r="L85" s="21">
        <v>0.52</v>
      </c>
      <c r="M85" s="21">
        <v>0.25369999999999998</v>
      </c>
      <c r="N85" s="21">
        <v>17</v>
      </c>
      <c r="O85" s="21">
        <v>48</v>
      </c>
      <c r="P85" s="21">
        <v>65</v>
      </c>
    </row>
    <row r="86" spans="1:16" x14ac:dyDescent="0.35">
      <c r="A86" s="21">
        <v>85</v>
      </c>
      <c r="B86" s="39">
        <v>40547</v>
      </c>
      <c r="C86" s="21">
        <v>1</v>
      </c>
      <c r="D86" s="21">
        <v>0</v>
      </c>
      <c r="E86" s="21">
        <v>1</v>
      </c>
      <c r="F86" s="21">
        <v>16</v>
      </c>
      <c r="G86" s="21" t="b">
        <v>0</v>
      </c>
      <c r="H86" s="21">
        <v>2</v>
      </c>
      <c r="I86" s="21">
        <v>1</v>
      </c>
      <c r="J86" s="21">
        <v>0.3</v>
      </c>
      <c r="K86" s="21">
        <v>0.28789999999999999</v>
      </c>
      <c r="L86" s="21">
        <v>0.49</v>
      </c>
      <c r="M86" s="21">
        <v>0.25369999999999998</v>
      </c>
      <c r="N86" s="21">
        <v>15</v>
      </c>
      <c r="O86" s="21">
        <v>68</v>
      </c>
      <c r="P86" s="21">
        <v>83</v>
      </c>
    </row>
    <row r="87" spans="1:16" x14ac:dyDescent="0.35">
      <c r="A87" s="21">
        <v>86</v>
      </c>
      <c r="B87" s="39">
        <v>40547</v>
      </c>
      <c r="C87" s="21">
        <v>1</v>
      </c>
      <c r="D87" s="21">
        <v>0</v>
      </c>
      <c r="E87" s="21">
        <v>1</v>
      </c>
      <c r="F87" s="21">
        <v>17</v>
      </c>
      <c r="G87" s="21" t="b">
        <v>0</v>
      </c>
      <c r="H87" s="21">
        <v>2</v>
      </c>
      <c r="I87" s="21">
        <v>1</v>
      </c>
      <c r="J87" s="21">
        <v>0.28000000000000003</v>
      </c>
      <c r="K87" s="21">
        <v>0.2727</v>
      </c>
      <c r="L87" s="21">
        <v>0.48</v>
      </c>
      <c r="M87" s="21">
        <v>0.22389999999999999</v>
      </c>
      <c r="N87" s="21">
        <v>10</v>
      </c>
      <c r="O87" s="21">
        <v>202</v>
      </c>
      <c r="P87" s="21">
        <v>212</v>
      </c>
    </row>
    <row r="88" spans="1:16" x14ac:dyDescent="0.35">
      <c r="A88" s="21">
        <v>87</v>
      </c>
      <c r="B88" s="39">
        <v>40547</v>
      </c>
      <c r="C88" s="21">
        <v>1</v>
      </c>
      <c r="D88" s="21">
        <v>0</v>
      </c>
      <c r="E88" s="21">
        <v>1</v>
      </c>
      <c r="F88" s="21">
        <v>18</v>
      </c>
      <c r="G88" s="21" t="b">
        <v>0</v>
      </c>
      <c r="H88" s="21">
        <v>2</v>
      </c>
      <c r="I88" s="21">
        <v>1</v>
      </c>
      <c r="J88" s="21">
        <v>0.26</v>
      </c>
      <c r="K88" s="21">
        <v>0.2576</v>
      </c>
      <c r="L88" s="21">
        <v>0.48</v>
      </c>
      <c r="M88" s="21">
        <v>0.19400000000000001</v>
      </c>
      <c r="N88" s="21">
        <v>3</v>
      </c>
      <c r="O88" s="21">
        <v>179</v>
      </c>
      <c r="P88" s="21">
        <v>182</v>
      </c>
    </row>
    <row r="89" spans="1:16" x14ac:dyDescent="0.35">
      <c r="A89" s="21">
        <v>88</v>
      </c>
      <c r="B89" s="39">
        <v>40547</v>
      </c>
      <c r="C89" s="21">
        <v>1</v>
      </c>
      <c r="D89" s="21">
        <v>0</v>
      </c>
      <c r="E89" s="21">
        <v>1</v>
      </c>
      <c r="F89" s="21">
        <v>19</v>
      </c>
      <c r="G89" s="21" t="b">
        <v>0</v>
      </c>
      <c r="H89" s="21">
        <v>2</v>
      </c>
      <c r="I89" s="21">
        <v>1</v>
      </c>
      <c r="J89" s="21">
        <v>0.24</v>
      </c>
      <c r="K89" s="21">
        <v>0.2576</v>
      </c>
      <c r="L89" s="21">
        <v>0.48</v>
      </c>
      <c r="M89" s="21">
        <v>0.1045</v>
      </c>
      <c r="N89" s="21">
        <v>2</v>
      </c>
      <c r="O89" s="21">
        <v>110</v>
      </c>
      <c r="P89" s="21">
        <v>112</v>
      </c>
    </row>
    <row r="90" spans="1:16" x14ac:dyDescent="0.35">
      <c r="A90" s="21">
        <v>89</v>
      </c>
      <c r="B90" s="39">
        <v>40547</v>
      </c>
      <c r="C90" s="21">
        <v>1</v>
      </c>
      <c r="D90" s="21">
        <v>0</v>
      </c>
      <c r="E90" s="21">
        <v>1</v>
      </c>
      <c r="F90" s="21">
        <v>20</v>
      </c>
      <c r="G90" s="21" t="b">
        <v>0</v>
      </c>
      <c r="H90" s="21">
        <v>2</v>
      </c>
      <c r="I90" s="21">
        <v>1</v>
      </c>
      <c r="J90" s="21">
        <v>0.24</v>
      </c>
      <c r="K90" s="21">
        <v>0.2576</v>
      </c>
      <c r="L90" s="21">
        <v>0.48</v>
      </c>
      <c r="M90" s="21">
        <v>0.1045</v>
      </c>
      <c r="N90" s="21">
        <v>1</v>
      </c>
      <c r="O90" s="21">
        <v>53</v>
      </c>
      <c r="P90" s="21">
        <v>54</v>
      </c>
    </row>
    <row r="91" spans="1:16" x14ac:dyDescent="0.35">
      <c r="A91" s="21">
        <v>90</v>
      </c>
      <c r="B91" s="39">
        <v>40547</v>
      </c>
      <c r="C91" s="21">
        <v>1</v>
      </c>
      <c r="D91" s="21">
        <v>0</v>
      </c>
      <c r="E91" s="21">
        <v>1</v>
      </c>
      <c r="F91" s="21">
        <v>21</v>
      </c>
      <c r="G91" s="21" t="b">
        <v>0</v>
      </c>
      <c r="H91" s="21">
        <v>2</v>
      </c>
      <c r="I91" s="21">
        <v>1</v>
      </c>
      <c r="J91" s="21">
        <v>0.22</v>
      </c>
      <c r="K91" s="21">
        <v>0.2727</v>
      </c>
      <c r="L91" s="21">
        <v>0.64</v>
      </c>
      <c r="M91" s="21">
        <v>0</v>
      </c>
      <c r="N91" s="21">
        <v>0</v>
      </c>
      <c r="O91" s="21">
        <v>48</v>
      </c>
      <c r="P91" s="21">
        <v>48</v>
      </c>
    </row>
    <row r="92" spans="1:16" x14ac:dyDescent="0.35">
      <c r="A92" s="21">
        <v>91</v>
      </c>
      <c r="B92" s="39">
        <v>40547</v>
      </c>
      <c r="C92" s="21">
        <v>1</v>
      </c>
      <c r="D92" s="21">
        <v>0</v>
      </c>
      <c r="E92" s="21">
        <v>1</v>
      </c>
      <c r="F92" s="21">
        <v>22</v>
      </c>
      <c r="G92" s="21" t="b">
        <v>0</v>
      </c>
      <c r="H92" s="21">
        <v>2</v>
      </c>
      <c r="I92" s="21">
        <v>1</v>
      </c>
      <c r="J92" s="21">
        <v>0.22</v>
      </c>
      <c r="K92" s="21">
        <v>0.2576</v>
      </c>
      <c r="L92" s="21">
        <v>0.64</v>
      </c>
      <c r="M92" s="21">
        <v>8.9599999999999999E-2</v>
      </c>
      <c r="N92" s="21">
        <v>1</v>
      </c>
      <c r="O92" s="21">
        <v>34</v>
      </c>
      <c r="P92" s="21">
        <v>35</v>
      </c>
    </row>
    <row r="93" spans="1:16" x14ac:dyDescent="0.35">
      <c r="A93" s="21">
        <v>92</v>
      </c>
      <c r="B93" s="39">
        <v>40547</v>
      </c>
      <c r="C93" s="21">
        <v>1</v>
      </c>
      <c r="D93" s="21">
        <v>0</v>
      </c>
      <c r="E93" s="21">
        <v>1</v>
      </c>
      <c r="F93" s="21">
        <v>23</v>
      </c>
      <c r="G93" s="21" t="b">
        <v>0</v>
      </c>
      <c r="H93" s="21">
        <v>2</v>
      </c>
      <c r="I93" s="21">
        <v>1</v>
      </c>
      <c r="J93" s="21">
        <v>0.2</v>
      </c>
      <c r="K93" s="21">
        <v>0.2273</v>
      </c>
      <c r="L93" s="21">
        <v>0.69</v>
      </c>
      <c r="M93" s="21">
        <v>8.9599999999999999E-2</v>
      </c>
      <c r="N93" s="21">
        <v>2</v>
      </c>
      <c r="O93" s="21">
        <v>9</v>
      </c>
      <c r="P93" s="21">
        <v>11</v>
      </c>
    </row>
    <row r="94" spans="1:16" x14ac:dyDescent="0.35">
      <c r="A94" s="21">
        <v>93</v>
      </c>
      <c r="B94" s="39">
        <v>40548</v>
      </c>
      <c r="C94" s="21">
        <v>1</v>
      </c>
      <c r="D94" s="21">
        <v>0</v>
      </c>
      <c r="E94" s="21">
        <v>1</v>
      </c>
      <c r="F94" s="21">
        <v>0</v>
      </c>
      <c r="G94" s="21" t="b">
        <v>0</v>
      </c>
      <c r="H94" s="21">
        <v>3</v>
      </c>
      <c r="I94" s="21">
        <v>1</v>
      </c>
      <c r="J94" s="21">
        <v>0.2</v>
      </c>
      <c r="K94" s="21">
        <v>0.2576</v>
      </c>
      <c r="L94" s="21">
        <v>0.64</v>
      </c>
      <c r="M94" s="21">
        <v>0</v>
      </c>
      <c r="N94" s="21">
        <v>0</v>
      </c>
      <c r="O94" s="21">
        <v>6</v>
      </c>
      <c r="P94" s="21">
        <v>6</v>
      </c>
    </row>
    <row r="95" spans="1:16" x14ac:dyDescent="0.35">
      <c r="A95" s="21">
        <v>94</v>
      </c>
      <c r="B95" s="39">
        <v>40548</v>
      </c>
      <c r="C95" s="21">
        <v>1</v>
      </c>
      <c r="D95" s="21">
        <v>0</v>
      </c>
      <c r="E95" s="21">
        <v>1</v>
      </c>
      <c r="F95" s="21">
        <v>1</v>
      </c>
      <c r="G95" s="21" t="b">
        <v>0</v>
      </c>
      <c r="H95" s="21">
        <v>3</v>
      </c>
      <c r="I95" s="21">
        <v>1</v>
      </c>
      <c r="J95" s="21">
        <v>0.16</v>
      </c>
      <c r="K95" s="21">
        <v>0.19700000000000001</v>
      </c>
      <c r="L95" s="21">
        <v>0.74</v>
      </c>
      <c r="M95" s="21">
        <v>8.9599999999999999E-2</v>
      </c>
      <c r="N95" s="21">
        <v>0</v>
      </c>
      <c r="O95" s="21">
        <v>6</v>
      </c>
      <c r="P95" s="21">
        <v>6</v>
      </c>
    </row>
    <row r="96" spans="1:16" x14ac:dyDescent="0.35">
      <c r="A96" s="21">
        <v>95</v>
      </c>
      <c r="B96" s="39">
        <v>40548</v>
      </c>
      <c r="C96" s="21">
        <v>1</v>
      </c>
      <c r="D96" s="21">
        <v>0</v>
      </c>
      <c r="E96" s="21">
        <v>1</v>
      </c>
      <c r="F96" s="21">
        <v>2</v>
      </c>
      <c r="G96" s="21" t="b">
        <v>0</v>
      </c>
      <c r="H96" s="21">
        <v>3</v>
      </c>
      <c r="I96" s="21">
        <v>1</v>
      </c>
      <c r="J96" s="21">
        <v>0.16</v>
      </c>
      <c r="K96" s="21">
        <v>0.19700000000000001</v>
      </c>
      <c r="L96" s="21">
        <v>0.74</v>
      </c>
      <c r="M96" s="21">
        <v>8.9599999999999999E-2</v>
      </c>
      <c r="N96" s="21">
        <v>0</v>
      </c>
      <c r="O96" s="21">
        <v>2</v>
      </c>
      <c r="P96" s="21">
        <v>2</v>
      </c>
    </row>
    <row r="97" spans="1:16" x14ac:dyDescent="0.35">
      <c r="A97" s="21">
        <v>96</v>
      </c>
      <c r="B97" s="39">
        <v>40548</v>
      </c>
      <c r="C97" s="21">
        <v>1</v>
      </c>
      <c r="D97" s="21">
        <v>0</v>
      </c>
      <c r="E97" s="21">
        <v>1</v>
      </c>
      <c r="F97" s="21">
        <v>4</v>
      </c>
      <c r="G97" s="21" t="b">
        <v>0</v>
      </c>
      <c r="H97" s="21">
        <v>3</v>
      </c>
      <c r="I97" s="21">
        <v>1</v>
      </c>
      <c r="J97" s="21">
        <v>0.24</v>
      </c>
      <c r="K97" s="21">
        <v>0.2273</v>
      </c>
      <c r="L97" s="21">
        <v>0.48</v>
      </c>
      <c r="M97" s="21">
        <v>0.22389999999999999</v>
      </c>
      <c r="N97" s="21">
        <v>0</v>
      </c>
      <c r="O97" s="21">
        <v>2</v>
      </c>
      <c r="P97" s="21">
        <v>2</v>
      </c>
    </row>
    <row r="98" spans="1:16" x14ac:dyDescent="0.35">
      <c r="A98" s="21">
        <v>97</v>
      </c>
      <c r="B98" s="39">
        <v>40548</v>
      </c>
      <c r="C98" s="21">
        <v>1</v>
      </c>
      <c r="D98" s="21">
        <v>0</v>
      </c>
      <c r="E98" s="21">
        <v>1</v>
      </c>
      <c r="F98" s="21">
        <v>5</v>
      </c>
      <c r="G98" s="21" t="b">
        <v>0</v>
      </c>
      <c r="H98" s="21">
        <v>3</v>
      </c>
      <c r="I98" s="21">
        <v>1</v>
      </c>
      <c r="J98" s="21">
        <v>0.22</v>
      </c>
      <c r="K98" s="21">
        <v>0.2273</v>
      </c>
      <c r="L98" s="21">
        <v>0.47</v>
      </c>
      <c r="M98" s="21">
        <v>0.16420000000000001</v>
      </c>
      <c r="N98" s="21">
        <v>0</v>
      </c>
      <c r="O98" s="21">
        <v>3</v>
      </c>
      <c r="P98" s="21">
        <v>3</v>
      </c>
    </row>
    <row r="99" spans="1:16" x14ac:dyDescent="0.35">
      <c r="A99" s="21">
        <v>98</v>
      </c>
      <c r="B99" s="39">
        <v>40548</v>
      </c>
      <c r="C99" s="21">
        <v>1</v>
      </c>
      <c r="D99" s="21">
        <v>0</v>
      </c>
      <c r="E99" s="21">
        <v>1</v>
      </c>
      <c r="F99" s="21">
        <v>6</v>
      </c>
      <c r="G99" s="21" t="b">
        <v>0</v>
      </c>
      <c r="H99" s="21">
        <v>3</v>
      </c>
      <c r="I99" s="21">
        <v>1</v>
      </c>
      <c r="J99" s="21">
        <v>0.2</v>
      </c>
      <c r="K99" s="21">
        <v>0.19700000000000001</v>
      </c>
      <c r="L99" s="21">
        <v>0.47</v>
      </c>
      <c r="M99" s="21">
        <v>0.22389999999999999</v>
      </c>
      <c r="N99" s="21">
        <v>0</v>
      </c>
      <c r="O99" s="21">
        <v>33</v>
      </c>
      <c r="P99" s="21">
        <v>33</v>
      </c>
    </row>
    <row r="100" spans="1:16" x14ac:dyDescent="0.35">
      <c r="A100" s="21">
        <v>99</v>
      </c>
      <c r="B100" s="39">
        <v>40548</v>
      </c>
      <c r="C100" s="21">
        <v>1</v>
      </c>
      <c r="D100" s="21">
        <v>0</v>
      </c>
      <c r="E100" s="21">
        <v>1</v>
      </c>
      <c r="F100" s="21">
        <v>7</v>
      </c>
      <c r="G100" s="21" t="b">
        <v>0</v>
      </c>
      <c r="H100" s="21">
        <v>3</v>
      </c>
      <c r="I100" s="21">
        <v>1</v>
      </c>
      <c r="J100" s="21">
        <v>0.18</v>
      </c>
      <c r="K100" s="21">
        <v>0.18179999999999999</v>
      </c>
      <c r="L100" s="21">
        <v>0.43</v>
      </c>
      <c r="M100" s="21">
        <v>0.19400000000000001</v>
      </c>
      <c r="N100" s="21">
        <v>1</v>
      </c>
      <c r="O100" s="21">
        <v>87</v>
      </c>
      <c r="P100" s="21">
        <v>88</v>
      </c>
    </row>
    <row r="101" spans="1:16" x14ac:dyDescent="0.35">
      <c r="A101" s="21">
        <v>100</v>
      </c>
      <c r="B101" s="39">
        <v>40548</v>
      </c>
      <c r="C101" s="21">
        <v>1</v>
      </c>
      <c r="D101" s="21">
        <v>0</v>
      </c>
      <c r="E101" s="21">
        <v>1</v>
      </c>
      <c r="F101" s="21">
        <v>8</v>
      </c>
      <c r="G101" s="21" t="b">
        <v>0</v>
      </c>
      <c r="H101" s="21">
        <v>3</v>
      </c>
      <c r="I101" s="21">
        <v>1</v>
      </c>
      <c r="J101" s="21">
        <v>0.2</v>
      </c>
      <c r="K101" s="21">
        <v>0.18179999999999999</v>
      </c>
      <c r="L101" s="21">
        <v>0.4</v>
      </c>
      <c r="M101" s="21">
        <v>0.29849999999999999</v>
      </c>
      <c r="N101" s="21">
        <v>3</v>
      </c>
      <c r="O101" s="21">
        <v>192</v>
      </c>
      <c r="P101" s="21">
        <v>195</v>
      </c>
    </row>
    <row r="102" spans="1:16" x14ac:dyDescent="0.35">
      <c r="A102" s="21">
        <v>101</v>
      </c>
      <c r="B102" s="39">
        <v>40548</v>
      </c>
      <c r="C102" s="21">
        <v>1</v>
      </c>
      <c r="D102" s="21">
        <v>0</v>
      </c>
      <c r="E102" s="21">
        <v>1</v>
      </c>
      <c r="F102" s="21">
        <v>9</v>
      </c>
      <c r="G102" s="21" t="b">
        <v>0</v>
      </c>
      <c r="H102" s="21">
        <v>3</v>
      </c>
      <c r="I102" s="21">
        <v>1</v>
      </c>
      <c r="J102" s="21">
        <v>0.22</v>
      </c>
      <c r="K102" s="21">
        <v>0.19700000000000001</v>
      </c>
      <c r="L102" s="21">
        <v>0.37</v>
      </c>
      <c r="M102" s="21">
        <v>0.32840000000000003</v>
      </c>
      <c r="N102" s="21">
        <v>6</v>
      </c>
      <c r="O102" s="21">
        <v>109</v>
      </c>
      <c r="P102" s="21">
        <v>115</v>
      </c>
    </row>
    <row r="103" spans="1:16" x14ac:dyDescent="0.35">
      <c r="A103" s="21">
        <v>102</v>
      </c>
      <c r="B103" s="39">
        <v>40548</v>
      </c>
      <c r="C103" s="21">
        <v>1</v>
      </c>
      <c r="D103" s="21">
        <v>0</v>
      </c>
      <c r="E103" s="21">
        <v>1</v>
      </c>
      <c r="F103" s="21">
        <v>10</v>
      </c>
      <c r="G103" s="21" t="b">
        <v>0</v>
      </c>
      <c r="H103" s="21">
        <v>3</v>
      </c>
      <c r="I103" s="21">
        <v>1</v>
      </c>
      <c r="J103" s="21">
        <v>0.22</v>
      </c>
      <c r="K103" s="21">
        <v>0.19700000000000001</v>
      </c>
      <c r="L103" s="21">
        <v>0.37</v>
      </c>
      <c r="M103" s="21">
        <v>0.32840000000000003</v>
      </c>
      <c r="N103" s="21">
        <v>4</v>
      </c>
      <c r="O103" s="21">
        <v>53</v>
      </c>
      <c r="P103" s="21">
        <v>57</v>
      </c>
    </row>
    <row r="104" spans="1:16" x14ac:dyDescent="0.35">
      <c r="A104" s="21">
        <v>103</v>
      </c>
      <c r="B104" s="39">
        <v>40548</v>
      </c>
      <c r="C104" s="21">
        <v>1</v>
      </c>
      <c r="D104" s="21">
        <v>0</v>
      </c>
      <c r="E104" s="21">
        <v>1</v>
      </c>
      <c r="F104" s="21">
        <v>11</v>
      </c>
      <c r="G104" s="21" t="b">
        <v>0</v>
      </c>
      <c r="H104" s="21">
        <v>3</v>
      </c>
      <c r="I104" s="21">
        <v>1</v>
      </c>
      <c r="J104" s="21">
        <v>0.26</v>
      </c>
      <c r="K104" s="21">
        <v>0.2273</v>
      </c>
      <c r="L104" s="21">
        <v>0.33</v>
      </c>
      <c r="M104" s="21">
        <v>0.32840000000000003</v>
      </c>
      <c r="N104" s="21">
        <v>12</v>
      </c>
      <c r="O104" s="21">
        <v>34</v>
      </c>
      <c r="P104" s="21">
        <v>46</v>
      </c>
    </row>
    <row r="105" spans="1:16" x14ac:dyDescent="0.35">
      <c r="A105" s="21">
        <v>104</v>
      </c>
      <c r="B105" s="39">
        <v>40548</v>
      </c>
      <c r="C105" s="21">
        <v>1</v>
      </c>
      <c r="D105" s="21">
        <v>0</v>
      </c>
      <c r="E105" s="21">
        <v>1</v>
      </c>
      <c r="F105" s="21">
        <v>12</v>
      </c>
      <c r="G105" s="21" t="b">
        <v>0</v>
      </c>
      <c r="H105" s="21">
        <v>3</v>
      </c>
      <c r="I105" s="21">
        <v>1</v>
      </c>
      <c r="J105" s="21">
        <v>0.26</v>
      </c>
      <c r="K105" s="21">
        <v>0.2273</v>
      </c>
      <c r="L105" s="21">
        <v>0.33</v>
      </c>
      <c r="M105" s="21">
        <v>0.32840000000000003</v>
      </c>
      <c r="N105" s="21">
        <v>5</v>
      </c>
      <c r="O105" s="21">
        <v>74</v>
      </c>
      <c r="P105" s="21">
        <v>79</v>
      </c>
    </row>
    <row r="106" spans="1:16" x14ac:dyDescent="0.35">
      <c r="A106" s="21">
        <v>105</v>
      </c>
      <c r="B106" s="39">
        <v>40548</v>
      </c>
      <c r="C106" s="21">
        <v>1</v>
      </c>
      <c r="D106" s="21">
        <v>0</v>
      </c>
      <c r="E106" s="21">
        <v>1</v>
      </c>
      <c r="F106" s="21">
        <v>13</v>
      </c>
      <c r="G106" s="21" t="b">
        <v>0</v>
      </c>
      <c r="H106" s="21">
        <v>3</v>
      </c>
      <c r="I106" s="21">
        <v>1</v>
      </c>
      <c r="J106" s="21">
        <v>0.28000000000000003</v>
      </c>
      <c r="K106" s="21">
        <v>0.2576</v>
      </c>
      <c r="L106" s="21">
        <v>0.3</v>
      </c>
      <c r="M106" s="21">
        <v>0.29849999999999999</v>
      </c>
      <c r="N106" s="21">
        <v>6</v>
      </c>
      <c r="O106" s="21">
        <v>65</v>
      </c>
      <c r="P106" s="21">
        <v>71</v>
      </c>
    </row>
    <row r="107" spans="1:16" x14ac:dyDescent="0.35">
      <c r="A107" s="21">
        <v>106</v>
      </c>
      <c r="B107" s="39">
        <v>40548</v>
      </c>
      <c r="C107" s="21">
        <v>1</v>
      </c>
      <c r="D107" s="21">
        <v>0</v>
      </c>
      <c r="E107" s="21">
        <v>1</v>
      </c>
      <c r="F107" s="21">
        <v>14</v>
      </c>
      <c r="G107" s="21" t="b">
        <v>0</v>
      </c>
      <c r="H107" s="21">
        <v>3</v>
      </c>
      <c r="I107" s="21">
        <v>1</v>
      </c>
      <c r="J107" s="21">
        <v>0.3</v>
      </c>
      <c r="K107" s="21">
        <v>0.28789999999999999</v>
      </c>
      <c r="L107" s="21">
        <v>0.28000000000000003</v>
      </c>
      <c r="M107" s="21">
        <v>0.19400000000000001</v>
      </c>
      <c r="N107" s="21">
        <v>10</v>
      </c>
      <c r="O107" s="21">
        <v>52</v>
      </c>
      <c r="P107" s="21">
        <v>62</v>
      </c>
    </row>
    <row r="108" spans="1:16" x14ac:dyDescent="0.35">
      <c r="A108" s="21">
        <v>107</v>
      </c>
      <c r="B108" s="39">
        <v>40548</v>
      </c>
      <c r="C108" s="21">
        <v>1</v>
      </c>
      <c r="D108" s="21">
        <v>0</v>
      </c>
      <c r="E108" s="21">
        <v>1</v>
      </c>
      <c r="F108" s="21">
        <v>15</v>
      </c>
      <c r="G108" s="21" t="b">
        <v>0</v>
      </c>
      <c r="H108" s="21">
        <v>3</v>
      </c>
      <c r="I108" s="21">
        <v>1</v>
      </c>
      <c r="J108" s="21">
        <v>0.3</v>
      </c>
      <c r="K108" s="21">
        <v>0.28789999999999999</v>
      </c>
      <c r="L108" s="21">
        <v>0.28000000000000003</v>
      </c>
      <c r="M108" s="21">
        <v>0.19400000000000001</v>
      </c>
      <c r="N108" s="21">
        <v>7</v>
      </c>
      <c r="O108" s="21">
        <v>55</v>
      </c>
      <c r="P108" s="21">
        <v>62</v>
      </c>
    </row>
    <row r="109" spans="1:16" x14ac:dyDescent="0.35">
      <c r="A109" s="21">
        <v>108</v>
      </c>
      <c r="B109" s="39">
        <v>40548</v>
      </c>
      <c r="C109" s="21">
        <v>1</v>
      </c>
      <c r="D109" s="21">
        <v>0</v>
      </c>
      <c r="E109" s="21">
        <v>1</v>
      </c>
      <c r="F109" s="21">
        <v>16</v>
      </c>
      <c r="G109" s="21" t="b">
        <v>0</v>
      </c>
      <c r="H109" s="21">
        <v>3</v>
      </c>
      <c r="I109" s="21">
        <v>1</v>
      </c>
      <c r="J109" s="21">
        <v>0.3</v>
      </c>
      <c r="K109" s="21">
        <v>0.31819999999999998</v>
      </c>
      <c r="L109" s="21">
        <v>0.28000000000000003</v>
      </c>
      <c r="M109" s="21">
        <v>8.9599999999999999E-2</v>
      </c>
      <c r="N109" s="21">
        <v>4</v>
      </c>
      <c r="O109" s="21">
        <v>85</v>
      </c>
      <c r="P109" s="21">
        <v>89</v>
      </c>
    </row>
    <row r="110" spans="1:16" x14ac:dyDescent="0.35">
      <c r="A110" s="21">
        <v>109</v>
      </c>
      <c r="B110" s="39">
        <v>40548</v>
      </c>
      <c r="C110" s="21">
        <v>1</v>
      </c>
      <c r="D110" s="21">
        <v>0</v>
      </c>
      <c r="E110" s="21">
        <v>1</v>
      </c>
      <c r="F110" s="21">
        <v>17</v>
      </c>
      <c r="G110" s="21" t="b">
        <v>0</v>
      </c>
      <c r="H110" s="21">
        <v>3</v>
      </c>
      <c r="I110" s="21">
        <v>1</v>
      </c>
      <c r="J110" s="21">
        <v>0.24</v>
      </c>
      <c r="K110" s="21">
        <v>0.2273</v>
      </c>
      <c r="L110" s="21">
        <v>0.38</v>
      </c>
      <c r="M110" s="21">
        <v>0.19400000000000001</v>
      </c>
      <c r="N110" s="21">
        <v>4</v>
      </c>
      <c r="O110" s="21">
        <v>186</v>
      </c>
      <c r="P110" s="21">
        <v>190</v>
      </c>
    </row>
    <row r="111" spans="1:16" x14ac:dyDescent="0.35">
      <c r="A111" s="21">
        <v>110</v>
      </c>
      <c r="B111" s="39">
        <v>40548</v>
      </c>
      <c r="C111" s="21">
        <v>1</v>
      </c>
      <c r="D111" s="21">
        <v>0</v>
      </c>
      <c r="E111" s="21">
        <v>1</v>
      </c>
      <c r="F111" s="21">
        <v>18</v>
      </c>
      <c r="G111" s="21" t="b">
        <v>0</v>
      </c>
      <c r="H111" s="21">
        <v>3</v>
      </c>
      <c r="I111" s="21">
        <v>1</v>
      </c>
      <c r="J111" s="21">
        <v>0.24</v>
      </c>
      <c r="K111" s="21">
        <v>0.2424</v>
      </c>
      <c r="L111" s="21">
        <v>0.38</v>
      </c>
      <c r="M111" s="21">
        <v>0.1343</v>
      </c>
      <c r="N111" s="21">
        <v>3</v>
      </c>
      <c r="O111" s="21">
        <v>166</v>
      </c>
      <c r="P111" s="21">
        <v>169</v>
      </c>
    </row>
    <row r="112" spans="1:16" x14ac:dyDescent="0.35">
      <c r="A112" s="21">
        <v>111</v>
      </c>
      <c r="B112" s="39">
        <v>40548</v>
      </c>
      <c r="C112" s="21">
        <v>1</v>
      </c>
      <c r="D112" s="21">
        <v>0</v>
      </c>
      <c r="E112" s="21">
        <v>1</v>
      </c>
      <c r="F112" s="21">
        <v>19</v>
      </c>
      <c r="G112" s="21" t="b">
        <v>0</v>
      </c>
      <c r="H112" s="21">
        <v>3</v>
      </c>
      <c r="I112" s="21">
        <v>1</v>
      </c>
      <c r="J112" s="21">
        <v>0.24</v>
      </c>
      <c r="K112" s="21">
        <v>0.2576</v>
      </c>
      <c r="L112" s="21">
        <v>0.38</v>
      </c>
      <c r="M112" s="21">
        <v>0.1045</v>
      </c>
      <c r="N112" s="21">
        <v>5</v>
      </c>
      <c r="O112" s="21">
        <v>127</v>
      </c>
      <c r="P112" s="21">
        <v>132</v>
      </c>
    </row>
    <row r="113" spans="1:16" x14ac:dyDescent="0.35">
      <c r="A113" s="21">
        <v>112</v>
      </c>
      <c r="B113" s="39">
        <v>40548</v>
      </c>
      <c r="C113" s="21">
        <v>1</v>
      </c>
      <c r="D113" s="21">
        <v>0</v>
      </c>
      <c r="E113" s="21">
        <v>1</v>
      </c>
      <c r="F113" s="21">
        <v>20</v>
      </c>
      <c r="G113" s="21" t="b">
        <v>0</v>
      </c>
      <c r="H113" s="21">
        <v>3</v>
      </c>
      <c r="I113" s="21">
        <v>1</v>
      </c>
      <c r="J113" s="21">
        <v>0.22</v>
      </c>
      <c r="K113" s="21">
        <v>0.2273</v>
      </c>
      <c r="L113" s="21">
        <v>0.47</v>
      </c>
      <c r="M113" s="21">
        <v>0.16420000000000001</v>
      </c>
      <c r="N113" s="21">
        <v>7</v>
      </c>
      <c r="O113" s="21">
        <v>82</v>
      </c>
      <c r="P113" s="21">
        <v>89</v>
      </c>
    </row>
    <row r="114" spans="1:16" x14ac:dyDescent="0.35">
      <c r="A114" s="21">
        <v>113</v>
      </c>
      <c r="B114" s="39">
        <v>40548</v>
      </c>
      <c r="C114" s="21">
        <v>1</v>
      </c>
      <c r="D114" s="21">
        <v>0</v>
      </c>
      <c r="E114" s="21">
        <v>1</v>
      </c>
      <c r="F114" s="21">
        <v>21</v>
      </c>
      <c r="G114" s="21" t="b">
        <v>0</v>
      </c>
      <c r="H114" s="21">
        <v>3</v>
      </c>
      <c r="I114" s="21">
        <v>1</v>
      </c>
      <c r="J114" s="21">
        <v>0.2</v>
      </c>
      <c r="K114" s="21">
        <v>0.19700000000000001</v>
      </c>
      <c r="L114" s="21">
        <v>0.51</v>
      </c>
      <c r="M114" s="21">
        <v>0.19400000000000001</v>
      </c>
      <c r="N114" s="21">
        <v>3</v>
      </c>
      <c r="O114" s="21">
        <v>40</v>
      </c>
      <c r="P114" s="21">
        <v>43</v>
      </c>
    </row>
    <row r="115" spans="1:16" x14ac:dyDescent="0.35">
      <c r="A115" s="21">
        <v>114</v>
      </c>
      <c r="B115" s="39">
        <v>40548</v>
      </c>
      <c r="C115" s="21">
        <v>1</v>
      </c>
      <c r="D115" s="21">
        <v>0</v>
      </c>
      <c r="E115" s="21">
        <v>1</v>
      </c>
      <c r="F115" s="21">
        <v>22</v>
      </c>
      <c r="G115" s="21" t="b">
        <v>0</v>
      </c>
      <c r="H115" s="21">
        <v>3</v>
      </c>
      <c r="I115" s="21">
        <v>1</v>
      </c>
      <c r="J115" s="21">
        <v>0.18</v>
      </c>
      <c r="K115" s="21">
        <v>0.19700000000000001</v>
      </c>
      <c r="L115" s="21">
        <v>0.55000000000000004</v>
      </c>
      <c r="M115" s="21">
        <v>0.1343</v>
      </c>
      <c r="N115" s="21">
        <v>1</v>
      </c>
      <c r="O115" s="21">
        <v>41</v>
      </c>
      <c r="P115" s="21">
        <v>42</v>
      </c>
    </row>
    <row r="116" spans="1:16" x14ac:dyDescent="0.35">
      <c r="A116" s="21">
        <v>115</v>
      </c>
      <c r="B116" s="39">
        <v>40548</v>
      </c>
      <c r="C116" s="21">
        <v>1</v>
      </c>
      <c r="D116" s="21">
        <v>0</v>
      </c>
      <c r="E116" s="21">
        <v>1</v>
      </c>
      <c r="F116" s="21">
        <v>23</v>
      </c>
      <c r="G116" s="21" t="b">
        <v>0</v>
      </c>
      <c r="H116" s="21">
        <v>3</v>
      </c>
      <c r="I116" s="21">
        <v>1</v>
      </c>
      <c r="J116" s="21">
        <v>0.2</v>
      </c>
      <c r="K116" s="21">
        <v>0.2576</v>
      </c>
      <c r="L116" s="21">
        <v>0.47</v>
      </c>
      <c r="M116" s="21">
        <v>0</v>
      </c>
      <c r="N116" s="21">
        <v>1</v>
      </c>
      <c r="O116" s="21">
        <v>18</v>
      </c>
      <c r="P116" s="21">
        <v>19</v>
      </c>
    </row>
    <row r="117" spans="1:16" x14ac:dyDescent="0.35">
      <c r="A117" s="21">
        <v>116</v>
      </c>
      <c r="B117" s="39">
        <v>40549</v>
      </c>
      <c r="C117" s="21">
        <v>1</v>
      </c>
      <c r="D117" s="21">
        <v>0</v>
      </c>
      <c r="E117" s="21">
        <v>1</v>
      </c>
      <c r="F117" s="21">
        <v>0</v>
      </c>
      <c r="G117" s="21" t="b">
        <v>0</v>
      </c>
      <c r="H117" s="21">
        <v>4</v>
      </c>
      <c r="I117" s="21">
        <v>1</v>
      </c>
      <c r="J117" s="21">
        <v>0.18</v>
      </c>
      <c r="K117" s="21">
        <v>0.2424</v>
      </c>
      <c r="L117" s="21">
        <v>0.55000000000000004</v>
      </c>
      <c r="M117" s="21">
        <v>0</v>
      </c>
      <c r="N117" s="21">
        <v>0</v>
      </c>
      <c r="O117" s="21">
        <v>11</v>
      </c>
      <c r="P117" s="21">
        <v>11</v>
      </c>
    </row>
    <row r="118" spans="1:16" x14ac:dyDescent="0.35">
      <c r="A118" s="21">
        <v>117</v>
      </c>
      <c r="B118" s="39">
        <v>40549</v>
      </c>
      <c r="C118" s="21">
        <v>1</v>
      </c>
      <c r="D118" s="21">
        <v>0</v>
      </c>
      <c r="E118" s="21">
        <v>1</v>
      </c>
      <c r="F118" s="21">
        <v>1</v>
      </c>
      <c r="G118" s="21" t="b">
        <v>0</v>
      </c>
      <c r="H118" s="21">
        <v>4</v>
      </c>
      <c r="I118" s="21">
        <v>1</v>
      </c>
      <c r="J118" s="21">
        <v>0.16</v>
      </c>
      <c r="K118" s="21">
        <v>0.2273</v>
      </c>
      <c r="L118" s="21">
        <v>0.64</v>
      </c>
      <c r="M118" s="21">
        <v>0</v>
      </c>
      <c r="N118" s="21">
        <v>0</v>
      </c>
      <c r="O118" s="21">
        <v>4</v>
      </c>
      <c r="P118" s="21">
        <v>4</v>
      </c>
    </row>
    <row r="119" spans="1:16" x14ac:dyDescent="0.35">
      <c r="A119" s="21">
        <v>118</v>
      </c>
      <c r="B119" s="39">
        <v>40549</v>
      </c>
      <c r="C119" s="21">
        <v>1</v>
      </c>
      <c r="D119" s="21">
        <v>0</v>
      </c>
      <c r="E119" s="21">
        <v>1</v>
      </c>
      <c r="F119" s="21">
        <v>2</v>
      </c>
      <c r="G119" s="21" t="b">
        <v>0</v>
      </c>
      <c r="H119" s="21">
        <v>4</v>
      </c>
      <c r="I119" s="21">
        <v>1</v>
      </c>
      <c r="J119" s="21">
        <v>0.16</v>
      </c>
      <c r="K119" s="21">
        <v>0.2273</v>
      </c>
      <c r="L119" s="21">
        <v>0.64</v>
      </c>
      <c r="M119" s="21">
        <v>0</v>
      </c>
      <c r="N119" s="21">
        <v>0</v>
      </c>
      <c r="O119" s="21">
        <v>2</v>
      </c>
      <c r="P119" s="21">
        <v>2</v>
      </c>
    </row>
    <row r="120" spans="1:16" x14ac:dyDescent="0.35">
      <c r="A120" s="21">
        <v>119</v>
      </c>
      <c r="B120" s="39">
        <v>40549</v>
      </c>
      <c r="C120" s="21">
        <v>1</v>
      </c>
      <c r="D120" s="21">
        <v>0</v>
      </c>
      <c r="E120" s="21">
        <v>1</v>
      </c>
      <c r="F120" s="21">
        <v>4</v>
      </c>
      <c r="G120" s="21" t="b">
        <v>0</v>
      </c>
      <c r="H120" s="21">
        <v>4</v>
      </c>
      <c r="I120" s="21">
        <v>2</v>
      </c>
      <c r="J120" s="21">
        <v>0.16</v>
      </c>
      <c r="K120" s="21">
        <v>0.19700000000000001</v>
      </c>
      <c r="L120" s="21">
        <v>0.64</v>
      </c>
      <c r="M120" s="21">
        <v>8.9599999999999999E-2</v>
      </c>
      <c r="N120" s="21">
        <v>0</v>
      </c>
      <c r="O120" s="21">
        <v>1</v>
      </c>
      <c r="P120" s="21">
        <v>1</v>
      </c>
    </row>
    <row r="121" spans="1:16" x14ac:dyDescent="0.35">
      <c r="A121" s="21">
        <v>120</v>
      </c>
      <c r="B121" s="39">
        <v>40549</v>
      </c>
      <c r="C121" s="21">
        <v>1</v>
      </c>
      <c r="D121" s="21">
        <v>0</v>
      </c>
      <c r="E121" s="21">
        <v>1</v>
      </c>
      <c r="F121" s="21">
        <v>5</v>
      </c>
      <c r="G121" s="21" t="b">
        <v>0</v>
      </c>
      <c r="H121" s="21">
        <v>4</v>
      </c>
      <c r="I121" s="21">
        <v>2</v>
      </c>
      <c r="J121" s="21">
        <v>0.14000000000000001</v>
      </c>
      <c r="K121" s="21">
        <v>0.18179999999999999</v>
      </c>
      <c r="L121" s="21">
        <v>0.69</v>
      </c>
      <c r="M121" s="21">
        <v>8.9599999999999999E-2</v>
      </c>
      <c r="N121" s="21">
        <v>0</v>
      </c>
      <c r="O121" s="21">
        <v>4</v>
      </c>
      <c r="P121" s="21">
        <v>4</v>
      </c>
    </row>
    <row r="122" spans="1:16" x14ac:dyDescent="0.35">
      <c r="A122" s="21">
        <v>121</v>
      </c>
      <c r="B122" s="39">
        <v>40549</v>
      </c>
      <c r="C122" s="21">
        <v>1</v>
      </c>
      <c r="D122" s="21">
        <v>0</v>
      </c>
      <c r="E122" s="21">
        <v>1</v>
      </c>
      <c r="F122" s="21">
        <v>6</v>
      </c>
      <c r="G122" s="21" t="b">
        <v>0</v>
      </c>
      <c r="H122" s="21">
        <v>4</v>
      </c>
      <c r="I122" s="21">
        <v>2</v>
      </c>
      <c r="J122" s="21">
        <v>0.14000000000000001</v>
      </c>
      <c r="K122" s="21">
        <v>0.16669999999999999</v>
      </c>
      <c r="L122" s="21">
        <v>0.63</v>
      </c>
      <c r="M122" s="21">
        <v>0.1045</v>
      </c>
      <c r="N122" s="21">
        <v>0</v>
      </c>
      <c r="O122" s="21">
        <v>36</v>
      </c>
      <c r="P122" s="21">
        <v>36</v>
      </c>
    </row>
    <row r="123" spans="1:16" x14ac:dyDescent="0.35">
      <c r="A123" s="21">
        <v>122</v>
      </c>
      <c r="B123" s="39">
        <v>40549</v>
      </c>
      <c r="C123" s="21">
        <v>1</v>
      </c>
      <c r="D123" s="21">
        <v>0</v>
      </c>
      <c r="E123" s="21">
        <v>1</v>
      </c>
      <c r="F123" s="21">
        <v>7</v>
      </c>
      <c r="G123" s="21" t="b">
        <v>0</v>
      </c>
      <c r="H123" s="21">
        <v>4</v>
      </c>
      <c r="I123" s="21">
        <v>2</v>
      </c>
      <c r="J123" s="21">
        <v>0.16</v>
      </c>
      <c r="K123" s="21">
        <v>0.2273</v>
      </c>
      <c r="L123" s="21">
        <v>0.59</v>
      </c>
      <c r="M123" s="21">
        <v>0</v>
      </c>
      <c r="N123" s="21">
        <v>0</v>
      </c>
      <c r="O123" s="21">
        <v>95</v>
      </c>
      <c r="P123" s="21">
        <v>95</v>
      </c>
    </row>
    <row r="124" spans="1:16" x14ac:dyDescent="0.35">
      <c r="A124" s="21">
        <v>123</v>
      </c>
      <c r="B124" s="39">
        <v>40549</v>
      </c>
      <c r="C124" s="21">
        <v>1</v>
      </c>
      <c r="D124" s="21">
        <v>0</v>
      </c>
      <c r="E124" s="21">
        <v>1</v>
      </c>
      <c r="F124" s="21">
        <v>8</v>
      </c>
      <c r="G124" s="21" t="b">
        <v>0</v>
      </c>
      <c r="H124" s="21">
        <v>4</v>
      </c>
      <c r="I124" s="21">
        <v>1</v>
      </c>
      <c r="J124" s="21">
        <v>0.16</v>
      </c>
      <c r="K124" s="21">
        <v>0.2273</v>
      </c>
      <c r="L124" s="21">
        <v>0.59</v>
      </c>
      <c r="M124" s="21">
        <v>0</v>
      </c>
      <c r="N124" s="21">
        <v>3</v>
      </c>
      <c r="O124" s="21">
        <v>216</v>
      </c>
      <c r="P124" s="21">
        <v>219</v>
      </c>
    </row>
    <row r="125" spans="1:16" x14ac:dyDescent="0.35">
      <c r="A125" s="21">
        <v>124</v>
      </c>
      <c r="B125" s="39">
        <v>40549</v>
      </c>
      <c r="C125" s="21">
        <v>1</v>
      </c>
      <c r="D125" s="21">
        <v>0</v>
      </c>
      <c r="E125" s="21">
        <v>1</v>
      </c>
      <c r="F125" s="21">
        <v>9</v>
      </c>
      <c r="G125" s="21" t="b">
        <v>0</v>
      </c>
      <c r="H125" s="21">
        <v>4</v>
      </c>
      <c r="I125" s="21">
        <v>2</v>
      </c>
      <c r="J125" s="21">
        <v>0.18</v>
      </c>
      <c r="K125" s="21">
        <v>0.2424</v>
      </c>
      <c r="L125" s="21">
        <v>0.51</v>
      </c>
      <c r="M125" s="21">
        <v>0</v>
      </c>
      <c r="N125" s="21">
        <v>6</v>
      </c>
      <c r="O125" s="21">
        <v>116</v>
      </c>
      <c r="P125" s="21">
        <v>122</v>
      </c>
    </row>
    <row r="126" spans="1:16" x14ac:dyDescent="0.35">
      <c r="A126" s="21">
        <v>125</v>
      </c>
      <c r="B126" s="39">
        <v>40549</v>
      </c>
      <c r="C126" s="21">
        <v>1</v>
      </c>
      <c r="D126" s="21">
        <v>0</v>
      </c>
      <c r="E126" s="21">
        <v>1</v>
      </c>
      <c r="F126" s="21">
        <v>10</v>
      </c>
      <c r="G126" s="21" t="b">
        <v>0</v>
      </c>
      <c r="H126" s="21">
        <v>4</v>
      </c>
      <c r="I126" s="21">
        <v>1</v>
      </c>
      <c r="J126" s="21">
        <v>0.2</v>
      </c>
      <c r="K126" s="21">
        <v>0.2576</v>
      </c>
      <c r="L126" s="21">
        <v>0.47</v>
      </c>
      <c r="M126" s="21">
        <v>0</v>
      </c>
      <c r="N126" s="21">
        <v>3</v>
      </c>
      <c r="O126" s="21">
        <v>42</v>
      </c>
      <c r="P126" s="21">
        <v>45</v>
      </c>
    </row>
    <row r="127" spans="1:16" x14ac:dyDescent="0.35">
      <c r="A127" s="21">
        <v>126</v>
      </c>
      <c r="B127" s="39">
        <v>40549</v>
      </c>
      <c r="C127" s="21">
        <v>1</v>
      </c>
      <c r="D127" s="21">
        <v>0</v>
      </c>
      <c r="E127" s="21">
        <v>1</v>
      </c>
      <c r="F127" s="21">
        <v>11</v>
      </c>
      <c r="G127" s="21" t="b">
        <v>0</v>
      </c>
      <c r="H127" s="21">
        <v>4</v>
      </c>
      <c r="I127" s="21">
        <v>1</v>
      </c>
      <c r="J127" s="21">
        <v>0.22</v>
      </c>
      <c r="K127" s="21">
        <v>0.2576</v>
      </c>
      <c r="L127" s="21">
        <v>0.44</v>
      </c>
      <c r="M127" s="21">
        <v>8.9599999999999999E-2</v>
      </c>
      <c r="N127" s="21">
        <v>2</v>
      </c>
      <c r="O127" s="21">
        <v>57</v>
      </c>
      <c r="P127" s="21">
        <v>59</v>
      </c>
    </row>
    <row r="128" spans="1:16" x14ac:dyDescent="0.35">
      <c r="A128" s="21">
        <v>127</v>
      </c>
      <c r="B128" s="39">
        <v>40549</v>
      </c>
      <c r="C128" s="21">
        <v>1</v>
      </c>
      <c r="D128" s="21">
        <v>0</v>
      </c>
      <c r="E128" s="21">
        <v>1</v>
      </c>
      <c r="F128" s="21">
        <v>12</v>
      </c>
      <c r="G128" s="21" t="b">
        <v>0</v>
      </c>
      <c r="H128" s="21">
        <v>4</v>
      </c>
      <c r="I128" s="21">
        <v>1</v>
      </c>
      <c r="J128" s="21">
        <v>0.26</v>
      </c>
      <c r="K128" s="21">
        <v>0.28789999999999999</v>
      </c>
      <c r="L128" s="21">
        <v>0.35</v>
      </c>
      <c r="M128" s="21">
        <v>0</v>
      </c>
      <c r="N128" s="21">
        <v>6</v>
      </c>
      <c r="O128" s="21">
        <v>78</v>
      </c>
      <c r="P128" s="21">
        <v>84</v>
      </c>
    </row>
    <row r="129" spans="1:16" x14ac:dyDescent="0.35">
      <c r="A129" s="21">
        <v>128</v>
      </c>
      <c r="B129" s="39">
        <v>40549</v>
      </c>
      <c r="C129" s="21">
        <v>1</v>
      </c>
      <c r="D129" s="21">
        <v>0</v>
      </c>
      <c r="E129" s="21">
        <v>1</v>
      </c>
      <c r="F129" s="21">
        <v>13</v>
      </c>
      <c r="G129" s="21" t="b">
        <v>0</v>
      </c>
      <c r="H129" s="21">
        <v>4</v>
      </c>
      <c r="I129" s="21">
        <v>1</v>
      </c>
      <c r="J129" s="21">
        <v>0.26</v>
      </c>
      <c r="K129" s="21">
        <v>0.2727</v>
      </c>
      <c r="L129" s="21">
        <v>0.35</v>
      </c>
      <c r="M129" s="21">
        <v>0.1045</v>
      </c>
      <c r="N129" s="21">
        <v>12</v>
      </c>
      <c r="O129" s="21">
        <v>55</v>
      </c>
      <c r="P129" s="21">
        <v>67</v>
      </c>
    </row>
    <row r="130" spans="1:16" x14ac:dyDescent="0.35">
      <c r="A130" s="21">
        <v>129</v>
      </c>
      <c r="B130" s="39">
        <v>40549</v>
      </c>
      <c r="C130" s="21">
        <v>1</v>
      </c>
      <c r="D130" s="21">
        <v>0</v>
      </c>
      <c r="E130" s="21">
        <v>1</v>
      </c>
      <c r="F130" s="21">
        <v>14</v>
      </c>
      <c r="G130" s="21" t="b">
        <v>0</v>
      </c>
      <c r="H130" s="21">
        <v>4</v>
      </c>
      <c r="I130" s="21">
        <v>1</v>
      </c>
      <c r="J130" s="21">
        <v>0.28000000000000003</v>
      </c>
      <c r="K130" s="21">
        <v>0.2727</v>
      </c>
      <c r="L130" s="21">
        <v>0.36</v>
      </c>
      <c r="M130" s="21">
        <v>0.16420000000000001</v>
      </c>
      <c r="N130" s="21">
        <v>11</v>
      </c>
      <c r="O130" s="21">
        <v>59</v>
      </c>
      <c r="P130" s="21">
        <v>70</v>
      </c>
    </row>
    <row r="131" spans="1:16" x14ac:dyDescent="0.35">
      <c r="A131" s="21">
        <v>130</v>
      </c>
      <c r="B131" s="39">
        <v>40549</v>
      </c>
      <c r="C131" s="21">
        <v>1</v>
      </c>
      <c r="D131" s="21">
        <v>0</v>
      </c>
      <c r="E131" s="21">
        <v>1</v>
      </c>
      <c r="F131" s="21">
        <v>15</v>
      </c>
      <c r="G131" s="21" t="b">
        <v>0</v>
      </c>
      <c r="H131" s="21">
        <v>4</v>
      </c>
      <c r="I131" s="21">
        <v>1</v>
      </c>
      <c r="J131" s="21">
        <v>0.28000000000000003</v>
      </c>
      <c r="K131" s="21">
        <v>0.2727</v>
      </c>
      <c r="L131" s="21">
        <v>0.36</v>
      </c>
      <c r="M131" s="21">
        <v>0</v>
      </c>
      <c r="N131" s="21">
        <v>8</v>
      </c>
      <c r="O131" s="21">
        <v>54</v>
      </c>
      <c r="P131" s="21">
        <v>62</v>
      </c>
    </row>
    <row r="132" spans="1:16" x14ac:dyDescent="0.35">
      <c r="A132" s="21">
        <v>131</v>
      </c>
      <c r="B132" s="39">
        <v>40549</v>
      </c>
      <c r="C132" s="21">
        <v>1</v>
      </c>
      <c r="D132" s="21">
        <v>0</v>
      </c>
      <c r="E132" s="21">
        <v>1</v>
      </c>
      <c r="F132" s="21">
        <v>16</v>
      </c>
      <c r="G132" s="21" t="b">
        <v>0</v>
      </c>
      <c r="H132" s="21">
        <v>4</v>
      </c>
      <c r="I132" s="21">
        <v>1</v>
      </c>
      <c r="J132" s="21">
        <v>0.26</v>
      </c>
      <c r="K132" s="21">
        <v>0.2576</v>
      </c>
      <c r="L132" s="21">
        <v>0.38</v>
      </c>
      <c r="M132" s="21">
        <v>0.16420000000000001</v>
      </c>
      <c r="N132" s="21">
        <v>12</v>
      </c>
      <c r="O132" s="21">
        <v>74</v>
      </c>
      <c r="P132" s="21">
        <v>86</v>
      </c>
    </row>
    <row r="133" spans="1:16" x14ac:dyDescent="0.35">
      <c r="A133" s="21">
        <v>132</v>
      </c>
      <c r="B133" s="39">
        <v>40549</v>
      </c>
      <c r="C133" s="21">
        <v>1</v>
      </c>
      <c r="D133" s="21">
        <v>0</v>
      </c>
      <c r="E133" s="21">
        <v>1</v>
      </c>
      <c r="F133" s="21">
        <v>17</v>
      </c>
      <c r="G133" s="21" t="b">
        <v>0</v>
      </c>
      <c r="H133" s="21">
        <v>4</v>
      </c>
      <c r="I133" s="21">
        <v>1</v>
      </c>
      <c r="J133" s="21">
        <v>0.22</v>
      </c>
      <c r="K133" s="21">
        <v>0.2273</v>
      </c>
      <c r="L133" s="21">
        <v>0.51</v>
      </c>
      <c r="M133" s="21">
        <v>0.16420000000000001</v>
      </c>
      <c r="N133" s="21">
        <v>9</v>
      </c>
      <c r="O133" s="21">
        <v>163</v>
      </c>
      <c r="P133" s="21">
        <v>172</v>
      </c>
    </row>
    <row r="134" spans="1:16" x14ac:dyDescent="0.35">
      <c r="A134" s="21">
        <v>133</v>
      </c>
      <c r="B134" s="39">
        <v>40549</v>
      </c>
      <c r="C134" s="21">
        <v>1</v>
      </c>
      <c r="D134" s="21">
        <v>0</v>
      </c>
      <c r="E134" s="21">
        <v>1</v>
      </c>
      <c r="F134" s="21">
        <v>18</v>
      </c>
      <c r="G134" s="21" t="b">
        <v>0</v>
      </c>
      <c r="H134" s="21">
        <v>4</v>
      </c>
      <c r="I134" s="21">
        <v>1</v>
      </c>
      <c r="J134" s="21">
        <v>0.22</v>
      </c>
      <c r="K134" s="21">
        <v>0.2273</v>
      </c>
      <c r="L134" s="21">
        <v>0.51</v>
      </c>
      <c r="M134" s="21">
        <v>0.1343</v>
      </c>
      <c r="N134" s="21">
        <v>5</v>
      </c>
      <c r="O134" s="21">
        <v>158</v>
      </c>
      <c r="P134" s="21">
        <v>163</v>
      </c>
    </row>
    <row r="135" spans="1:16" x14ac:dyDescent="0.35">
      <c r="A135" s="21">
        <v>134</v>
      </c>
      <c r="B135" s="39">
        <v>40549</v>
      </c>
      <c r="C135" s="21">
        <v>1</v>
      </c>
      <c r="D135" s="21">
        <v>0</v>
      </c>
      <c r="E135" s="21">
        <v>1</v>
      </c>
      <c r="F135" s="21">
        <v>19</v>
      </c>
      <c r="G135" s="21" t="b">
        <v>0</v>
      </c>
      <c r="H135" s="21">
        <v>4</v>
      </c>
      <c r="I135" s="21">
        <v>1</v>
      </c>
      <c r="J135" s="21">
        <v>0.22</v>
      </c>
      <c r="K135" s="21">
        <v>0.2576</v>
      </c>
      <c r="L135" s="21">
        <v>0.55000000000000004</v>
      </c>
      <c r="M135" s="21">
        <v>8.9599999999999999E-2</v>
      </c>
      <c r="N135" s="21">
        <v>3</v>
      </c>
      <c r="O135" s="21">
        <v>109</v>
      </c>
      <c r="P135" s="21">
        <v>112</v>
      </c>
    </row>
    <row r="136" spans="1:16" x14ac:dyDescent="0.35">
      <c r="A136" s="21">
        <v>135</v>
      </c>
      <c r="B136" s="39">
        <v>40549</v>
      </c>
      <c r="C136" s="21">
        <v>1</v>
      </c>
      <c r="D136" s="21">
        <v>0</v>
      </c>
      <c r="E136" s="21">
        <v>1</v>
      </c>
      <c r="F136" s="21">
        <v>20</v>
      </c>
      <c r="G136" s="21" t="b">
        <v>0</v>
      </c>
      <c r="H136" s="21">
        <v>4</v>
      </c>
      <c r="I136" s="21">
        <v>1</v>
      </c>
      <c r="J136" s="21">
        <v>0.2</v>
      </c>
      <c r="K136" s="21">
        <v>0.21210000000000001</v>
      </c>
      <c r="L136" s="21">
        <v>0.51</v>
      </c>
      <c r="M136" s="21">
        <v>0.16420000000000001</v>
      </c>
      <c r="N136" s="21">
        <v>3</v>
      </c>
      <c r="O136" s="21">
        <v>66</v>
      </c>
      <c r="P136" s="21">
        <v>69</v>
      </c>
    </row>
    <row r="137" spans="1:16" x14ac:dyDescent="0.35">
      <c r="A137" s="21">
        <v>136</v>
      </c>
      <c r="B137" s="39">
        <v>40549</v>
      </c>
      <c r="C137" s="21">
        <v>1</v>
      </c>
      <c r="D137" s="21">
        <v>0</v>
      </c>
      <c r="E137" s="21">
        <v>1</v>
      </c>
      <c r="F137" s="21">
        <v>21</v>
      </c>
      <c r="G137" s="21" t="b">
        <v>0</v>
      </c>
      <c r="H137" s="21">
        <v>4</v>
      </c>
      <c r="I137" s="21">
        <v>2</v>
      </c>
      <c r="J137" s="21">
        <v>0.22</v>
      </c>
      <c r="K137" s="21">
        <v>0.21210000000000001</v>
      </c>
      <c r="L137" s="21">
        <v>0.55000000000000004</v>
      </c>
      <c r="M137" s="21">
        <v>0.22389999999999999</v>
      </c>
      <c r="N137" s="21">
        <v>0</v>
      </c>
      <c r="O137" s="21">
        <v>48</v>
      </c>
      <c r="P137" s="21">
        <v>48</v>
      </c>
    </row>
    <row r="138" spans="1:16" x14ac:dyDescent="0.35">
      <c r="A138" s="21">
        <v>137</v>
      </c>
      <c r="B138" s="39">
        <v>40549</v>
      </c>
      <c r="C138" s="21">
        <v>1</v>
      </c>
      <c r="D138" s="21">
        <v>0</v>
      </c>
      <c r="E138" s="21">
        <v>1</v>
      </c>
      <c r="F138" s="21">
        <v>22</v>
      </c>
      <c r="G138" s="21" t="b">
        <v>0</v>
      </c>
      <c r="H138" s="21">
        <v>4</v>
      </c>
      <c r="I138" s="21">
        <v>2</v>
      </c>
      <c r="J138" s="21">
        <v>0.22</v>
      </c>
      <c r="K138" s="21">
        <v>0.21210000000000001</v>
      </c>
      <c r="L138" s="21">
        <v>0.51</v>
      </c>
      <c r="M138" s="21">
        <v>0.28360000000000002</v>
      </c>
      <c r="N138" s="21">
        <v>1</v>
      </c>
      <c r="O138" s="21">
        <v>51</v>
      </c>
      <c r="P138" s="21">
        <v>52</v>
      </c>
    </row>
    <row r="139" spans="1:16" x14ac:dyDescent="0.35">
      <c r="A139" s="21">
        <v>138</v>
      </c>
      <c r="B139" s="39">
        <v>40549</v>
      </c>
      <c r="C139" s="21">
        <v>1</v>
      </c>
      <c r="D139" s="21">
        <v>0</v>
      </c>
      <c r="E139" s="21">
        <v>1</v>
      </c>
      <c r="F139" s="21">
        <v>23</v>
      </c>
      <c r="G139" s="21" t="b">
        <v>0</v>
      </c>
      <c r="H139" s="21">
        <v>4</v>
      </c>
      <c r="I139" s="21">
        <v>2</v>
      </c>
      <c r="J139" s="21">
        <v>0.2</v>
      </c>
      <c r="K139" s="21">
        <v>0.19700000000000001</v>
      </c>
      <c r="L139" s="21">
        <v>0.59</v>
      </c>
      <c r="M139" s="21">
        <v>0.19400000000000001</v>
      </c>
      <c r="N139" s="21">
        <v>4</v>
      </c>
      <c r="O139" s="21">
        <v>19</v>
      </c>
      <c r="P139" s="21">
        <v>23</v>
      </c>
    </row>
    <row r="140" spans="1:16" x14ac:dyDescent="0.35">
      <c r="A140" s="21">
        <v>139</v>
      </c>
      <c r="B140" s="39">
        <v>40550</v>
      </c>
      <c r="C140" s="21">
        <v>1</v>
      </c>
      <c r="D140" s="21">
        <v>0</v>
      </c>
      <c r="E140" s="21">
        <v>1</v>
      </c>
      <c r="F140" s="21">
        <v>0</v>
      </c>
      <c r="G140" s="21" t="b">
        <v>0</v>
      </c>
      <c r="H140" s="21">
        <v>5</v>
      </c>
      <c r="I140" s="21">
        <v>2</v>
      </c>
      <c r="J140" s="21">
        <v>0.2</v>
      </c>
      <c r="K140" s="21">
        <v>0.19700000000000001</v>
      </c>
      <c r="L140" s="21">
        <v>0.64</v>
      </c>
      <c r="M140" s="21">
        <v>0.19400000000000001</v>
      </c>
      <c r="N140" s="21">
        <v>4</v>
      </c>
      <c r="O140" s="21">
        <v>13</v>
      </c>
      <c r="P140" s="21">
        <v>17</v>
      </c>
    </row>
    <row r="141" spans="1:16" x14ac:dyDescent="0.35">
      <c r="A141" s="21">
        <v>140</v>
      </c>
      <c r="B141" s="39">
        <v>40550</v>
      </c>
      <c r="C141" s="21">
        <v>1</v>
      </c>
      <c r="D141" s="21">
        <v>0</v>
      </c>
      <c r="E141" s="21">
        <v>1</v>
      </c>
      <c r="F141" s="21">
        <v>1</v>
      </c>
      <c r="G141" s="21" t="b">
        <v>0</v>
      </c>
      <c r="H141" s="21">
        <v>5</v>
      </c>
      <c r="I141" s="21">
        <v>2</v>
      </c>
      <c r="J141" s="21">
        <v>0.2</v>
      </c>
      <c r="K141" s="21">
        <v>0.19700000000000001</v>
      </c>
      <c r="L141" s="21">
        <v>0.69</v>
      </c>
      <c r="M141" s="21">
        <v>0.22389999999999999</v>
      </c>
      <c r="N141" s="21">
        <v>2</v>
      </c>
      <c r="O141" s="21">
        <v>5</v>
      </c>
      <c r="P141" s="21">
        <v>7</v>
      </c>
    </row>
    <row r="142" spans="1:16" x14ac:dyDescent="0.35">
      <c r="A142" s="21">
        <v>141</v>
      </c>
      <c r="B142" s="39">
        <v>40550</v>
      </c>
      <c r="C142" s="21">
        <v>1</v>
      </c>
      <c r="D142" s="21">
        <v>0</v>
      </c>
      <c r="E142" s="21">
        <v>1</v>
      </c>
      <c r="F142" s="21">
        <v>2</v>
      </c>
      <c r="G142" s="21" t="b">
        <v>0</v>
      </c>
      <c r="H142" s="21">
        <v>5</v>
      </c>
      <c r="I142" s="21">
        <v>2</v>
      </c>
      <c r="J142" s="21">
        <v>0.2</v>
      </c>
      <c r="K142" s="21">
        <v>0.19700000000000001</v>
      </c>
      <c r="L142" s="21">
        <v>0.69</v>
      </c>
      <c r="M142" s="21">
        <v>0.22389999999999999</v>
      </c>
      <c r="N142" s="21">
        <v>0</v>
      </c>
      <c r="O142" s="21">
        <v>1</v>
      </c>
      <c r="P142" s="21">
        <v>1</v>
      </c>
    </row>
    <row r="143" spans="1:16" x14ac:dyDescent="0.35">
      <c r="A143" s="21">
        <v>142</v>
      </c>
      <c r="B143" s="39">
        <v>40550</v>
      </c>
      <c r="C143" s="21">
        <v>1</v>
      </c>
      <c r="D143" s="21">
        <v>0</v>
      </c>
      <c r="E143" s="21">
        <v>1</v>
      </c>
      <c r="F143" s="21">
        <v>4</v>
      </c>
      <c r="G143" s="21" t="b">
        <v>0</v>
      </c>
      <c r="H143" s="21">
        <v>5</v>
      </c>
      <c r="I143" s="21">
        <v>2</v>
      </c>
      <c r="J143" s="21">
        <v>0.2</v>
      </c>
      <c r="K143" s="21">
        <v>0.21210000000000001</v>
      </c>
      <c r="L143" s="21">
        <v>0.69</v>
      </c>
      <c r="M143" s="21">
        <v>0.1343</v>
      </c>
      <c r="N143" s="21">
        <v>0</v>
      </c>
      <c r="O143" s="21">
        <v>1</v>
      </c>
      <c r="P143" s="21">
        <v>1</v>
      </c>
    </row>
    <row r="144" spans="1:16" x14ac:dyDescent="0.35">
      <c r="A144" s="21">
        <v>143</v>
      </c>
      <c r="B144" s="39">
        <v>40550</v>
      </c>
      <c r="C144" s="21">
        <v>1</v>
      </c>
      <c r="D144" s="21">
        <v>0</v>
      </c>
      <c r="E144" s="21">
        <v>1</v>
      </c>
      <c r="F144" s="21">
        <v>5</v>
      </c>
      <c r="G144" s="21" t="b">
        <v>0</v>
      </c>
      <c r="H144" s="21">
        <v>5</v>
      </c>
      <c r="I144" s="21">
        <v>3</v>
      </c>
      <c r="J144" s="21">
        <v>0.22</v>
      </c>
      <c r="K144" s="21">
        <v>0.2727</v>
      </c>
      <c r="L144" s="21">
        <v>0.55000000000000004</v>
      </c>
      <c r="M144" s="21">
        <v>0</v>
      </c>
      <c r="N144" s="21">
        <v>0</v>
      </c>
      <c r="O144" s="21">
        <v>5</v>
      </c>
      <c r="P144" s="21">
        <v>5</v>
      </c>
    </row>
    <row r="145" spans="1:16" x14ac:dyDescent="0.35">
      <c r="A145" s="21">
        <v>144</v>
      </c>
      <c r="B145" s="39">
        <v>40550</v>
      </c>
      <c r="C145" s="21">
        <v>1</v>
      </c>
      <c r="D145" s="21">
        <v>0</v>
      </c>
      <c r="E145" s="21">
        <v>1</v>
      </c>
      <c r="F145" s="21">
        <v>6</v>
      </c>
      <c r="G145" s="21" t="b">
        <v>0</v>
      </c>
      <c r="H145" s="21">
        <v>5</v>
      </c>
      <c r="I145" s="21">
        <v>2</v>
      </c>
      <c r="J145" s="21">
        <v>0.2</v>
      </c>
      <c r="K145" s="21">
        <v>0.2576</v>
      </c>
      <c r="L145" s="21">
        <v>0.69</v>
      </c>
      <c r="M145" s="21">
        <v>0</v>
      </c>
      <c r="N145" s="21">
        <v>8</v>
      </c>
      <c r="O145" s="21">
        <v>26</v>
      </c>
      <c r="P145" s="21">
        <v>34</v>
      </c>
    </row>
    <row r="146" spans="1:16" x14ac:dyDescent="0.35">
      <c r="A146" s="21">
        <v>145</v>
      </c>
      <c r="B146" s="39">
        <v>40550</v>
      </c>
      <c r="C146" s="21">
        <v>1</v>
      </c>
      <c r="D146" s="21">
        <v>0</v>
      </c>
      <c r="E146" s="21">
        <v>1</v>
      </c>
      <c r="F146" s="21">
        <v>7</v>
      </c>
      <c r="G146" s="21" t="b">
        <v>0</v>
      </c>
      <c r="H146" s="21">
        <v>5</v>
      </c>
      <c r="I146" s="21">
        <v>1</v>
      </c>
      <c r="J146" s="21">
        <v>0.2</v>
      </c>
      <c r="K146" s="21">
        <v>0.21210000000000001</v>
      </c>
      <c r="L146" s="21">
        <v>0.69</v>
      </c>
      <c r="M146" s="21">
        <v>0.1343</v>
      </c>
      <c r="N146" s="21">
        <v>8</v>
      </c>
      <c r="O146" s="21">
        <v>76</v>
      </c>
      <c r="P146" s="21">
        <v>84</v>
      </c>
    </row>
    <row r="147" spans="1:16" x14ac:dyDescent="0.35">
      <c r="A147" s="21">
        <v>146</v>
      </c>
      <c r="B147" s="39">
        <v>40550</v>
      </c>
      <c r="C147" s="21">
        <v>1</v>
      </c>
      <c r="D147" s="21">
        <v>0</v>
      </c>
      <c r="E147" s="21">
        <v>1</v>
      </c>
      <c r="F147" s="21">
        <v>8</v>
      </c>
      <c r="G147" s="21" t="b">
        <v>0</v>
      </c>
      <c r="H147" s="21">
        <v>5</v>
      </c>
      <c r="I147" s="21">
        <v>1</v>
      </c>
      <c r="J147" s="21">
        <v>0.2</v>
      </c>
      <c r="K147" s="21">
        <v>0.19700000000000001</v>
      </c>
      <c r="L147" s="21">
        <v>0.51</v>
      </c>
      <c r="M147" s="21">
        <v>0.25369999999999998</v>
      </c>
      <c r="N147" s="21">
        <v>20</v>
      </c>
      <c r="O147" s="21">
        <v>190</v>
      </c>
      <c r="P147" s="21">
        <v>210</v>
      </c>
    </row>
    <row r="148" spans="1:16" x14ac:dyDescent="0.35">
      <c r="A148" s="21">
        <v>147</v>
      </c>
      <c r="B148" s="39">
        <v>40550</v>
      </c>
      <c r="C148" s="21">
        <v>1</v>
      </c>
      <c r="D148" s="21">
        <v>0</v>
      </c>
      <c r="E148" s="21">
        <v>1</v>
      </c>
      <c r="F148" s="21">
        <v>9</v>
      </c>
      <c r="G148" s="21" t="b">
        <v>0</v>
      </c>
      <c r="H148" s="21">
        <v>5</v>
      </c>
      <c r="I148" s="21">
        <v>1</v>
      </c>
      <c r="J148" s="21">
        <v>0.2</v>
      </c>
      <c r="K148" s="21">
        <v>0.18179999999999999</v>
      </c>
      <c r="L148" s="21">
        <v>0.47</v>
      </c>
      <c r="M148" s="21">
        <v>0.29849999999999999</v>
      </c>
      <c r="N148" s="21">
        <v>9</v>
      </c>
      <c r="O148" s="21">
        <v>125</v>
      </c>
      <c r="P148" s="21">
        <v>134</v>
      </c>
    </row>
    <row r="149" spans="1:16" x14ac:dyDescent="0.35">
      <c r="A149" s="21">
        <v>148</v>
      </c>
      <c r="B149" s="39">
        <v>40550</v>
      </c>
      <c r="C149" s="21">
        <v>1</v>
      </c>
      <c r="D149" s="21">
        <v>0</v>
      </c>
      <c r="E149" s="21">
        <v>1</v>
      </c>
      <c r="F149" s="21">
        <v>10</v>
      </c>
      <c r="G149" s="21" t="b">
        <v>0</v>
      </c>
      <c r="H149" s="21">
        <v>5</v>
      </c>
      <c r="I149" s="21">
        <v>1</v>
      </c>
      <c r="J149" s="21">
        <v>0.22</v>
      </c>
      <c r="K149" s="21">
        <v>0.19700000000000001</v>
      </c>
      <c r="L149" s="21">
        <v>0.37</v>
      </c>
      <c r="M149" s="21">
        <v>0.32840000000000003</v>
      </c>
      <c r="N149" s="21">
        <v>16</v>
      </c>
      <c r="O149" s="21">
        <v>47</v>
      </c>
      <c r="P149" s="21">
        <v>63</v>
      </c>
    </row>
    <row r="150" spans="1:16" x14ac:dyDescent="0.35">
      <c r="A150" s="21">
        <v>149</v>
      </c>
      <c r="B150" s="39">
        <v>40550</v>
      </c>
      <c r="C150" s="21">
        <v>1</v>
      </c>
      <c r="D150" s="21">
        <v>0</v>
      </c>
      <c r="E150" s="21">
        <v>1</v>
      </c>
      <c r="F150" s="21">
        <v>11</v>
      </c>
      <c r="G150" s="21" t="b">
        <v>0</v>
      </c>
      <c r="H150" s="21">
        <v>5</v>
      </c>
      <c r="I150" s="21">
        <v>2</v>
      </c>
      <c r="J150" s="21">
        <v>0.2</v>
      </c>
      <c r="K150" s="21">
        <v>0.19700000000000001</v>
      </c>
      <c r="L150" s="21">
        <v>0.4</v>
      </c>
      <c r="M150" s="21">
        <v>0.22389999999999999</v>
      </c>
      <c r="N150" s="21">
        <v>19</v>
      </c>
      <c r="O150" s="21">
        <v>48</v>
      </c>
      <c r="P150" s="21">
        <v>67</v>
      </c>
    </row>
    <row r="151" spans="1:16" x14ac:dyDescent="0.35">
      <c r="A151" s="21">
        <v>150</v>
      </c>
      <c r="B151" s="39">
        <v>40550</v>
      </c>
      <c r="C151" s="21">
        <v>1</v>
      </c>
      <c r="D151" s="21">
        <v>0</v>
      </c>
      <c r="E151" s="21">
        <v>1</v>
      </c>
      <c r="F151" s="21">
        <v>12</v>
      </c>
      <c r="G151" s="21" t="b">
        <v>0</v>
      </c>
      <c r="H151" s="21">
        <v>5</v>
      </c>
      <c r="I151" s="21">
        <v>2</v>
      </c>
      <c r="J151" s="21">
        <v>0.2</v>
      </c>
      <c r="K151" s="21">
        <v>0.19700000000000001</v>
      </c>
      <c r="L151" s="21">
        <v>0.37</v>
      </c>
      <c r="M151" s="21">
        <v>0.25369999999999998</v>
      </c>
      <c r="N151" s="21">
        <v>9</v>
      </c>
      <c r="O151" s="21">
        <v>50</v>
      </c>
      <c r="P151" s="21">
        <v>59</v>
      </c>
    </row>
    <row r="152" spans="1:16" x14ac:dyDescent="0.35">
      <c r="A152" s="21">
        <v>151</v>
      </c>
      <c r="B152" s="39">
        <v>40550</v>
      </c>
      <c r="C152" s="21">
        <v>1</v>
      </c>
      <c r="D152" s="21">
        <v>0</v>
      </c>
      <c r="E152" s="21">
        <v>1</v>
      </c>
      <c r="F152" s="21">
        <v>13</v>
      </c>
      <c r="G152" s="21" t="b">
        <v>0</v>
      </c>
      <c r="H152" s="21">
        <v>5</v>
      </c>
      <c r="I152" s="21">
        <v>2</v>
      </c>
      <c r="J152" s="21">
        <v>0.2</v>
      </c>
      <c r="K152" s="21">
        <v>0.18179999999999999</v>
      </c>
      <c r="L152" s="21">
        <v>0.37</v>
      </c>
      <c r="M152" s="21">
        <v>0.28360000000000002</v>
      </c>
      <c r="N152" s="21">
        <v>9</v>
      </c>
      <c r="O152" s="21">
        <v>64</v>
      </c>
      <c r="P152" s="21">
        <v>73</v>
      </c>
    </row>
    <row r="153" spans="1:16" x14ac:dyDescent="0.35">
      <c r="A153" s="21">
        <v>152</v>
      </c>
      <c r="B153" s="39">
        <v>40550</v>
      </c>
      <c r="C153" s="21">
        <v>1</v>
      </c>
      <c r="D153" s="21">
        <v>0</v>
      </c>
      <c r="E153" s="21">
        <v>1</v>
      </c>
      <c r="F153" s="21">
        <v>14</v>
      </c>
      <c r="G153" s="21" t="b">
        <v>0</v>
      </c>
      <c r="H153" s="21">
        <v>5</v>
      </c>
      <c r="I153" s="21">
        <v>2</v>
      </c>
      <c r="J153" s="21">
        <v>0.2</v>
      </c>
      <c r="K153" s="21">
        <v>0.19700000000000001</v>
      </c>
      <c r="L153" s="21">
        <v>0.4</v>
      </c>
      <c r="M153" s="21">
        <v>0.25369999999999998</v>
      </c>
      <c r="N153" s="21">
        <v>7</v>
      </c>
      <c r="O153" s="21">
        <v>43</v>
      </c>
      <c r="P153" s="21">
        <v>50</v>
      </c>
    </row>
    <row r="154" spans="1:16" x14ac:dyDescent="0.35">
      <c r="A154" s="21">
        <v>153</v>
      </c>
      <c r="B154" s="39">
        <v>40550</v>
      </c>
      <c r="C154" s="21">
        <v>1</v>
      </c>
      <c r="D154" s="21">
        <v>0</v>
      </c>
      <c r="E154" s="21">
        <v>1</v>
      </c>
      <c r="F154" s="21">
        <v>15</v>
      </c>
      <c r="G154" s="21" t="b">
        <v>0</v>
      </c>
      <c r="H154" s="21">
        <v>5</v>
      </c>
      <c r="I154" s="21">
        <v>2</v>
      </c>
      <c r="J154" s="21">
        <v>0.2</v>
      </c>
      <c r="K154" s="21">
        <v>0.21210000000000001</v>
      </c>
      <c r="L154" s="21">
        <v>0.37</v>
      </c>
      <c r="M154" s="21">
        <v>0.16420000000000001</v>
      </c>
      <c r="N154" s="21">
        <v>9</v>
      </c>
      <c r="O154" s="21">
        <v>63</v>
      </c>
      <c r="P154" s="21">
        <v>72</v>
      </c>
    </row>
    <row r="155" spans="1:16" x14ac:dyDescent="0.35">
      <c r="A155" s="21">
        <v>154</v>
      </c>
      <c r="B155" s="39">
        <v>40550</v>
      </c>
      <c r="C155" s="21">
        <v>1</v>
      </c>
      <c r="D155" s="21">
        <v>0</v>
      </c>
      <c r="E155" s="21">
        <v>1</v>
      </c>
      <c r="F155" s="21">
        <v>16</v>
      </c>
      <c r="G155" s="21" t="b">
        <v>0</v>
      </c>
      <c r="H155" s="21">
        <v>5</v>
      </c>
      <c r="I155" s="21">
        <v>2</v>
      </c>
      <c r="J155" s="21">
        <v>0.2</v>
      </c>
      <c r="K155" s="21">
        <v>0.21210000000000001</v>
      </c>
      <c r="L155" s="21">
        <v>0.37</v>
      </c>
      <c r="M155" s="21">
        <v>0.16420000000000001</v>
      </c>
      <c r="N155" s="21">
        <v>5</v>
      </c>
      <c r="O155" s="21">
        <v>82</v>
      </c>
      <c r="P155" s="21">
        <v>87</v>
      </c>
    </row>
    <row r="156" spans="1:16" x14ac:dyDescent="0.35">
      <c r="A156" s="21">
        <v>155</v>
      </c>
      <c r="B156" s="39">
        <v>40550</v>
      </c>
      <c r="C156" s="21">
        <v>1</v>
      </c>
      <c r="D156" s="21">
        <v>0</v>
      </c>
      <c r="E156" s="21">
        <v>1</v>
      </c>
      <c r="F156" s="21">
        <v>17</v>
      </c>
      <c r="G156" s="21" t="b">
        <v>0</v>
      </c>
      <c r="H156" s="21">
        <v>5</v>
      </c>
      <c r="I156" s="21">
        <v>2</v>
      </c>
      <c r="J156" s="21">
        <v>0.2</v>
      </c>
      <c r="K156" s="21">
        <v>0.2576</v>
      </c>
      <c r="L156" s="21">
        <v>0.37</v>
      </c>
      <c r="M156" s="21">
        <v>0</v>
      </c>
      <c r="N156" s="21">
        <v>9</v>
      </c>
      <c r="O156" s="21">
        <v>178</v>
      </c>
      <c r="P156" s="21">
        <v>187</v>
      </c>
    </row>
    <row r="157" spans="1:16" x14ac:dyDescent="0.35">
      <c r="A157" s="21">
        <v>156</v>
      </c>
      <c r="B157" s="39">
        <v>40550</v>
      </c>
      <c r="C157" s="21">
        <v>1</v>
      </c>
      <c r="D157" s="21">
        <v>0</v>
      </c>
      <c r="E157" s="21">
        <v>1</v>
      </c>
      <c r="F157" s="21">
        <v>18</v>
      </c>
      <c r="G157" s="21" t="b">
        <v>0</v>
      </c>
      <c r="H157" s="21">
        <v>5</v>
      </c>
      <c r="I157" s="21">
        <v>1</v>
      </c>
      <c r="J157" s="21">
        <v>0.2</v>
      </c>
      <c r="K157" s="21">
        <v>0.2273</v>
      </c>
      <c r="L157" s="21">
        <v>0.4</v>
      </c>
      <c r="M157" s="21">
        <v>8.9599999999999999E-2</v>
      </c>
      <c r="N157" s="21">
        <v>7</v>
      </c>
      <c r="O157" s="21">
        <v>116</v>
      </c>
      <c r="P157" s="21">
        <v>123</v>
      </c>
    </row>
    <row r="158" spans="1:16" x14ac:dyDescent="0.35">
      <c r="A158" s="21">
        <v>157</v>
      </c>
      <c r="B158" s="39">
        <v>40550</v>
      </c>
      <c r="C158" s="21">
        <v>1</v>
      </c>
      <c r="D158" s="21">
        <v>0</v>
      </c>
      <c r="E158" s="21">
        <v>1</v>
      </c>
      <c r="F158" s="21">
        <v>19</v>
      </c>
      <c r="G158" s="21" t="b">
        <v>0</v>
      </c>
      <c r="H158" s="21">
        <v>5</v>
      </c>
      <c r="I158" s="21">
        <v>1</v>
      </c>
      <c r="J158" s="21">
        <v>0.16</v>
      </c>
      <c r="K158" s="21">
        <v>0.19700000000000001</v>
      </c>
      <c r="L158" s="21">
        <v>0.55000000000000004</v>
      </c>
      <c r="M158" s="21">
        <v>8.9599999999999999E-2</v>
      </c>
      <c r="N158" s="21">
        <v>3</v>
      </c>
      <c r="O158" s="21">
        <v>92</v>
      </c>
      <c r="P158" s="21">
        <v>95</v>
      </c>
    </row>
    <row r="159" spans="1:16" x14ac:dyDescent="0.35">
      <c r="A159" s="21">
        <v>158</v>
      </c>
      <c r="B159" s="39">
        <v>40550</v>
      </c>
      <c r="C159" s="21">
        <v>1</v>
      </c>
      <c r="D159" s="21">
        <v>0</v>
      </c>
      <c r="E159" s="21">
        <v>1</v>
      </c>
      <c r="F159" s="21">
        <v>20</v>
      </c>
      <c r="G159" s="21" t="b">
        <v>0</v>
      </c>
      <c r="H159" s="21">
        <v>5</v>
      </c>
      <c r="I159" s="21">
        <v>1</v>
      </c>
      <c r="J159" s="21">
        <v>0.18</v>
      </c>
      <c r="K159" s="21">
        <v>0.21210000000000001</v>
      </c>
      <c r="L159" s="21">
        <v>0.47</v>
      </c>
      <c r="M159" s="21">
        <v>0.1045</v>
      </c>
      <c r="N159" s="21">
        <v>1</v>
      </c>
      <c r="O159" s="21">
        <v>50</v>
      </c>
      <c r="P159" s="21">
        <v>51</v>
      </c>
    </row>
    <row r="160" spans="1:16" x14ac:dyDescent="0.35">
      <c r="A160" s="21">
        <v>159</v>
      </c>
      <c r="B160" s="39">
        <v>40550</v>
      </c>
      <c r="C160" s="21">
        <v>1</v>
      </c>
      <c r="D160" s="21">
        <v>0</v>
      </c>
      <c r="E160" s="21">
        <v>1</v>
      </c>
      <c r="F160" s="21">
        <v>21</v>
      </c>
      <c r="G160" s="21" t="b">
        <v>0</v>
      </c>
      <c r="H160" s="21">
        <v>5</v>
      </c>
      <c r="I160" s="21">
        <v>1</v>
      </c>
      <c r="J160" s="21">
        <v>0.18</v>
      </c>
      <c r="K160" s="21">
        <v>0.19700000000000001</v>
      </c>
      <c r="L160" s="21">
        <v>0.47</v>
      </c>
      <c r="M160" s="21">
        <v>0.1343</v>
      </c>
      <c r="N160" s="21">
        <v>0</v>
      </c>
      <c r="O160" s="21">
        <v>39</v>
      </c>
      <c r="P160" s="21">
        <v>39</v>
      </c>
    </row>
    <row r="161" spans="1:16" x14ac:dyDescent="0.35">
      <c r="A161" s="21">
        <v>160</v>
      </c>
      <c r="B161" s="39">
        <v>40550</v>
      </c>
      <c r="C161" s="21">
        <v>1</v>
      </c>
      <c r="D161" s="21">
        <v>0</v>
      </c>
      <c r="E161" s="21">
        <v>1</v>
      </c>
      <c r="F161" s="21">
        <v>22</v>
      </c>
      <c r="G161" s="21" t="b">
        <v>0</v>
      </c>
      <c r="H161" s="21">
        <v>5</v>
      </c>
      <c r="I161" s="21">
        <v>2</v>
      </c>
      <c r="J161" s="21">
        <v>0.18</v>
      </c>
      <c r="K161" s="21">
        <v>0.19700000000000001</v>
      </c>
      <c r="L161" s="21">
        <v>0.43</v>
      </c>
      <c r="M161" s="21">
        <v>0.16420000000000001</v>
      </c>
      <c r="N161" s="21">
        <v>2</v>
      </c>
      <c r="O161" s="21">
        <v>34</v>
      </c>
      <c r="P161" s="21">
        <v>36</v>
      </c>
    </row>
    <row r="162" spans="1:16" x14ac:dyDescent="0.35">
      <c r="A162" s="21">
        <v>161</v>
      </c>
      <c r="B162" s="39">
        <v>40550</v>
      </c>
      <c r="C162" s="21">
        <v>1</v>
      </c>
      <c r="D162" s="21">
        <v>0</v>
      </c>
      <c r="E162" s="21">
        <v>1</v>
      </c>
      <c r="F162" s="21">
        <v>23</v>
      </c>
      <c r="G162" s="21" t="b">
        <v>0</v>
      </c>
      <c r="H162" s="21">
        <v>5</v>
      </c>
      <c r="I162" s="21">
        <v>2</v>
      </c>
      <c r="J162" s="21">
        <v>0.18</v>
      </c>
      <c r="K162" s="21">
        <v>0.19700000000000001</v>
      </c>
      <c r="L162" s="21">
        <v>0.51</v>
      </c>
      <c r="M162" s="21">
        <v>0.16420000000000001</v>
      </c>
      <c r="N162" s="21">
        <v>1</v>
      </c>
      <c r="O162" s="21">
        <v>14</v>
      </c>
      <c r="P162" s="21">
        <v>15</v>
      </c>
    </row>
    <row r="163" spans="1:16" x14ac:dyDescent="0.35">
      <c r="A163" s="21">
        <v>162</v>
      </c>
      <c r="B163" s="39">
        <v>40551</v>
      </c>
      <c r="C163" s="21">
        <v>1</v>
      </c>
      <c r="D163" s="21">
        <v>0</v>
      </c>
      <c r="E163" s="21">
        <v>1</v>
      </c>
      <c r="F163" s="21">
        <v>0</v>
      </c>
      <c r="G163" s="21" t="b">
        <v>0</v>
      </c>
      <c r="H163" s="21">
        <v>6</v>
      </c>
      <c r="I163" s="21">
        <v>2</v>
      </c>
      <c r="J163" s="21">
        <v>0.18</v>
      </c>
      <c r="K163" s="21">
        <v>0.19700000000000001</v>
      </c>
      <c r="L163" s="21">
        <v>0.51</v>
      </c>
      <c r="M163" s="21">
        <v>0.16420000000000001</v>
      </c>
      <c r="N163" s="21">
        <v>1</v>
      </c>
      <c r="O163" s="21">
        <v>24</v>
      </c>
      <c r="P163" s="21">
        <v>25</v>
      </c>
    </row>
    <row r="164" spans="1:16" x14ac:dyDescent="0.35">
      <c r="A164" s="21">
        <v>163</v>
      </c>
      <c r="B164" s="39">
        <v>40551</v>
      </c>
      <c r="C164" s="21">
        <v>1</v>
      </c>
      <c r="D164" s="21">
        <v>0</v>
      </c>
      <c r="E164" s="21">
        <v>1</v>
      </c>
      <c r="F164" s="21">
        <v>1</v>
      </c>
      <c r="G164" s="21" t="b">
        <v>0</v>
      </c>
      <c r="H164" s="21">
        <v>6</v>
      </c>
      <c r="I164" s="21">
        <v>2</v>
      </c>
      <c r="J164" s="21">
        <v>0.18</v>
      </c>
      <c r="K164" s="21">
        <v>0.21210000000000001</v>
      </c>
      <c r="L164" s="21">
        <v>0.55000000000000004</v>
      </c>
      <c r="M164" s="21">
        <v>8.9599999999999999E-2</v>
      </c>
      <c r="N164" s="21">
        <v>1</v>
      </c>
      <c r="O164" s="21">
        <v>15</v>
      </c>
      <c r="P164" s="21">
        <v>16</v>
      </c>
    </row>
    <row r="165" spans="1:16" x14ac:dyDescent="0.35">
      <c r="A165" s="21">
        <v>164</v>
      </c>
      <c r="B165" s="39">
        <v>40551</v>
      </c>
      <c r="C165" s="21">
        <v>1</v>
      </c>
      <c r="D165" s="21">
        <v>0</v>
      </c>
      <c r="E165" s="21">
        <v>1</v>
      </c>
      <c r="F165" s="21">
        <v>2</v>
      </c>
      <c r="G165" s="21" t="b">
        <v>0</v>
      </c>
      <c r="H165" s="21">
        <v>6</v>
      </c>
      <c r="I165" s="21">
        <v>2</v>
      </c>
      <c r="J165" s="21">
        <v>0.18</v>
      </c>
      <c r="K165" s="21">
        <v>0.2424</v>
      </c>
      <c r="L165" s="21">
        <v>0.55000000000000004</v>
      </c>
      <c r="M165" s="21">
        <v>0</v>
      </c>
      <c r="N165" s="21">
        <v>3</v>
      </c>
      <c r="O165" s="21">
        <v>13</v>
      </c>
      <c r="P165" s="21">
        <v>16</v>
      </c>
    </row>
    <row r="166" spans="1:16" x14ac:dyDescent="0.35">
      <c r="A166" s="21">
        <v>165</v>
      </c>
      <c r="B166" s="39">
        <v>40551</v>
      </c>
      <c r="C166" s="21">
        <v>1</v>
      </c>
      <c r="D166" s="21">
        <v>0</v>
      </c>
      <c r="E166" s="21">
        <v>1</v>
      </c>
      <c r="F166" s="21">
        <v>3</v>
      </c>
      <c r="G166" s="21" t="b">
        <v>0</v>
      </c>
      <c r="H166" s="21">
        <v>6</v>
      </c>
      <c r="I166" s="21">
        <v>3</v>
      </c>
      <c r="J166" s="21">
        <v>0.18</v>
      </c>
      <c r="K166" s="21">
        <v>0.19700000000000001</v>
      </c>
      <c r="L166" s="21">
        <v>0.55000000000000004</v>
      </c>
      <c r="M166" s="21">
        <v>0.16420000000000001</v>
      </c>
      <c r="N166" s="21">
        <v>0</v>
      </c>
      <c r="O166" s="21">
        <v>7</v>
      </c>
      <c r="P166" s="21">
        <v>7</v>
      </c>
    </row>
    <row r="167" spans="1:16" x14ac:dyDescent="0.35">
      <c r="A167" s="21">
        <v>166</v>
      </c>
      <c r="B167" s="39">
        <v>40551</v>
      </c>
      <c r="C167" s="21">
        <v>1</v>
      </c>
      <c r="D167" s="21">
        <v>0</v>
      </c>
      <c r="E167" s="21">
        <v>1</v>
      </c>
      <c r="F167" s="21">
        <v>4</v>
      </c>
      <c r="G167" s="21" t="b">
        <v>0</v>
      </c>
      <c r="H167" s="21">
        <v>6</v>
      </c>
      <c r="I167" s="21">
        <v>3</v>
      </c>
      <c r="J167" s="21">
        <v>0.18</v>
      </c>
      <c r="K167" s="21">
        <v>0.19700000000000001</v>
      </c>
      <c r="L167" s="21">
        <v>0.55000000000000004</v>
      </c>
      <c r="M167" s="21">
        <v>0.16420000000000001</v>
      </c>
      <c r="N167" s="21">
        <v>0</v>
      </c>
      <c r="O167" s="21">
        <v>1</v>
      </c>
      <c r="P167" s="21">
        <v>1</v>
      </c>
    </row>
    <row r="168" spans="1:16" x14ac:dyDescent="0.35">
      <c r="A168" s="21">
        <v>167</v>
      </c>
      <c r="B168" s="39">
        <v>40551</v>
      </c>
      <c r="C168" s="21">
        <v>1</v>
      </c>
      <c r="D168" s="21">
        <v>0</v>
      </c>
      <c r="E168" s="21">
        <v>1</v>
      </c>
      <c r="F168" s="21">
        <v>5</v>
      </c>
      <c r="G168" s="21" t="b">
        <v>0</v>
      </c>
      <c r="H168" s="21">
        <v>6</v>
      </c>
      <c r="I168" s="21">
        <v>2</v>
      </c>
      <c r="J168" s="21">
        <v>0.16</v>
      </c>
      <c r="K168" s="21">
        <v>0.16669999999999999</v>
      </c>
      <c r="L168" s="21">
        <v>0.74</v>
      </c>
      <c r="M168" s="21">
        <v>0.16420000000000001</v>
      </c>
      <c r="N168" s="21">
        <v>0</v>
      </c>
      <c r="O168" s="21">
        <v>5</v>
      </c>
      <c r="P168" s="21">
        <v>5</v>
      </c>
    </row>
    <row r="169" spans="1:16" x14ac:dyDescent="0.35">
      <c r="A169" s="21">
        <v>168</v>
      </c>
      <c r="B169" s="39">
        <v>40551</v>
      </c>
      <c r="C169" s="21">
        <v>1</v>
      </c>
      <c r="D169" s="21">
        <v>0</v>
      </c>
      <c r="E169" s="21">
        <v>1</v>
      </c>
      <c r="F169" s="21">
        <v>6</v>
      </c>
      <c r="G169" s="21" t="b">
        <v>0</v>
      </c>
      <c r="H169" s="21">
        <v>6</v>
      </c>
      <c r="I169" s="21">
        <v>2</v>
      </c>
      <c r="J169" s="21">
        <v>0.16</v>
      </c>
      <c r="K169" s="21">
        <v>0.16669999999999999</v>
      </c>
      <c r="L169" s="21">
        <v>0.74</v>
      </c>
      <c r="M169" s="21">
        <v>0.16420000000000001</v>
      </c>
      <c r="N169" s="21">
        <v>0</v>
      </c>
      <c r="O169" s="21">
        <v>2</v>
      </c>
      <c r="P169" s="21">
        <v>2</v>
      </c>
    </row>
    <row r="170" spans="1:16" x14ac:dyDescent="0.35">
      <c r="A170" s="21">
        <v>169</v>
      </c>
      <c r="B170" s="39">
        <v>40551</v>
      </c>
      <c r="C170" s="21">
        <v>1</v>
      </c>
      <c r="D170" s="21">
        <v>0</v>
      </c>
      <c r="E170" s="21">
        <v>1</v>
      </c>
      <c r="F170" s="21">
        <v>7</v>
      </c>
      <c r="G170" s="21" t="b">
        <v>0</v>
      </c>
      <c r="H170" s="21">
        <v>6</v>
      </c>
      <c r="I170" s="21">
        <v>2</v>
      </c>
      <c r="J170" s="21">
        <v>0.16</v>
      </c>
      <c r="K170" s="21">
        <v>0.18179999999999999</v>
      </c>
      <c r="L170" s="21">
        <v>0.74</v>
      </c>
      <c r="M170" s="21">
        <v>0.1045</v>
      </c>
      <c r="N170" s="21">
        <v>1</v>
      </c>
      <c r="O170" s="21">
        <v>8</v>
      </c>
      <c r="P170" s="21">
        <v>9</v>
      </c>
    </row>
    <row r="171" spans="1:16" x14ac:dyDescent="0.35">
      <c r="A171" s="21">
        <v>170</v>
      </c>
      <c r="B171" s="39">
        <v>40551</v>
      </c>
      <c r="C171" s="21">
        <v>1</v>
      </c>
      <c r="D171" s="21">
        <v>0</v>
      </c>
      <c r="E171" s="21">
        <v>1</v>
      </c>
      <c r="F171" s="21">
        <v>8</v>
      </c>
      <c r="G171" s="21" t="b">
        <v>0</v>
      </c>
      <c r="H171" s="21">
        <v>6</v>
      </c>
      <c r="I171" s="21">
        <v>3</v>
      </c>
      <c r="J171" s="21">
        <v>0.16</v>
      </c>
      <c r="K171" s="21">
        <v>0.18179999999999999</v>
      </c>
      <c r="L171" s="21">
        <v>0.93</v>
      </c>
      <c r="M171" s="21">
        <v>0.1045</v>
      </c>
      <c r="N171" s="21">
        <v>0</v>
      </c>
      <c r="O171" s="21">
        <v>15</v>
      </c>
      <c r="P171" s="21">
        <v>15</v>
      </c>
    </row>
    <row r="172" spans="1:16" x14ac:dyDescent="0.35">
      <c r="A172" s="21">
        <v>171</v>
      </c>
      <c r="B172" s="39">
        <v>40551</v>
      </c>
      <c r="C172" s="21">
        <v>1</v>
      </c>
      <c r="D172" s="21">
        <v>0</v>
      </c>
      <c r="E172" s="21">
        <v>1</v>
      </c>
      <c r="F172" s="21">
        <v>9</v>
      </c>
      <c r="G172" s="21" t="b">
        <v>0</v>
      </c>
      <c r="H172" s="21">
        <v>6</v>
      </c>
      <c r="I172" s="21">
        <v>3</v>
      </c>
      <c r="J172" s="21">
        <v>0.16</v>
      </c>
      <c r="K172" s="21">
        <v>0.18179999999999999</v>
      </c>
      <c r="L172" s="21">
        <v>0.93</v>
      </c>
      <c r="M172" s="21">
        <v>0.1045</v>
      </c>
      <c r="N172" s="21">
        <v>0</v>
      </c>
      <c r="O172" s="21">
        <v>20</v>
      </c>
      <c r="P172" s="21">
        <v>20</v>
      </c>
    </row>
    <row r="173" spans="1:16" x14ac:dyDescent="0.35">
      <c r="A173" s="21">
        <v>172</v>
      </c>
      <c r="B173" s="39">
        <v>40551</v>
      </c>
      <c r="C173" s="21">
        <v>1</v>
      </c>
      <c r="D173" s="21">
        <v>0</v>
      </c>
      <c r="E173" s="21">
        <v>1</v>
      </c>
      <c r="F173" s="21">
        <v>10</v>
      </c>
      <c r="G173" s="21" t="b">
        <v>0</v>
      </c>
      <c r="H173" s="21">
        <v>6</v>
      </c>
      <c r="I173" s="21">
        <v>2</v>
      </c>
      <c r="J173" s="21">
        <v>0.18</v>
      </c>
      <c r="K173" s="21">
        <v>0.19700000000000001</v>
      </c>
      <c r="L173" s="21">
        <v>0.8</v>
      </c>
      <c r="M173" s="21">
        <v>0.16420000000000001</v>
      </c>
      <c r="N173" s="21">
        <v>5</v>
      </c>
      <c r="O173" s="21">
        <v>56</v>
      </c>
      <c r="P173" s="21">
        <v>61</v>
      </c>
    </row>
    <row r="174" spans="1:16" x14ac:dyDescent="0.35">
      <c r="A174" s="21">
        <v>173</v>
      </c>
      <c r="B174" s="39">
        <v>40551</v>
      </c>
      <c r="C174" s="21">
        <v>1</v>
      </c>
      <c r="D174" s="21">
        <v>0</v>
      </c>
      <c r="E174" s="21">
        <v>1</v>
      </c>
      <c r="F174" s="21">
        <v>11</v>
      </c>
      <c r="G174" s="21" t="b">
        <v>0</v>
      </c>
      <c r="H174" s="21">
        <v>6</v>
      </c>
      <c r="I174" s="21">
        <v>2</v>
      </c>
      <c r="J174" s="21">
        <v>0.2</v>
      </c>
      <c r="K174" s="21">
        <v>0.18179999999999999</v>
      </c>
      <c r="L174" s="21">
        <v>0.69</v>
      </c>
      <c r="M174" s="21">
        <v>0.3881</v>
      </c>
      <c r="N174" s="21">
        <v>2</v>
      </c>
      <c r="O174" s="21">
        <v>60</v>
      </c>
      <c r="P174" s="21">
        <v>62</v>
      </c>
    </row>
    <row r="175" spans="1:16" x14ac:dyDescent="0.35">
      <c r="A175" s="21">
        <v>174</v>
      </c>
      <c r="B175" s="39">
        <v>40551</v>
      </c>
      <c r="C175" s="21">
        <v>1</v>
      </c>
      <c r="D175" s="21">
        <v>0</v>
      </c>
      <c r="E175" s="21">
        <v>1</v>
      </c>
      <c r="F175" s="21">
        <v>12</v>
      </c>
      <c r="G175" s="21" t="b">
        <v>0</v>
      </c>
      <c r="H175" s="21">
        <v>6</v>
      </c>
      <c r="I175" s="21">
        <v>2</v>
      </c>
      <c r="J175" s="21">
        <v>0.2</v>
      </c>
      <c r="K175" s="21">
        <v>0.18179999999999999</v>
      </c>
      <c r="L175" s="21">
        <v>0.59</v>
      </c>
      <c r="M175" s="21">
        <v>0.35820000000000002</v>
      </c>
      <c r="N175" s="21">
        <v>8</v>
      </c>
      <c r="O175" s="21">
        <v>90</v>
      </c>
      <c r="P175" s="21">
        <v>98</v>
      </c>
    </row>
    <row r="176" spans="1:16" x14ac:dyDescent="0.35">
      <c r="A176" s="21">
        <v>175</v>
      </c>
      <c r="B176" s="39">
        <v>40551</v>
      </c>
      <c r="C176" s="21">
        <v>1</v>
      </c>
      <c r="D176" s="21">
        <v>0</v>
      </c>
      <c r="E176" s="21">
        <v>1</v>
      </c>
      <c r="F176" s="21">
        <v>13</v>
      </c>
      <c r="G176" s="21" t="b">
        <v>0</v>
      </c>
      <c r="H176" s="21">
        <v>6</v>
      </c>
      <c r="I176" s="21">
        <v>1</v>
      </c>
      <c r="J176" s="21">
        <v>0.2</v>
      </c>
      <c r="K176" s="21">
        <v>0.18179999999999999</v>
      </c>
      <c r="L176" s="21">
        <v>0.44</v>
      </c>
      <c r="M176" s="21">
        <v>0.32840000000000003</v>
      </c>
      <c r="N176" s="21">
        <v>7</v>
      </c>
      <c r="O176" s="21">
        <v>95</v>
      </c>
      <c r="P176" s="21">
        <v>102</v>
      </c>
    </row>
    <row r="177" spans="1:16" x14ac:dyDescent="0.35">
      <c r="A177" s="21">
        <v>176</v>
      </c>
      <c r="B177" s="39">
        <v>40551</v>
      </c>
      <c r="C177" s="21">
        <v>1</v>
      </c>
      <c r="D177" s="21">
        <v>0</v>
      </c>
      <c r="E177" s="21">
        <v>1</v>
      </c>
      <c r="F177" s="21">
        <v>14</v>
      </c>
      <c r="G177" s="21" t="b">
        <v>0</v>
      </c>
      <c r="H177" s="21">
        <v>6</v>
      </c>
      <c r="I177" s="21">
        <v>1</v>
      </c>
      <c r="J177" s="21">
        <v>0.2</v>
      </c>
      <c r="K177" s="21">
        <v>0.16669999999999999</v>
      </c>
      <c r="L177" s="21">
        <v>0.32</v>
      </c>
      <c r="M177" s="21">
        <v>0.49249999999999999</v>
      </c>
      <c r="N177" s="21">
        <v>12</v>
      </c>
      <c r="O177" s="21">
        <v>83</v>
      </c>
      <c r="P177" s="21">
        <v>95</v>
      </c>
    </row>
    <row r="178" spans="1:16" x14ac:dyDescent="0.35">
      <c r="A178" s="21">
        <v>177</v>
      </c>
      <c r="B178" s="39">
        <v>40551</v>
      </c>
      <c r="C178" s="21">
        <v>1</v>
      </c>
      <c r="D178" s="21">
        <v>0</v>
      </c>
      <c r="E178" s="21">
        <v>1</v>
      </c>
      <c r="F178" s="21">
        <v>15</v>
      </c>
      <c r="G178" s="21" t="b">
        <v>0</v>
      </c>
      <c r="H178" s="21">
        <v>6</v>
      </c>
      <c r="I178" s="21">
        <v>1</v>
      </c>
      <c r="J178" s="21">
        <v>0.2</v>
      </c>
      <c r="K178" s="21">
        <v>0.16669999999999999</v>
      </c>
      <c r="L178" s="21">
        <v>0.32</v>
      </c>
      <c r="M178" s="21">
        <v>0.44779999999999998</v>
      </c>
      <c r="N178" s="21">
        <v>5</v>
      </c>
      <c r="O178" s="21">
        <v>69</v>
      </c>
      <c r="P178" s="21">
        <v>74</v>
      </c>
    </row>
    <row r="179" spans="1:16" x14ac:dyDescent="0.35">
      <c r="A179" s="21">
        <v>178</v>
      </c>
      <c r="B179" s="39">
        <v>40551</v>
      </c>
      <c r="C179" s="21">
        <v>1</v>
      </c>
      <c r="D179" s="21">
        <v>0</v>
      </c>
      <c r="E179" s="21">
        <v>1</v>
      </c>
      <c r="F179" s="21">
        <v>16</v>
      </c>
      <c r="G179" s="21" t="b">
        <v>0</v>
      </c>
      <c r="H179" s="21">
        <v>6</v>
      </c>
      <c r="I179" s="21">
        <v>1</v>
      </c>
      <c r="J179" s="21">
        <v>0.18</v>
      </c>
      <c r="K179" s="21">
        <v>0.13639999999999999</v>
      </c>
      <c r="L179" s="21">
        <v>0.28999999999999998</v>
      </c>
      <c r="M179" s="21">
        <v>0.44779999999999998</v>
      </c>
      <c r="N179" s="21">
        <v>8</v>
      </c>
      <c r="O179" s="21">
        <v>68</v>
      </c>
      <c r="P179" s="21">
        <v>76</v>
      </c>
    </row>
    <row r="180" spans="1:16" x14ac:dyDescent="0.35">
      <c r="A180" s="21">
        <v>179</v>
      </c>
      <c r="B180" s="39">
        <v>40551</v>
      </c>
      <c r="C180" s="21">
        <v>1</v>
      </c>
      <c r="D180" s="21">
        <v>0</v>
      </c>
      <c r="E180" s="21">
        <v>1</v>
      </c>
      <c r="F180" s="21">
        <v>17</v>
      </c>
      <c r="G180" s="21" t="b">
        <v>0</v>
      </c>
      <c r="H180" s="21">
        <v>6</v>
      </c>
      <c r="I180" s="21">
        <v>1</v>
      </c>
      <c r="J180" s="21">
        <v>0.16</v>
      </c>
      <c r="K180" s="21">
        <v>0.1212</v>
      </c>
      <c r="L180" s="21">
        <v>0.37</v>
      </c>
      <c r="M180" s="21">
        <v>0.55220000000000002</v>
      </c>
      <c r="N180" s="21">
        <v>5</v>
      </c>
      <c r="O180" s="21">
        <v>64</v>
      </c>
      <c r="P180" s="21">
        <v>69</v>
      </c>
    </row>
    <row r="181" spans="1:16" x14ac:dyDescent="0.35">
      <c r="A181" s="21">
        <v>180</v>
      </c>
      <c r="B181" s="39">
        <v>40551</v>
      </c>
      <c r="C181" s="21">
        <v>1</v>
      </c>
      <c r="D181" s="21">
        <v>0</v>
      </c>
      <c r="E181" s="21">
        <v>1</v>
      </c>
      <c r="F181" s="21">
        <v>18</v>
      </c>
      <c r="G181" s="21" t="b">
        <v>0</v>
      </c>
      <c r="H181" s="21">
        <v>6</v>
      </c>
      <c r="I181" s="21">
        <v>1</v>
      </c>
      <c r="J181" s="21">
        <v>0.14000000000000001</v>
      </c>
      <c r="K181" s="21">
        <v>0.1212</v>
      </c>
      <c r="L181" s="21">
        <v>0.39</v>
      </c>
      <c r="M181" s="21">
        <v>0.29849999999999999</v>
      </c>
      <c r="N181" s="21">
        <v>3</v>
      </c>
      <c r="O181" s="21">
        <v>52</v>
      </c>
      <c r="P181" s="21">
        <v>55</v>
      </c>
    </row>
    <row r="182" spans="1:16" x14ac:dyDescent="0.35">
      <c r="A182" s="21">
        <v>181</v>
      </c>
      <c r="B182" s="39">
        <v>40551</v>
      </c>
      <c r="C182" s="21">
        <v>1</v>
      </c>
      <c r="D182" s="21">
        <v>0</v>
      </c>
      <c r="E182" s="21">
        <v>1</v>
      </c>
      <c r="F182" s="21">
        <v>19</v>
      </c>
      <c r="G182" s="21" t="b">
        <v>0</v>
      </c>
      <c r="H182" s="21">
        <v>6</v>
      </c>
      <c r="I182" s="21">
        <v>1</v>
      </c>
      <c r="J182" s="21">
        <v>0.14000000000000001</v>
      </c>
      <c r="K182" s="21">
        <v>0.1212</v>
      </c>
      <c r="L182" s="21">
        <v>0.36</v>
      </c>
      <c r="M182" s="21">
        <v>0.25369999999999998</v>
      </c>
      <c r="N182" s="21">
        <v>4</v>
      </c>
      <c r="O182" s="21">
        <v>26</v>
      </c>
      <c r="P182" s="21">
        <v>30</v>
      </c>
    </row>
    <row r="183" spans="1:16" x14ac:dyDescent="0.35">
      <c r="A183" s="21">
        <v>182</v>
      </c>
      <c r="B183" s="39">
        <v>40551</v>
      </c>
      <c r="C183" s="21">
        <v>1</v>
      </c>
      <c r="D183" s="21">
        <v>0</v>
      </c>
      <c r="E183" s="21">
        <v>1</v>
      </c>
      <c r="F183" s="21">
        <v>20</v>
      </c>
      <c r="G183" s="21" t="b">
        <v>0</v>
      </c>
      <c r="H183" s="21">
        <v>6</v>
      </c>
      <c r="I183" s="21">
        <v>1</v>
      </c>
      <c r="J183" s="21">
        <v>0.12</v>
      </c>
      <c r="K183" s="21">
        <v>0.1212</v>
      </c>
      <c r="L183" s="21">
        <v>0.36</v>
      </c>
      <c r="M183" s="21">
        <v>0.25369999999999998</v>
      </c>
      <c r="N183" s="21">
        <v>0</v>
      </c>
      <c r="O183" s="21">
        <v>28</v>
      </c>
      <c r="P183" s="21">
        <v>28</v>
      </c>
    </row>
    <row r="184" spans="1:16" x14ac:dyDescent="0.35">
      <c r="A184" s="21">
        <v>183</v>
      </c>
      <c r="B184" s="39">
        <v>40551</v>
      </c>
      <c r="C184" s="21">
        <v>1</v>
      </c>
      <c r="D184" s="21">
        <v>0</v>
      </c>
      <c r="E184" s="21">
        <v>1</v>
      </c>
      <c r="F184" s="21">
        <v>21</v>
      </c>
      <c r="G184" s="21" t="b">
        <v>0</v>
      </c>
      <c r="H184" s="21">
        <v>6</v>
      </c>
      <c r="I184" s="21">
        <v>1</v>
      </c>
      <c r="J184" s="21">
        <v>0.12</v>
      </c>
      <c r="K184" s="21">
        <v>0.1061</v>
      </c>
      <c r="L184" s="21">
        <v>0.39</v>
      </c>
      <c r="M184" s="21">
        <v>0.35820000000000002</v>
      </c>
      <c r="N184" s="21">
        <v>2</v>
      </c>
      <c r="O184" s="21">
        <v>35</v>
      </c>
      <c r="P184" s="21">
        <v>37</v>
      </c>
    </row>
    <row r="185" spans="1:16" x14ac:dyDescent="0.35">
      <c r="A185" s="21">
        <v>184</v>
      </c>
      <c r="B185" s="39">
        <v>40551</v>
      </c>
      <c r="C185" s="21">
        <v>1</v>
      </c>
      <c r="D185" s="21">
        <v>0</v>
      </c>
      <c r="E185" s="21">
        <v>1</v>
      </c>
      <c r="F185" s="21">
        <v>22</v>
      </c>
      <c r="G185" s="21" t="b">
        <v>0</v>
      </c>
      <c r="H185" s="21">
        <v>6</v>
      </c>
      <c r="I185" s="21">
        <v>1</v>
      </c>
      <c r="J185" s="21">
        <v>0.12</v>
      </c>
      <c r="K185" s="21">
        <v>0.1061</v>
      </c>
      <c r="L185" s="21">
        <v>0.36</v>
      </c>
      <c r="M185" s="21">
        <v>0.3881</v>
      </c>
      <c r="N185" s="21">
        <v>1</v>
      </c>
      <c r="O185" s="21">
        <v>33</v>
      </c>
      <c r="P185" s="21">
        <v>34</v>
      </c>
    </row>
    <row r="186" spans="1:16" x14ac:dyDescent="0.35">
      <c r="A186" s="21">
        <v>185</v>
      </c>
      <c r="B186" s="39">
        <v>40551</v>
      </c>
      <c r="C186" s="21">
        <v>1</v>
      </c>
      <c r="D186" s="21">
        <v>0</v>
      </c>
      <c r="E186" s="21">
        <v>1</v>
      </c>
      <c r="F186" s="21">
        <v>23</v>
      </c>
      <c r="G186" s="21" t="b">
        <v>0</v>
      </c>
      <c r="H186" s="21">
        <v>6</v>
      </c>
      <c r="I186" s="21">
        <v>1</v>
      </c>
      <c r="J186" s="21">
        <v>0.1</v>
      </c>
      <c r="K186" s="21">
        <v>6.0600000000000001E-2</v>
      </c>
      <c r="L186" s="21">
        <v>0.39</v>
      </c>
      <c r="M186" s="21">
        <v>0.44779999999999998</v>
      </c>
      <c r="N186" s="21">
        <v>0</v>
      </c>
      <c r="O186" s="21">
        <v>22</v>
      </c>
      <c r="P186" s="21">
        <v>22</v>
      </c>
    </row>
    <row r="187" spans="1:16" x14ac:dyDescent="0.35">
      <c r="A187" s="21">
        <v>186</v>
      </c>
      <c r="B187" s="39">
        <v>40552</v>
      </c>
      <c r="C187" s="21">
        <v>1</v>
      </c>
      <c r="D187" s="21">
        <v>0</v>
      </c>
      <c r="E187" s="21">
        <v>1</v>
      </c>
      <c r="F187" s="21">
        <v>0</v>
      </c>
      <c r="G187" s="21" t="b">
        <v>0</v>
      </c>
      <c r="H187" s="21">
        <v>0</v>
      </c>
      <c r="I187" s="21">
        <v>1</v>
      </c>
      <c r="J187" s="21">
        <v>0.1</v>
      </c>
      <c r="K187" s="21">
        <v>7.5800000000000006E-2</v>
      </c>
      <c r="L187" s="21">
        <v>0.42</v>
      </c>
      <c r="M187" s="21">
        <v>0.3881</v>
      </c>
      <c r="N187" s="21">
        <v>1</v>
      </c>
      <c r="O187" s="21">
        <v>24</v>
      </c>
      <c r="P187" s="21">
        <v>25</v>
      </c>
    </row>
    <row r="188" spans="1:16" x14ac:dyDescent="0.35">
      <c r="A188" s="21">
        <v>187</v>
      </c>
      <c r="B188" s="39">
        <v>40552</v>
      </c>
      <c r="C188" s="21">
        <v>1</v>
      </c>
      <c r="D188" s="21">
        <v>0</v>
      </c>
      <c r="E188" s="21">
        <v>1</v>
      </c>
      <c r="F188" s="21">
        <v>1</v>
      </c>
      <c r="G188" s="21" t="b">
        <v>0</v>
      </c>
      <c r="H188" s="21">
        <v>0</v>
      </c>
      <c r="I188" s="21">
        <v>1</v>
      </c>
      <c r="J188" s="21">
        <v>0.1</v>
      </c>
      <c r="K188" s="21">
        <v>6.0600000000000001E-2</v>
      </c>
      <c r="L188" s="21">
        <v>0.42</v>
      </c>
      <c r="M188" s="21">
        <v>0.4627</v>
      </c>
      <c r="N188" s="21">
        <v>0</v>
      </c>
      <c r="O188" s="21">
        <v>12</v>
      </c>
      <c r="P188" s="21">
        <v>12</v>
      </c>
    </row>
    <row r="189" spans="1:16" x14ac:dyDescent="0.35">
      <c r="A189" s="21">
        <v>188</v>
      </c>
      <c r="B189" s="39">
        <v>40552</v>
      </c>
      <c r="C189" s="21">
        <v>1</v>
      </c>
      <c r="D189" s="21">
        <v>0</v>
      </c>
      <c r="E189" s="21">
        <v>1</v>
      </c>
      <c r="F189" s="21">
        <v>2</v>
      </c>
      <c r="G189" s="21" t="b">
        <v>0</v>
      </c>
      <c r="H189" s="21">
        <v>0</v>
      </c>
      <c r="I189" s="21">
        <v>1</v>
      </c>
      <c r="J189" s="21">
        <v>0.1</v>
      </c>
      <c r="K189" s="21">
        <v>6.0600000000000001E-2</v>
      </c>
      <c r="L189" s="21">
        <v>0.46</v>
      </c>
      <c r="M189" s="21">
        <v>0.4627</v>
      </c>
      <c r="N189" s="21">
        <v>0</v>
      </c>
      <c r="O189" s="21">
        <v>11</v>
      </c>
      <c r="P189" s="21">
        <v>11</v>
      </c>
    </row>
    <row r="190" spans="1:16" x14ac:dyDescent="0.35">
      <c r="A190" s="21">
        <v>189</v>
      </c>
      <c r="B190" s="39">
        <v>40552</v>
      </c>
      <c r="C190" s="21">
        <v>1</v>
      </c>
      <c r="D190" s="21">
        <v>0</v>
      </c>
      <c r="E190" s="21">
        <v>1</v>
      </c>
      <c r="F190" s="21">
        <v>3</v>
      </c>
      <c r="G190" s="21" t="b">
        <v>0</v>
      </c>
      <c r="H190" s="21">
        <v>0</v>
      </c>
      <c r="I190" s="21">
        <v>1</v>
      </c>
      <c r="J190" s="21">
        <v>0.1</v>
      </c>
      <c r="K190" s="21">
        <v>7.5800000000000006E-2</v>
      </c>
      <c r="L190" s="21">
        <v>0.46</v>
      </c>
      <c r="M190" s="21">
        <v>0.41789999999999999</v>
      </c>
      <c r="N190" s="21">
        <v>0</v>
      </c>
      <c r="O190" s="21">
        <v>4</v>
      </c>
      <c r="P190" s="21">
        <v>4</v>
      </c>
    </row>
    <row r="191" spans="1:16" x14ac:dyDescent="0.35">
      <c r="A191" s="21">
        <v>190</v>
      </c>
      <c r="B191" s="39">
        <v>40552</v>
      </c>
      <c r="C191" s="21">
        <v>1</v>
      </c>
      <c r="D191" s="21">
        <v>0</v>
      </c>
      <c r="E191" s="21">
        <v>1</v>
      </c>
      <c r="F191" s="21">
        <v>4</v>
      </c>
      <c r="G191" s="21" t="b">
        <v>0</v>
      </c>
      <c r="H191" s="21">
        <v>0</v>
      </c>
      <c r="I191" s="21">
        <v>1</v>
      </c>
      <c r="J191" s="21">
        <v>0.08</v>
      </c>
      <c r="K191" s="21">
        <v>9.0899999999999995E-2</v>
      </c>
      <c r="L191" s="21">
        <v>0.53</v>
      </c>
      <c r="M191" s="21">
        <v>0.19400000000000001</v>
      </c>
      <c r="N191" s="21">
        <v>0</v>
      </c>
      <c r="O191" s="21">
        <v>1</v>
      </c>
      <c r="P191" s="21">
        <v>1</v>
      </c>
    </row>
    <row r="192" spans="1:16" x14ac:dyDescent="0.35">
      <c r="A192" s="21">
        <v>191</v>
      </c>
      <c r="B192" s="39">
        <v>40552</v>
      </c>
      <c r="C192" s="21">
        <v>1</v>
      </c>
      <c r="D192" s="21">
        <v>0</v>
      </c>
      <c r="E192" s="21">
        <v>1</v>
      </c>
      <c r="F192" s="21">
        <v>5</v>
      </c>
      <c r="G192" s="21" t="b">
        <v>0</v>
      </c>
      <c r="H192" s="21">
        <v>0</v>
      </c>
      <c r="I192" s="21">
        <v>1</v>
      </c>
      <c r="J192" s="21">
        <v>0.08</v>
      </c>
      <c r="K192" s="21">
        <v>9.0899999999999995E-2</v>
      </c>
      <c r="L192" s="21">
        <v>0.53</v>
      </c>
      <c r="M192" s="21">
        <v>0.19400000000000001</v>
      </c>
      <c r="N192" s="21">
        <v>0</v>
      </c>
      <c r="O192" s="21">
        <v>1</v>
      </c>
      <c r="P192" s="21">
        <v>1</v>
      </c>
    </row>
    <row r="193" spans="1:16" x14ac:dyDescent="0.35">
      <c r="A193" s="21">
        <v>192</v>
      </c>
      <c r="B193" s="39">
        <v>40552</v>
      </c>
      <c r="C193" s="21">
        <v>1</v>
      </c>
      <c r="D193" s="21">
        <v>0</v>
      </c>
      <c r="E193" s="21">
        <v>1</v>
      </c>
      <c r="F193" s="21">
        <v>6</v>
      </c>
      <c r="G193" s="21" t="b">
        <v>0</v>
      </c>
      <c r="H193" s="21">
        <v>0</v>
      </c>
      <c r="I193" s="21">
        <v>1</v>
      </c>
      <c r="J193" s="21">
        <v>0.1</v>
      </c>
      <c r="K193" s="21">
        <v>9.0899999999999995E-2</v>
      </c>
      <c r="L193" s="21">
        <v>0.49</v>
      </c>
      <c r="M193" s="21">
        <v>0.28360000000000002</v>
      </c>
      <c r="N193" s="21">
        <v>0</v>
      </c>
      <c r="O193" s="21">
        <v>1</v>
      </c>
      <c r="P193" s="21">
        <v>1</v>
      </c>
    </row>
    <row r="194" spans="1:16" x14ac:dyDescent="0.35">
      <c r="A194" s="21">
        <v>193</v>
      </c>
      <c r="B194" s="39">
        <v>40552</v>
      </c>
      <c r="C194" s="21">
        <v>1</v>
      </c>
      <c r="D194" s="21">
        <v>0</v>
      </c>
      <c r="E194" s="21">
        <v>1</v>
      </c>
      <c r="F194" s="21">
        <v>7</v>
      </c>
      <c r="G194" s="21" t="b">
        <v>0</v>
      </c>
      <c r="H194" s="21">
        <v>0</v>
      </c>
      <c r="I194" s="21">
        <v>1</v>
      </c>
      <c r="J194" s="21">
        <v>0.08</v>
      </c>
      <c r="K194" s="21">
        <v>9.0899999999999995E-2</v>
      </c>
      <c r="L194" s="21">
        <v>0.53</v>
      </c>
      <c r="M194" s="21">
        <v>0.19400000000000001</v>
      </c>
      <c r="N194" s="21">
        <v>1</v>
      </c>
      <c r="O194" s="21">
        <v>5</v>
      </c>
      <c r="P194" s="21">
        <v>6</v>
      </c>
    </row>
    <row r="195" spans="1:16" x14ac:dyDescent="0.35">
      <c r="A195" s="21">
        <v>194</v>
      </c>
      <c r="B195" s="39">
        <v>40552</v>
      </c>
      <c r="C195" s="21">
        <v>1</v>
      </c>
      <c r="D195" s="21">
        <v>0</v>
      </c>
      <c r="E195" s="21">
        <v>1</v>
      </c>
      <c r="F195" s="21">
        <v>8</v>
      </c>
      <c r="G195" s="21" t="b">
        <v>0</v>
      </c>
      <c r="H195" s="21">
        <v>0</v>
      </c>
      <c r="I195" s="21">
        <v>1</v>
      </c>
      <c r="J195" s="21">
        <v>0.1</v>
      </c>
      <c r="K195" s="21">
        <v>9.0899999999999995E-2</v>
      </c>
      <c r="L195" s="21">
        <v>0.49</v>
      </c>
      <c r="M195" s="21">
        <v>0.28360000000000002</v>
      </c>
      <c r="N195" s="21">
        <v>0</v>
      </c>
      <c r="O195" s="21">
        <v>10</v>
      </c>
      <c r="P195" s="21">
        <v>10</v>
      </c>
    </row>
    <row r="196" spans="1:16" x14ac:dyDescent="0.35">
      <c r="A196" s="21">
        <v>195</v>
      </c>
      <c r="B196" s="39">
        <v>40552</v>
      </c>
      <c r="C196" s="21">
        <v>1</v>
      </c>
      <c r="D196" s="21">
        <v>0</v>
      </c>
      <c r="E196" s="21">
        <v>1</v>
      </c>
      <c r="F196" s="21">
        <v>9</v>
      </c>
      <c r="G196" s="21" t="b">
        <v>0</v>
      </c>
      <c r="H196" s="21">
        <v>0</v>
      </c>
      <c r="I196" s="21">
        <v>1</v>
      </c>
      <c r="J196" s="21">
        <v>0.12</v>
      </c>
      <c r="K196" s="21">
        <v>7.5800000000000006E-2</v>
      </c>
      <c r="L196" s="21">
        <v>0.46</v>
      </c>
      <c r="M196" s="21">
        <v>0.52239999999999998</v>
      </c>
      <c r="N196" s="21">
        <v>0</v>
      </c>
      <c r="O196" s="21">
        <v>19</v>
      </c>
      <c r="P196" s="21">
        <v>19</v>
      </c>
    </row>
    <row r="197" spans="1:16" x14ac:dyDescent="0.35">
      <c r="A197" s="21">
        <v>196</v>
      </c>
      <c r="B197" s="39">
        <v>40552</v>
      </c>
      <c r="C197" s="21">
        <v>1</v>
      </c>
      <c r="D197" s="21">
        <v>0</v>
      </c>
      <c r="E197" s="21">
        <v>1</v>
      </c>
      <c r="F197" s="21">
        <v>10</v>
      </c>
      <c r="G197" s="21" t="b">
        <v>0</v>
      </c>
      <c r="H197" s="21">
        <v>0</v>
      </c>
      <c r="I197" s="21">
        <v>1</v>
      </c>
      <c r="J197" s="21">
        <v>0.14000000000000001</v>
      </c>
      <c r="K197" s="21">
        <v>0.1061</v>
      </c>
      <c r="L197" s="21">
        <v>0.43</v>
      </c>
      <c r="M197" s="21">
        <v>0.3881</v>
      </c>
      <c r="N197" s="21">
        <v>0</v>
      </c>
      <c r="O197" s="21">
        <v>49</v>
      </c>
      <c r="P197" s="21">
        <v>49</v>
      </c>
    </row>
    <row r="198" spans="1:16" x14ac:dyDescent="0.35">
      <c r="A198" s="21">
        <v>197</v>
      </c>
      <c r="B198" s="39">
        <v>40552</v>
      </c>
      <c r="C198" s="21">
        <v>1</v>
      </c>
      <c r="D198" s="21">
        <v>0</v>
      </c>
      <c r="E198" s="21">
        <v>1</v>
      </c>
      <c r="F198" s="21">
        <v>11</v>
      </c>
      <c r="G198" s="21" t="b">
        <v>0</v>
      </c>
      <c r="H198" s="21">
        <v>0</v>
      </c>
      <c r="I198" s="21">
        <v>1</v>
      </c>
      <c r="J198" s="21">
        <v>0.16</v>
      </c>
      <c r="K198" s="21">
        <v>0.1212</v>
      </c>
      <c r="L198" s="21">
        <v>0.4</v>
      </c>
      <c r="M198" s="21">
        <v>0.52239999999999998</v>
      </c>
      <c r="N198" s="21">
        <v>2</v>
      </c>
      <c r="O198" s="21">
        <v>47</v>
      </c>
      <c r="P198" s="21">
        <v>49</v>
      </c>
    </row>
    <row r="199" spans="1:16" x14ac:dyDescent="0.35">
      <c r="A199" s="21">
        <v>198</v>
      </c>
      <c r="B199" s="39">
        <v>40552</v>
      </c>
      <c r="C199" s="21">
        <v>1</v>
      </c>
      <c r="D199" s="21">
        <v>0</v>
      </c>
      <c r="E199" s="21">
        <v>1</v>
      </c>
      <c r="F199" s="21">
        <v>12</v>
      </c>
      <c r="G199" s="21" t="b">
        <v>0</v>
      </c>
      <c r="H199" s="21">
        <v>0</v>
      </c>
      <c r="I199" s="21">
        <v>1</v>
      </c>
      <c r="J199" s="21">
        <v>0.18</v>
      </c>
      <c r="K199" s="21">
        <v>0.13639999999999999</v>
      </c>
      <c r="L199" s="21">
        <v>0.37</v>
      </c>
      <c r="M199" s="21">
        <v>0.44779999999999998</v>
      </c>
      <c r="N199" s="21">
        <v>4</v>
      </c>
      <c r="O199" s="21">
        <v>79</v>
      </c>
      <c r="P199" s="21">
        <v>83</v>
      </c>
    </row>
    <row r="200" spans="1:16" x14ac:dyDescent="0.35">
      <c r="A200" s="21">
        <v>199</v>
      </c>
      <c r="B200" s="39">
        <v>40552</v>
      </c>
      <c r="C200" s="21">
        <v>1</v>
      </c>
      <c r="D200" s="21">
        <v>0</v>
      </c>
      <c r="E200" s="21">
        <v>1</v>
      </c>
      <c r="F200" s="21">
        <v>13</v>
      </c>
      <c r="G200" s="21" t="b">
        <v>0</v>
      </c>
      <c r="H200" s="21">
        <v>0</v>
      </c>
      <c r="I200" s="21">
        <v>1</v>
      </c>
      <c r="J200" s="21">
        <v>0.2</v>
      </c>
      <c r="K200" s="21">
        <v>0.16669999999999999</v>
      </c>
      <c r="L200" s="21">
        <v>0.34</v>
      </c>
      <c r="M200" s="21">
        <v>0.44779999999999998</v>
      </c>
      <c r="N200" s="21">
        <v>6</v>
      </c>
      <c r="O200" s="21">
        <v>69</v>
      </c>
      <c r="P200" s="21">
        <v>75</v>
      </c>
    </row>
    <row r="201" spans="1:16" x14ac:dyDescent="0.35">
      <c r="A201" s="21">
        <v>200</v>
      </c>
      <c r="B201" s="39">
        <v>40552</v>
      </c>
      <c r="C201" s="21">
        <v>1</v>
      </c>
      <c r="D201" s="21">
        <v>0</v>
      </c>
      <c r="E201" s="21">
        <v>1</v>
      </c>
      <c r="F201" s="21">
        <v>14</v>
      </c>
      <c r="G201" s="21" t="b">
        <v>0</v>
      </c>
      <c r="H201" s="21">
        <v>0</v>
      </c>
      <c r="I201" s="21">
        <v>1</v>
      </c>
      <c r="J201" s="21">
        <v>0.22</v>
      </c>
      <c r="K201" s="21">
        <v>0.18179999999999999</v>
      </c>
      <c r="L201" s="21">
        <v>0.32</v>
      </c>
      <c r="M201" s="21">
        <v>0.4627</v>
      </c>
      <c r="N201" s="21">
        <v>8</v>
      </c>
      <c r="O201" s="21">
        <v>64</v>
      </c>
      <c r="P201" s="21">
        <v>72</v>
      </c>
    </row>
    <row r="202" spans="1:16" x14ac:dyDescent="0.35">
      <c r="A202" s="21">
        <v>201</v>
      </c>
      <c r="B202" s="39">
        <v>40552</v>
      </c>
      <c r="C202" s="21">
        <v>1</v>
      </c>
      <c r="D202" s="21">
        <v>0</v>
      </c>
      <c r="E202" s="21">
        <v>1</v>
      </c>
      <c r="F202" s="21">
        <v>15</v>
      </c>
      <c r="G202" s="21" t="b">
        <v>0</v>
      </c>
      <c r="H202" s="21">
        <v>0</v>
      </c>
      <c r="I202" s="21">
        <v>1</v>
      </c>
      <c r="J202" s="21">
        <v>0.22</v>
      </c>
      <c r="K202" s="21">
        <v>0.19700000000000001</v>
      </c>
      <c r="L202" s="21">
        <v>0.35</v>
      </c>
      <c r="M202" s="21">
        <v>0.35820000000000002</v>
      </c>
      <c r="N202" s="21">
        <v>5</v>
      </c>
      <c r="O202" s="21">
        <v>77</v>
      </c>
      <c r="P202" s="21">
        <v>82</v>
      </c>
    </row>
    <row r="203" spans="1:16" x14ac:dyDescent="0.35">
      <c r="A203" s="21">
        <v>202</v>
      </c>
      <c r="B203" s="39">
        <v>40552</v>
      </c>
      <c r="C203" s="21">
        <v>1</v>
      </c>
      <c r="D203" s="21">
        <v>0</v>
      </c>
      <c r="E203" s="21">
        <v>1</v>
      </c>
      <c r="F203" s="21">
        <v>16</v>
      </c>
      <c r="G203" s="21" t="b">
        <v>0</v>
      </c>
      <c r="H203" s="21">
        <v>0</v>
      </c>
      <c r="I203" s="21">
        <v>1</v>
      </c>
      <c r="J203" s="21">
        <v>0.2</v>
      </c>
      <c r="K203" s="21">
        <v>0.16669999999999999</v>
      </c>
      <c r="L203" s="21">
        <v>0.34</v>
      </c>
      <c r="M203" s="21">
        <v>0.44779999999999998</v>
      </c>
      <c r="N203" s="21">
        <v>13</v>
      </c>
      <c r="O203" s="21">
        <v>79</v>
      </c>
      <c r="P203" s="21">
        <v>92</v>
      </c>
    </row>
    <row r="204" spans="1:16" x14ac:dyDescent="0.35">
      <c r="A204" s="21">
        <v>203</v>
      </c>
      <c r="B204" s="39">
        <v>40552</v>
      </c>
      <c r="C204" s="21">
        <v>1</v>
      </c>
      <c r="D204" s="21">
        <v>0</v>
      </c>
      <c r="E204" s="21">
        <v>1</v>
      </c>
      <c r="F204" s="21">
        <v>17</v>
      </c>
      <c r="G204" s="21" t="b">
        <v>0</v>
      </c>
      <c r="H204" s="21">
        <v>0</v>
      </c>
      <c r="I204" s="21">
        <v>1</v>
      </c>
      <c r="J204" s="21">
        <v>0.18</v>
      </c>
      <c r="K204" s="21">
        <v>0.1515</v>
      </c>
      <c r="L204" s="21">
        <v>0.37</v>
      </c>
      <c r="M204" s="21">
        <v>0.3881</v>
      </c>
      <c r="N204" s="21">
        <v>3</v>
      </c>
      <c r="O204" s="21">
        <v>59</v>
      </c>
      <c r="P204" s="21">
        <v>62</v>
      </c>
    </row>
    <row r="205" spans="1:16" x14ac:dyDescent="0.35">
      <c r="A205" s="21">
        <v>204</v>
      </c>
      <c r="B205" s="39">
        <v>40552</v>
      </c>
      <c r="C205" s="21">
        <v>1</v>
      </c>
      <c r="D205" s="21">
        <v>0</v>
      </c>
      <c r="E205" s="21">
        <v>1</v>
      </c>
      <c r="F205" s="21">
        <v>18</v>
      </c>
      <c r="G205" s="21" t="b">
        <v>0</v>
      </c>
      <c r="H205" s="21">
        <v>0</v>
      </c>
      <c r="I205" s="21">
        <v>1</v>
      </c>
      <c r="J205" s="21">
        <v>0.16</v>
      </c>
      <c r="K205" s="21">
        <v>0.13639999999999999</v>
      </c>
      <c r="L205" s="21">
        <v>0.4</v>
      </c>
      <c r="M205" s="21">
        <v>0.32840000000000003</v>
      </c>
      <c r="N205" s="21">
        <v>4</v>
      </c>
      <c r="O205" s="21">
        <v>44</v>
      </c>
      <c r="P205" s="21">
        <v>48</v>
      </c>
    </row>
    <row r="206" spans="1:16" x14ac:dyDescent="0.35">
      <c r="A206" s="21">
        <v>205</v>
      </c>
      <c r="B206" s="39">
        <v>40552</v>
      </c>
      <c r="C206" s="21">
        <v>1</v>
      </c>
      <c r="D206" s="21">
        <v>0</v>
      </c>
      <c r="E206" s="21">
        <v>1</v>
      </c>
      <c r="F206" s="21">
        <v>19</v>
      </c>
      <c r="G206" s="21" t="b">
        <v>0</v>
      </c>
      <c r="H206" s="21">
        <v>0</v>
      </c>
      <c r="I206" s="21">
        <v>1</v>
      </c>
      <c r="J206" s="21">
        <v>0.16</v>
      </c>
      <c r="K206" s="21">
        <v>0.13639999999999999</v>
      </c>
      <c r="L206" s="21">
        <v>0.43</v>
      </c>
      <c r="M206" s="21">
        <v>0.32840000000000003</v>
      </c>
      <c r="N206" s="21">
        <v>1</v>
      </c>
      <c r="O206" s="21">
        <v>40</v>
      </c>
      <c r="P206" s="21">
        <v>41</v>
      </c>
    </row>
    <row r="207" spans="1:16" x14ac:dyDescent="0.35">
      <c r="A207" s="21">
        <v>206</v>
      </c>
      <c r="B207" s="39">
        <v>40552</v>
      </c>
      <c r="C207" s="21">
        <v>1</v>
      </c>
      <c r="D207" s="21">
        <v>0</v>
      </c>
      <c r="E207" s="21">
        <v>1</v>
      </c>
      <c r="F207" s="21">
        <v>20</v>
      </c>
      <c r="G207" s="21" t="b">
        <v>0</v>
      </c>
      <c r="H207" s="21">
        <v>0</v>
      </c>
      <c r="I207" s="21">
        <v>1</v>
      </c>
      <c r="J207" s="21">
        <v>0.14000000000000001</v>
      </c>
      <c r="K207" s="21">
        <v>0.1212</v>
      </c>
      <c r="L207" s="21">
        <v>0.46</v>
      </c>
      <c r="M207" s="21">
        <v>0.25369999999999998</v>
      </c>
      <c r="N207" s="21">
        <v>0</v>
      </c>
      <c r="O207" s="21">
        <v>38</v>
      </c>
      <c r="P207" s="21">
        <v>38</v>
      </c>
    </row>
    <row r="208" spans="1:16" x14ac:dyDescent="0.35">
      <c r="A208" s="21">
        <v>207</v>
      </c>
      <c r="B208" s="39">
        <v>40552</v>
      </c>
      <c r="C208" s="21">
        <v>1</v>
      </c>
      <c r="D208" s="21">
        <v>0</v>
      </c>
      <c r="E208" s="21">
        <v>1</v>
      </c>
      <c r="F208" s="21">
        <v>21</v>
      </c>
      <c r="G208" s="21" t="b">
        <v>0</v>
      </c>
      <c r="H208" s="21">
        <v>0</v>
      </c>
      <c r="I208" s="21">
        <v>1</v>
      </c>
      <c r="J208" s="21">
        <v>0.14000000000000001</v>
      </c>
      <c r="K208" s="21">
        <v>0.1061</v>
      </c>
      <c r="L208" s="21">
        <v>0.46</v>
      </c>
      <c r="M208" s="21">
        <v>0.41789999999999999</v>
      </c>
      <c r="N208" s="21">
        <v>1</v>
      </c>
      <c r="O208" s="21">
        <v>19</v>
      </c>
      <c r="P208" s="21">
        <v>20</v>
      </c>
    </row>
    <row r="209" spans="1:16" x14ac:dyDescent="0.35">
      <c r="A209" s="21">
        <v>208</v>
      </c>
      <c r="B209" s="39">
        <v>40552</v>
      </c>
      <c r="C209" s="21">
        <v>1</v>
      </c>
      <c r="D209" s="21">
        <v>0</v>
      </c>
      <c r="E209" s="21">
        <v>1</v>
      </c>
      <c r="F209" s="21">
        <v>22</v>
      </c>
      <c r="G209" s="21" t="b">
        <v>0</v>
      </c>
      <c r="H209" s="21">
        <v>0</v>
      </c>
      <c r="I209" s="21">
        <v>1</v>
      </c>
      <c r="J209" s="21">
        <v>0.14000000000000001</v>
      </c>
      <c r="K209" s="21">
        <v>0.1212</v>
      </c>
      <c r="L209" s="21">
        <v>0.46</v>
      </c>
      <c r="M209" s="21">
        <v>0.29849999999999999</v>
      </c>
      <c r="N209" s="21">
        <v>5</v>
      </c>
      <c r="O209" s="21">
        <v>10</v>
      </c>
      <c r="P209" s="21">
        <v>15</v>
      </c>
    </row>
    <row r="210" spans="1:16" x14ac:dyDescent="0.35">
      <c r="A210" s="21">
        <v>209</v>
      </c>
      <c r="B210" s="39">
        <v>40552</v>
      </c>
      <c r="C210" s="21">
        <v>1</v>
      </c>
      <c r="D210" s="21">
        <v>0</v>
      </c>
      <c r="E210" s="21">
        <v>1</v>
      </c>
      <c r="F210" s="21">
        <v>23</v>
      </c>
      <c r="G210" s="21" t="b">
        <v>0</v>
      </c>
      <c r="H210" s="21">
        <v>0</v>
      </c>
      <c r="I210" s="21">
        <v>1</v>
      </c>
      <c r="J210" s="21">
        <v>0.12</v>
      </c>
      <c r="K210" s="21">
        <v>0.13639999999999999</v>
      </c>
      <c r="L210" s="21">
        <v>0.5</v>
      </c>
      <c r="M210" s="21">
        <v>0.19400000000000001</v>
      </c>
      <c r="N210" s="21">
        <v>0</v>
      </c>
      <c r="O210" s="21">
        <v>6</v>
      </c>
      <c r="P210" s="21">
        <v>6</v>
      </c>
    </row>
    <row r="211" spans="1:16" x14ac:dyDescent="0.35">
      <c r="A211" s="21">
        <v>210</v>
      </c>
      <c r="B211" s="39">
        <v>40553</v>
      </c>
      <c r="C211" s="21">
        <v>1</v>
      </c>
      <c r="D211" s="21">
        <v>0</v>
      </c>
      <c r="E211" s="21">
        <v>1</v>
      </c>
      <c r="F211" s="21">
        <v>0</v>
      </c>
      <c r="G211" s="21" t="b">
        <v>0</v>
      </c>
      <c r="H211" s="21">
        <v>1</v>
      </c>
      <c r="I211" s="21">
        <v>1</v>
      </c>
      <c r="J211" s="21">
        <v>0.12</v>
      </c>
      <c r="K211" s="21">
        <v>0.1212</v>
      </c>
      <c r="L211" s="21">
        <v>0.5</v>
      </c>
      <c r="M211" s="21">
        <v>0.28360000000000002</v>
      </c>
      <c r="N211" s="21">
        <v>2</v>
      </c>
      <c r="O211" s="21">
        <v>3</v>
      </c>
      <c r="P211" s="21">
        <v>5</v>
      </c>
    </row>
    <row r="212" spans="1:16" x14ac:dyDescent="0.35">
      <c r="A212" s="21">
        <v>211</v>
      </c>
      <c r="B212" s="39">
        <v>40553</v>
      </c>
      <c r="C212" s="21">
        <v>1</v>
      </c>
      <c r="D212" s="21">
        <v>0</v>
      </c>
      <c r="E212" s="21">
        <v>1</v>
      </c>
      <c r="F212" s="21">
        <v>1</v>
      </c>
      <c r="G212" s="21" t="b">
        <v>0</v>
      </c>
      <c r="H212" s="21">
        <v>1</v>
      </c>
      <c r="I212" s="21">
        <v>1</v>
      </c>
      <c r="J212" s="21">
        <v>0.12</v>
      </c>
      <c r="K212" s="21">
        <v>0.1212</v>
      </c>
      <c r="L212" s="21">
        <v>0.5</v>
      </c>
      <c r="M212" s="21">
        <v>0.28360000000000002</v>
      </c>
      <c r="N212" s="21">
        <v>1</v>
      </c>
      <c r="O212" s="21">
        <v>0</v>
      </c>
      <c r="P212" s="21">
        <v>1</v>
      </c>
    </row>
    <row r="213" spans="1:16" x14ac:dyDescent="0.35">
      <c r="A213" s="21">
        <v>212</v>
      </c>
      <c r="B213" s="39">
        <v>40553</v>
      </c>
      <c r="C213" s="21">
        <v>1</v>
      </c>
      <c r="D213" s="21">
        <v>0</v>
      </c>
      <c r="E213" s="21">
        <v>1</v>
      </c>
      <c r="F213" s="21">
        <v>2</v>
      </c>
      <c r="G213" s="21" t="b">
        <v>0</v>
      </c>
      <c r="H213" s="21">
        <v>1</v>
      </c>
      <c r="I213" s="21">
        <v>1</v>
      </c>
      <c r="J213" s="21">
        <v>0.12</v>
      </c>
      <c r="K213" s="21">
        <v>0.1212</v>
      </c>
      <c r="L213" s="21">
        <v>0.5</v>
      </c>
      <c r="M213" s="21">
        <v>0.22389999999999999</v>
      </c>
      <c r="N213" s="21">
        <v>0</v>
      </c>
      <c r="O213" s="21">
        <v>3</v>
      </c>
      <c r="P213" s="21">
        <v>3</v>
      </c>
    </row>
    <row r="214" spans="1:16" x14ac:dyDescent="0.35">
      <c r="A214" s="21">
        <v>213</v>
      </c>
      <c r="B214" s="39">
        <v>40553</v>
      </c>
      <c r="C214" s="21">
        <v>1</v>
      </c>
      <c r="D214" s="21">
        <v>0</v>
      </c>
      <c r="E214" s="21">
        <v>1</v>
      </c>
      <c r="F214" s="21">
        <v>3</v>
      </c>
      <c r="G214" s="21" t="b">
        <v>0</v>
      </c>
      <c r="H214" s="21">
        <v>1</v>
      </c>
      <c r="I214" s="21">
        <v>1</v>
      </c>
      <c r="J214" s="21">
        <v>0.12</v>
      </c>
      <c r="K214" s="21">
        <v>0.1212</v>
      </c>
      <c r="L214" s="21">
        <v>0.5</v>
      </c>
      <c r="M214" s="21">
        <v>0.22389999999999999</v>
      </c>
      <c r="N214" s="21">
        <v>0</v>
      </c>
      <c r="O214" s="21">
        <v>1</v>
      </c>
      <c r="P214" s="21">
        <v>1</v>
      </c>
    </row>
    <row r="215" spans="1:16" x14ac:dyDescent="0.35">
      <c r="A215" s="21">
        <v>214</v>
      </c>
      <c r="B215" s="39">
        <v>40553</v>
      </c>
      <c r="C215" s="21">
        <v>1</v>
      </c>
      <c r="D215" s="21">
        <v>0</v>
      </c>
      <c r="E215" s="21">
        <v>1</v>
      </c>
      <c r="F215" s="21">
        <v>4</v>
      </c>
      <c r="G215" s="21" t="b">
        <v>0</v>
      </c>
      <c r="H215" s="21">
        <v>1</v>
      </c>
      <c r="I215" s="21">
        <v>1</v>
      </c>
      <c r="J215" s="21">
        <v>0.1</v>
      </c>
      <c r="K215" s="21">
        <v>0.1212</v>
      </c>
      <c r="L215" s="21">
        <v>0.54</v>
      </c>
      <c r="M215" s="21">
        <v>0.1343</v>
      </c>
      <c r="N215" s="21">
        <v>1</v>
      </c>
      <c r="O215" s="21">
        <v>2</v>
      </c>
      <c r="P215" s="21">
        <v>3</v>
      </c>
    </row>
    <row r="216" spans="1:16" x14ac:dyDescent="0.35">
      <c r="A216" s="21">
        <v>215</v>
      </c>
      <c r="B216" s="39">
        <v>40553</v>
      </c>
      <c r="C216" s="21">
        <v>1</v>
      </c>
      <c r="D216" s="21">
        <v>0</v>
      </c>
      <c r="E216" s="21">
        <v>1</v>
      </c>
      <c r="F216" s="21">
        <v>5</v>
      </c>
      <c r="G216" s="21" t="b">
        <v>0</v>
      </c>
      <c r="H216" s="21">
        <v>1</v>
      </c>
      <c r="I216" s="21">
        <v>1</v>
      </c>
      <c r="J216" s="21">
        <v>0.1</v>
      </c>
      <c r="K216" s="21">
        <v>0.1061</v>
      </c>
      <c r="L216" s="21">
        <v>0.54</v>
      </c>
      <c r="M216" s="21">
        <v>0.25369999999999998</v>
      </c>
      <c r="N216" s="21">
        <v>0</v>
      </c>
      <c r="O216" s="21">
        <v>3</v>
      </c>
      <c r="P216" s="21">
        <v>3</v>
      </c>
    </row>
    <row r="217" spans="1:16" x14ac:dyDescent="0.35">
      <c r="A217" s="21">
        <v>216</v>
      </c>
      <c r="B217" s="39">
        <v>40553</v>
      </c>
      <c r="C217" s="21">
        <v>1</v>
      </c>
      <c r="D217" s="21">
        <v>0</v>
      </c>
      <c r="E217" s="21">
        <v>1</v>
      </c>
      <c r="F217" s="21">
        <v>6</v>
      </c>
      <c r="G217" s="21" t="b">
        <v>0</v>
      </c>
      <c r="H217" s="21">
        <v>1</v>
      </c>
      <c r="I217" s="21">
        <v>1</v>
      </c>
      <c r="J217" s="21">
        <v>0.12</v>
      </c>
      <c r="K217" s="21">
        <v>0.1212</v>
      </c>
      <c r="L217" s="21">
        <v>0.5</v>
      </c>
      <c r="M217" s="21">
        <v>0.28360000000000002</v>
      </c>
      <c r="N217" s="21">
        <v>0</v>
      </c>
      <c r="O217" s="21">
        <v>31</v>
      </c>
      <c r="P217" s="21">
        <v>31</v>
      </c>
    </row>
    <row r="218" spans="1:16" x14ac:dyDescent="0.35">
      <c r="A218" s="21">
        <v>217</v>
      </c>
      <c r="B218" s="39">
        <v>40553</v>
      </c>
      <c r="C218" s="21">
        <v>1</v>
      </c>
      <c r="D218" s="21">
        <v>0</v>
      </c>
      <c r="E218" s="21">
        <v>1</v>
      </c>
      <c r="F218" s="21">
        <v>7</v>
      </c>
      <c r="G218" s="21" t="b">
        <v>0</v>
      </c>
      <c r="H218" s="21">
        <v>1</v>
      </c>
      <c r="I218" s="21">
        <v>1</v>
      </c>
      <c r="J218" s="21">
        <v>0.12</v>
      </c>
      <c r="K218" s="21">
        <v>0.1212</v>
      </c>
      <c r="L218" s="21">
        <v>0.5</v>
      </c>
      <c r="M218" s="21">
        <v>0.22389999999999999</v>
      </c>
      <c r="N218" s="21">
        <v>2</v>
      </c>
      <c r="O218" s="21">
        <v>75</v>
      </c>
      <c r="P218" s="21">
        <v>77</v>
      </c>
    </row>
    <row r="219" spans="1:16" x14ac:dyDescent="0.35">
      <c r="A219" s="21">
        <v>218</v>
      </c>
      <c r="B219" s="39">
        <v>40553</v>
      </c>
      <c r="C219" s="21">
        <v>1</v>
      </c>
      <c r="D219" s="21">
        <v>0</v>
      </c>
      <c r="E219" s="21">
        <v>1</v>
      </c>
      <c r="F219" s="21">
        <v>8</v>
      </c>
      <c r="G219" s="21" t="b">
        <v>0</v>
      </c>
      <c r="H219" s="21">
        <v>1</v>
      </c>
      <c r="I219" s="21">
        <v>2</v>
      </c>
      <c r="J219" s="21">
        <v>0.12</v>
      </c>
      <c r="K219" s="21">
        <v>0.1212</v>
      </c>
      <c r="L219" s="21">
        <v>0.5</v>
      </c>
      <c r="M219" s="21">
        <v>0.28360000000000002</v>
      </c>
      <c r="N219" s="21">
        <v>4</v>
      </c>
      <c r="O219" s="21">
        <v>184</v>
      </c>
      <c r="P219" s="21">
        <v>188</v>
      </c>
    </row>
    <row r="220" spans="1:16" x14ac:dyDescent="0.35">
      <c r="A220" s="21">
        <v>219</v>
      </c>
      <c r="B220" s="39">
        <v>40553</v>
      </c>
      <c r="C220" s="21">
        <v>1</v>
      </c>
      <c r="D220" s="21">
        <v>0</v>
      </c>
      <c r="E220" s="21">
        <v>1</v>
      </c>
      <c r="F220" s="21">
        <v>9</v>
      </c>
      <c r="G220" s="21" t="b">
        <v>0</v>
      </c>
      <c r="H220" s="21">
        <v>1</v>
      </c>
      <c r="I220" s="21">
        <v>2</v>
      </c>
      <c r="J220" s="21">
        <v>0.14000000000000001</v>
      </c>
      <c r="K220" s="21">
        <v>0.1212</v>
      </c>
      <c r="L220" s="21">
        <v>0.5</v>
      </c>
      <c r="M220" s="21">
        <v>0.25369999999999998</v>
      </c>
      <c r="N220" s="21">
        <v>2</v>
      </c>
      <c r="O220" s="21">
        <v>92</v>
      </c>
      <c r="P220" s="21">
        <v>94</v>
      </c>
    </row>
    <row r="221" spans="1:16" x14ac:dyDescent="0.35">
      <c r="A221" s="21">
        <v>220</v>
      </c>
      <c r="B221" s="39">
        <v>40553</v>
      </c>
      <c r="C221" s="21">
        <v>1</v>
      </c>
      <c r="D221" s="21">
        <v>0</v>
      </c>
      <c r="E221" s="21">
        <v>1</v>
      </c>
      <c r="F221" s="21">
        <v>10</v>
      </c>
      <c r="G221" s="21" t="b">
        <v>0</v>
      </c>
      <c r="H221" s="21">
        <v>1</v>
      </c>
      <c r="I221" s="21">
        <v>2</v>
      </c>
      <c r="J221" s="21">
        <v>0.14000000000000001</v>
      </c>
      <c r="K221" s="21">
        <v>0.1212</v>
      </c>
      <c r="L221" s="21">
        <v>0.5</v>
      </c>
      <c r="M221" s="21">
        <v>0.29849999999999999</v>
      </c>
      <c r="N221" s="21">
        <v>0</v>
      </c>
      <c r="O221" s="21">
        <v>31</v>
      </c>
      <c r="P221" s="21">
        <v>31</v>
      </c>
    </row>
    <row r="222" spans="1:16" x14ac:dyDescent="0.35">
      <c r="A222" s="21">
        <v>221</v>
      </c>
      <c r="B222" s="39">
        <v>40553</v>
      </c>
      <c r="C222" s="21">
        <v>1</v>
      </c>
      <c r="D222" s="21">
        <v>0</v>
      </c>
      <c r="E222" s="21">
        <v>1</v>
      </c>
      <c r="F222" s="21">
        <v>11</v>
      </c>
      <c r="G222" s="21" t="b">
        <v>0</v>
      </c>
      <c r="H222" s="21">
        <v>1</v>
      </c>
      <c r="I222" s="21">
        <v>2</v>
      </c>
      <c r="J222" s="21">
        <v>0.16</v>
      </c>
      <c r="K222" s="21">
        <v>0.13639999999999999</v>
      </c>
      <c r="L222" s="21">
        <v>0.47</v>
      </c>
      <c r="M222" s="21">
        <v>0.28360000000000002</v>
      </c>
      <c r="N222" s="21">
        <v>2</v>
      </c>
      <c r="O222" s="21">
        <v>28</v>
      </c>
      <c r="P222" s="21">
        <v>30</v>
      </c>
    </row>
    <row r="223" spans="1:16" x14ac:dyDescent="0.35">
      <c r="A223" s="21">
        <v>222</v>
      </c>
      <c r="B223" s="39">
        <v>40553</v>
      </c>
      <c r="C223" s="21">
        <v>1</v>
      </c>
      <c r="D223" s="21">
        <v>0</v>
      </c>
      <c r="E223" s="21">
        <v>1</v>
      </c>
      <c r="F223" s="21">
        <v>12</v>
      </c>
      <c r="G223" s="21" t="b">
        <v>0</v>
      </c>
      <c r="H223" s="21">
        <v>1</v>
      </c>
      <c r="I223" s="21">
        <v>2</v>
      </c>
      <c r="J223" s="21">
        <v>0.2</v>
      </c>
      <c r="K223" s="21">
        <v>0.18179999999999999</v>
      </c>
      <c r="L223" s="21">
        <v>0.4</v>
      </c>
      <c r="M223" s="21">
        <v>0.28360000000000002</v>
      </c>
      <c r="N223" s="21">
        <v>5</v>
      </c>
      <c r="O223" s="21">
        <v>47</v>
      </c>
      <c r="P223" s="21">
        <v>52</v>
      </c>
    </row>
    <row r="224" spans="1:16" x14ac:dyDescent="0.35">
      <c r="A224" s="21">
        <v>223</v>
      </c>
      <c r="B224" s="39">
        <v>40553</v>
      </c>
      <c r="C224" s="21">
        <v>1</v>
      </c>
      <c r="D224" s="21">
        <v>0</v>
      </c>
      <c r="E224" s="21">
        <v>1</v>
      </c>
      <c r="F224" s="21">
        <v>13</v>
      </c>
      <c r="G224" s="21" t="b">
        <v>0</v>
      </c>
      <c r="H224" s="21">
        <v>1</v>
      </c>
      <c r="I224" s="21">
        <v>2</v>
      </c>
      <c r="J224" s="21">
        <v>0.2</v>
      </c>
      <c r="K224" s="21">
        <v>0.18179999999999999</v>
      </c>
      <c r="L224" s="21">
        <v>0.4</v>
      </c>
      <c r="M224" s="21">
        <v>0.28360000000000002</v>
      </c>
      <c r="N224" s="21">
        <v>4</v>
      </c>
      <c r="O224" s="21">
        <v>50</v>
      </c>
      <c r="P224" s="21">
        <v>54</v>
      </c>
    </row>
    <row r="225" spans="1:16" x14ac:dyDescent="0.35">
      <c r="A225" s="21">
        <v>224</v>
      </c>
      <c r="B225" s="39">
        <v>40553</v>
      </c>
      <c r="C225" s="21">
        <v>1</v>
      </c>
      <c r="D225" s="21">
        <v>0</v>
      </c>
      <c r="E225" s="21">
        <v>1</v>
      </c>
      <c r="F225" s="21">
        <v>14</v>
      </c>
      <c r="G225" s="21" t="b">
        <v>0</v>
      </c>
      <c r="H225" s="21">
        <v>1</v>
      </c>
      <c r="I225" s="21">
        <v>2</v>
      </c>
      <c r="J225" s="21">
        <v>0.2</v>
      </c>
      <c r="K225" s="21">
        <v>0.19700000000000001</v>
      </c>
      <c r="L225" s="21">
        <v>0.4</v>
      </c>
      <c r="M225" s="21">
        <v>0.22389999999999999</v>
      </c>
      <c r="N225" s="21">
        <v>0</v>
      </c>
      <c r="O225" s="21">
        <v>47</v>
      </c>
      <c r="P225" s="21">
        <v>47</v>
      </c>
    </row>
    <row r="226" spans="1:16" x14ac:dyDescent="0.35">
      <c r="A226" s="21">
        <v>225</v>
      </c>
      <c r="B226" s="39">
        <v>40553</v>
      </c>
      <c r="C226" s="21">
        <v>1</v>
      </c>
      <c r="D226" s="21">
        <v>0</v>
      </c>
      <c r="E226" s="21">
        <v>1</v>
      </c>
      <c r="F226" s="21">
        <v>15</v>
      </c>
      <c r="G226" s="21" t="b">
        <v>0</v>
      </c>
      <c r="H226" s="21">
        <v>1</v>
      </c>
      <c r="I226" s="21">
        <v>2</v>
      </c>
      <c r="J226" s="21">
        <v>0.2</v>
      </c>
      <c r="K226" s="21">
        <v>0.19700000000000001</v>
      </c>
      <c r="L226" s="21">
        <v>0.4</v>
      </c>
      <c r="M226" s="21">
        <v>0.22389999999999999</v>
      </c>
      <c r="N226" s="21">
        <v>2</v>
      </c>
      <c r="O226" s="21">
        <v>43</v>
      </c>
      <c r="P226" s="21">
        <v>45</v>
      </c>
    </row>
    <row r="227" spans="1:16" x14ac:dyDescent="0.35">
      <c r="A227" s="21">
        <v>226</v>
      </c>
      <c r="B227" s="39">
        <v>40553</v>
      </c>
      <c r="C227" s="21">
        <v>1</v>
      </c>
      <c r="D227" s="21">
        <v>0</v>
      </c>
      <c r="E227" s="21">
        <v>1</v>
      </c>
      <c r="F227" s="21">
        <v>16</v>
      </c>
      <c r="G227" s="21" t="b">
        <v>0</v>
      </c>
      <c r="H227" s="21">
        <v>1</v>
      </c>
      <c r="I227" s="21">
        <v>1</v>
      </c>
      <c r="J227" s="21">
        <v>0.2</v>
      </c>
      <c r="K227" s="21">
        <v>0.21210000000000001</v>
      </c>
      <c r="L227" s="21">
        <v>0.4</v>
      </c>
      <c r="M227" s="21">
        <v>0.1343</v>
      </c>
      <c r="N227" s="21">
        <v>4</v>
      </c>
      <c r="O227" s="21">
        <v>70</v>
      </c>
      <c r="P227" s="21">
        <v>74</v>
      </c>
    </row>
    <row r="228" spans="1:16" x14ac:dyDescent="0.35">
      <c r="A228" s="21">
        <v>227</v>
      </c>
      <c r="B228" s="39">
        <v>40553</v>
      </c>
      <c r="C228" s="21">
        <v>1</v>
      </c>
      <c r="D228" s="21">
        <v>0</v>
      </c>
      <c r="E228" s="21">
        <v>1</v>
      </c>
      <c r="F228" s="21">
        <v>17</v>
      </c>
      <c r="G228" s="21" t="b">
        <v>0</v>
      </c>
      <c r="H228" s="21">
        <v>1</v>
      </c>
      <c r="I228" s="21">
        <v>1</v>
      </c>
      <c r="J228" s="21">
        <v>0.2</v>
      </c>
      <c r="K228" s="21">
        <v>0.2273</v>
      </c>
      <c r="L228" s="21">
        <v>0.4</v>
      </c>
      <c r="M228" s="21">
        <v>0.1045</v>
      </c>
      <c r="N228" s="21">
        <v>4</v>
      </c>
      <c r="O228" s="21">
        <v>174</v>
      </c>
      <c r="P228" s="21">
        <v>178</v>
      </c>
    </row>
    <row r="229" spans="1:16" x14ac:dyDescent="0.35">
      <c r="A229" s="21">
        <v>228</v>
      </c>
      <c r="B229" s="39">
        <v>40553</v>
      </c>
      <c r="C229" s="21">
        <v>1</v>
      </c>
      <c r="D229" s="21">
        <v>0</v>
      </c>
      <c r="E229" s="21">
        <v>1</v>
      </c>
      <c r="F229" s="21">
        <v>18</v>
      </c>
      <c r="G229" s="21" t="b">
        <v>0</v>
      </c>
      <c r="H229" s="21">
        <v>1</v>
      </c>
      <c r="I229" s="21">
        <v>1</v>
      </c>
      <c r="J229" s="21">
        <v>0.2</v>
      </c>
      <c r="K229" s="21">
        <v>0.19700000000000001</v>
      </c>
      <c r="L229" s="21">
        <v>0.4</v>
      </c>
      <c r="M229" s="21">
        <v>0.22389999999999999</v>
      </c>
      <c r="N229" s="21">
        <v>1</v>
      </c>
      <c r="O229" s="21">
        <v>154</v>
      </c>
      <c r="P229" s="21">
        <v>155</v>
      </c>
    </row>
    <row r="230" spans="1:16" x14ac:dyDescent="0.35">
      <c r="A230" s="21">
        <v>229</v>
      </c>
      <c r="B230" s="39">
        <v>40553</v>
      </c>
      <c r="C230" s="21">
        <v>1</v>
      </c>
      <c r="D230" s="21">
        <v>0</v>
      </c>
      <c r="E230" s="21">
        <v>1</v>
      </c>
      <c r="F230" s="21">
        <v>19</v>
      </c>
      <c r="G230" s="21" t="b">
        <v>0</v>
      </c>
      <c r="H230" s="21">
        <v>1</v>
      </c>
      <c r="I230" s="21">
        <v>1</v>
      </c>
      <c r="J230" s="21">
        <v>0.16</v>
      </c>
      <c r="K230" s="21">
        <v>0.16669999999999999</v>
      </c>
      <c r="L230" s="21">
        <v>0.47</v>
      </c>
      <c r="M230" s="21">
        <v>0.16420000000000001</v>
      </c>
      <c r="N230" s="21">
        <v>3</v>
      </c>
      <c r="O230" s="21">
        <v>92</v>
      </c>
      <c r="P230" s="21">
        <v>95</v>
      </c>
    </row>
    <row r="231" spans="1:16" x14ac:dyDescent="0.35">
      <c r="A231" s="21">
        <v>230</v>
      </c>
      <c r="B231" s="39">
        <v>40553</v>
      </c>
      <c r="C231" s="21">
        <v>1</v>
      </c>
      <c r="D231" s="21">
        <v>0</v>
      </c>
      <c r="E231" s="21">
        <v>1</v>
      </c>
      <c r="F231" s="21">
        <v>20</v>
      </c>
      <c r="G231" s="21" t="b">
        <v>0</v>
      </c>
      <c r="H231" s="21">
        <v>1</v>
      </c>
      <c r="I231" s="21">
        <v>1</v>
      </c>
      <c r="J231" s="21">
        <v>0.16</v>
      </c>
      <c r="K231" s="21">
        <v>0.16669999999999999</v>
      </c>
      <c r="L231" s="21">
        <v>0.5</v>
      </c>
      <c r="M231" s="21">
        <v>0.16420000000000001</v>
      </c>
      <c r="N231" s="21">
        <v>1</v>
      </c>
      <c r="O231" s="21">
        <v>73</v>
      </c>
      <c r="P231" s="21">
        <v>74</v>
      </c>
    </row>
    <row r="232" spans="1:16" x14ac:dyDescent="0.35">
      <c r="A232" s="21">
        <v>231</v>
      </c>
      <c r="B232" s="39">
        <v>40553</v>
      </c>
      <c r="C232" s="21">
        <v>1</v>
      </c>
      <c r="D232" s="21">
        <v>0</v>
      </c>
      <c r="E232" s="21">
        <v>1</v>
      </c>
      <c r="F232" s="21">
        <v>21</v>
      </c>
      <c r="G232" s="21" t="b">
        <v>0</v>
      </c>
      <c r="H232" s="21">
        <v>1</v>
      </c>
      <c r="I232" s="21">
        <v>1</v>
      </c>
      <c r="J232" s="21">
        <v>0.14000000000000001</v>
      </c>
      <c r="K232" s="21">
        <v>0.13639999999999999</v>
      </c>
      <c r="L232" s="21">
        <v>0.59</v>
      </c>
      <c r="M232" s="21">
        <v>0.19400000000000001</v>
      </c>
      <c r="N232" s="21">
        <v>1</v>
      </c>
      <c r="O232" s="21">
        <v>37</v>
      </c>
      <c r="P232" s="21">
        <v>38</v>
      </c>
    </row>
    <row r="233" spans="1:16" x14ac:dyDescent="0.35">
      <c r="A233" s="21">
        <v>232</v>
      </c>
      <c r="B233" s="39">
        <v>40553</v>
      </c>
      <c r="C233" s="21">
        <v>1</v>
      </c>
      <c r="D233" s="21">
        <v>0</v>
      </c>
      <c r="E233" s="21">
        <v>1</v>
      </c>
      <c r="F233" s="21">
        <v>22</v>
      </c>
      <c r="G233" s="21" t="b">
        <v>0</v>
      </c>
      <c r="H233" s="21">
        <v>1</v>
      </c>
      <c r="I233" s="21">
        <v>1</v>
      </c>
      <c r="J233" s="21">
        <v>0.14000000000000001</v>
      </c>
      <c r="K233" s="21">
        <v>0.1515</v>
      </c>
      <c r="L233" s="21">
        <v>0.59</v>
      </c>
      <c r="M233" s="21">
        <v>0.16420000000000001</v>
      </c>
      <c r="N233" s="21">
        <v>2</v>
      </c>
      <c r="O233" s="21">
        <v>22</v>
      </c>
      <c r="P233" s="21">
        <v>24</v>
      </c>
    </row>
    <row r="234" spans="1:16" x14ac:dyDescent="0.35">
      <c r="A234" s="21">
        <v>233</v>
      </c>
      <c r="B234" s="39">
        <v>40553</v>
      </c>
      <c r="C234" s="21">
        <v>1</v>
      </c>
      <c r="D234" s="21">
        <v>0</v>
      </c>
      <c r="E234" s="21">
        <v>1</v>
      </c>
      <c r="F234" s="21">
        <v>23</v>
      </c>
      <c r="G234" s="21" t="b">
        <v>0</v>
      </c>
      <c r="H234" s="21">
        <v>1</v>
      </c>
      <c r="I234" s="21">
        <v>1</v>
      </c>
      <c r="J234" s="21">
        <v>0.14000000000000001</v>
      </c>
      <c r="K234" s="21">
        <v>0.1515</v>
      </c>
      <c r="L234" s="21">
        <v>0.59</v>
      </c>
      <c r="M234" s="21">
        <v>0.16420000000000001</v>
      </c>
      <c r="N234" s="21">
        <v>0</v>
      </c>
      <c r="O234" s="21">
        <v>18</v>
      </c>
      <c r="P234" s="21">
        <v>18</v>
      </c>
    </row>
    <row r="235" spans="1:16" x14ac:dyDescent="0.35">
      <c r="A235" s="21">
        <v>234</v>
      </c>
      <c r="B235" s="39">
        <v>40554</v>
      </c>
      <c r="C235" s="21">
        <v>1</v>
      </c>
      <c r="D235" s="21">
        <v>0</v>
      </c>
      <c r="E235" s="21">
        <v>1</v>
      </c>
      <c r="F235" s="21">
        <v>0</v>
      </c>
      <c r="G235" s="21" t="b">
        <v>0</v>
      </c>
      <c r="H235" s="21">
        <v>2</v>
      </c>
      <c r="I235" s="21">
        <v>1</v>
      </c>
      <c r="J235" s="21">
        <v>0.14000000000000001</v>
      </c>
      <c r="K235" s="21">
        <v>0.16669999999999999</v>
      </c>
      <c r="L235" s="21">
        <v>0.59</v>
      </c>
      <c r="M235" s="21">
        <v>0.1045</v>
      </c>
      <c r="N235" s="21">
        <v>2</v>
      </c>
      <c r="O235" s="21">
        <v>10</v>
      </c>
      <c r="P235" s="21">
        <v>12</v>
      </c>
    </row>
    <row r="236" spans="1:16" x14ac:dyDescent="0.35">
      <c r="A236" s="21">
        <v>235</v>
      </c>
      <c r="B236" s="39">
        <v>40554</v>
      </c>
      <c r="C236" s="21">
        <v>1</v>
      </c>
      <c r="D236" s="21">
        <v>0</v>
      </c>
      <c r="E236" s="21">
        <v>1</v>
      </c>
      <c r="F236" s="21">
        <v>1</v>
      </c>
      <c r="G236" s="21" t="b">
        <v>0</v>
      </c>
      <c r="H236" s="21">
        <v>2</v>
      </c>
      <c r="I236" s="21">
        <v>1</v>
      </c>
      <c r="J236" s="21">
        <v>0.14000000000000001</v>
      </c>
      <c r="K236" s="21">
        <v>0.1515</v>
      </c>
      <c r="L236" s="21">
        <v>0.59</v>
      </c>
      <c r="M236" s="21">
        <v>0.16420000000000001</v>
      </c>
      <c r="N236" s="21">
        <v>0</v>
      </c>
      <c r="O236" s="21">
        <v>3</v>
      </c>
      <c r="P236" s="21">
        <v>3</v>
      </c>
    </row>
    <row r="237" spans="1:16" x14ac:dyDescent="0.35">
      <c r="A237" s="21">
        <v>236</v>
      </c>
      <c r="B237" s="39">
        <v>40554</v>
      </c>
      <c r="C237" s="21">
        <v>1</v>
      </c>
      <c r="D237" s="21">
        <v>0</v>
      </c>
      <c r="E237" s="21">
        <v>1</v>
      </c>
      <c r="F237" s="21">
        <v>2</v>
      </c>
      <c r="G237" s="21" t="b">
        <v>0</v>
      </c>
      <c r="H237" s="21">
        <v>2</v>
      </c>
      <c r="I237" s="21">
        <v>2</v>
      </c>
      <c r="J237" s="21">
        <v>0.16</v>
      </c>
      <c r="K237" s="21">
        <v>0.1515</v>
      </c>
      <c r="L237" s="21">
        <v>0.55000000000000004</v>
      </c>
      <c r="M237" s="21">
        <v>0.19400000000000001</v>
      </c>
      <c r="N237" s="21">
        <v>0</v>
      </c>
      <c r="O237" s="21">
        <v>3</v>
      </c>
      <c r="P237" s="21">
        <v>3</v>
      </c>
    </row>
    <row r="238" spans="1:16" x14ac:dyDescent="0.35">
      <c r="A238" s="21">
        <v>237</v>
      </c>
      <c r="B238" s="39">
        <v>40554</v>
      </c>
      <c r="C238" s="21">
        <v>1</v>
      </c>
      <c r="D238" s="21">
        <v>0</v>
      </c>
      <c r="E238" s="21">
        <v>1</v>
      </c>
      <c r="F238" s="21">
        <v>5</v>
      </c>
      <c r="G238" s="21" t="b">
        <v>0</v>
      </c>
      <c r="H238" s="21">
        <v>2</v>
      </c>
      <c r="I238" s="21">
        <v>2</v>
      </c>
      <c r="J238" s="21">
        <v>0.16</v>
      </c>
      <c r="K238" s="21">
        <v>0.18179999999999999</v>
      </c>
      <c r="L238" s="21">
        <v>0.55000000000000004</v>
      </c>
      <c r="M238" s="21">
        <v>0.1343</v>
      </c>
      <c r="N238" s="21">
        <v>0</v>
      </c>
      <c r="O238" s="21">
        <v>6</v>
      </c>
      <c r="P238" s="21">
        <v>6</v>
      </c>
    </row>
    <row r="239" spans="1:16" x14ac:dyDescent="0.35">
      <c r="A239" s="21">
        <v>238</v>
      </c>
      <c r="B239" s="39">
        <v>40554</v>
      </c>
      <c r="C239" s="21">
        <v>1</v>
      </c>
      <c r="D239" s="21">
        <v>0</v>
      </c>
      <c r="E239" s="21">
        <v>1</v>
      </c>
      <c r="F239" s="21">
        <v>6</v>
      </c>
      <c r="G239" s="21" t="b">
        <v>0</v>
      </c>
      <c r="H239" s="21">
        <v>2</v>
      </c>
      <c r="I239" s="21">
        <v>2</v>
      </c>
      <c r="J239" s="21">
        <v>0.16</v>
      </c>
      <c r="K239" s="21">
        <v>0.18179999999999999</v>
      </c>
      <c r="L239" s="21">
        <v>0.55000000000000004</v>
      </c>
      <c r="M239" s="21">
        <v>0.1343</v>
      </c>
      <c r="N239" s="21">
        <v>0</v>
      </c>
      <c r="O239" s="21">
        <v>27</v>
      </c>
      <c r="P239" s="21">
        <v>27</v>
      </c>
    </row>
    <row r="240" spans="1:16" x14ac:dyDescent="0.35">
      <c r="A240" s="21">
        <v>239</v>
      </c>
      <c r="B240" s="39">
        <v>40554</v>
      </c>
      <c r="C240" s="21">
        <v>1</v>
      </c>
      <c r="D240" s="21">
        <v>0</v>
      </c>
      <c r="E240" s="21">
        <v>1</v>
      </c>
      <c r="F240" s="21">
        <v>7</v>
      </c>
      <c r="G240" s="21" t="b">
        <v>0</v>
      </c>
      <c r="H240" s="21">
        <v>2</v>
      </c>
      <c r="I240" s="21">
        <v>2</v>
      </c>
      <c r="J240" s="21">
        <v>0.16</v>
      </c>
      <c r="K240" s="21">
        <v>0.2273</v>
      </c>
      <c r="L240" s="21">
        <v>0.55000000000000004</v>
      </c>
      <c r="M240" s="21">
        <v>0</v>
      </c>
      <c r="N240" s="21">
        <v>2</v>
      </c>
      <c r="O240" s="21">
        <v>97</v>
      </c>
      <c r="P240" s="21">
        <v>99</v>
      </c>
    </row>
    <row r="241" spans="1:16" x14ac:dyDescent="0.35">
      <c r="A241" s="21">
        <v>240</v>
      </c>
      <c r="B241" s="39">
        <v>40554</v>
      </c>
      <c r="C241" s="21">
        <v>1</v>
      </c>
      <c r="D241" s="21">
        <v>0</v>
      </c>
      <c r="E241" s="21">
        <v>1</v>
      </c>
      <c r="F241" s="21">
        <v>8</v>
      </c>
      <c r="G241" s="21" t="b">
        <v>0</v>
      </c>
      <c r="H241" s="21">
        <v>2</v>
      </c>
      <c r="I241" s="21">
        <v>2</v>
      </c>
      <c r="J241" s="21">
        <v>0.18</v>
      </c>
      <c r="K241" s="21">
        <v>0.21210000000000001</v>
      </c>
      <c r="L241" s="21">
        <v>0.51</v>
      </c>
      <c r="M241" s="21">
        <v>8.9599999999999999E-2</v>
      </c>
      <c r="N241" s="21">
        <v>3</v>
      </c>
      <c r="O241" s="21">
        <v>214</v>
      </c>
      <c r="P241" s="21">
        <v>217</v>
      </c>
    </row>
    <row r="242" spans="1:16" x14ac:dyDescent="0.35">
      <c r="A242" s="21">
        <v>241</v>
      </c>
      <c r="B242" s="39">
        <v>40554</v>
      </c>
      <c r="C242" s="21">
        <v>1</v>
      </c>
      <c r="D242" s="21">
        <v>0</v>
      </c>
      <c r="E242" s="21">
        <v>1</v>
      </c>
      <c r="F242" s="21">
        <v>9</v>
      </c>
      <c r="G242" s="21" t="b">
        <v>0</v>
      </c>
      <c r="H242" s="21">
        <v>2</v>
      </c>
      <c r="I242" s="21">
        <v>2</v>
      </c>
      <c r="J242" s="21">
        <v>0.18</v>
      </c>
      <c r="K242" s="21">
        <v>0.19700000000000001</v>
      </c>
      <c r="L242" s="21">
        <v>0.51</v>
      </c>
      <c r="M242" s="21">
        <v>0.16420000000000001</v>
      </c>
      <c r="N242" s="21">
        <v>3</v>
      </c>
      <c r="O242" s="21">
        <v>127</v>
      </c>
      <c r="P242" s="21">
        <v>130</v>
      </c>
    </row>
    <row r="243" spans="1:16" x14ac:dyDescent="0.35">
      <c r="A243" s="21">
        <v>242</v>
      </c>
      <c r="B243" s="39">
        <v>40554</v>
      </c>
      <c r="C243" s="21">
        <v>1</v>
      </c>
      <c r="D243" s="21">
        <v>0</v>
      </c>
      <c r="E243" s="21">
        <v>1</v>
      </c>
      <c r="F243" s="21">
        <v>10</v>
      </c>
      <c r="G243" s="21" t="b">
        <v>0</v>
      </c>
      <c r="H243" s="21">
        <v>2</v>
      </c>
      <c r="I243" s="21">
        <v>2</v>
      </c>
      <c r="J243" s="21">
        <v>0.2</v>
      </c>
      <c r="K243" s="21">
        <v>0.21210000000000001</v>
      </c>
      <c r="L243" s="21">
        <v>0.51</v>
      </c>
      <c r="M243" s="21">
        <v>0.16420000000000001</v>
      </c>
      <c r="N243" s="21">
        <v>3</v>
      </c>
      <c r="O243" s="21">
        <v>51</v>
      </c>
      <c r="P243" s="21">
        <v>54</v>
      </c>
    </row>
    <row r="244" spans="1:16" x14ac:dyDescent="0.35">
      <c r="A244" s="21">
        <v>243</v>
      </c>
      <c r="B244" s="39">
        <v>40554</v>
      </c>
      <c r="C244" s="21">
        <v>1</v>
      </c>
      <c r="D244" s="21">
        <v>0</v>
      </c>
      <c r="E244" s="21">
        <v>1</v>
      </c>
      <c r="F244" s="21">
        <v>11</v>
      </c>
      <c r="G244" s="21" t="b">
        <v>0</v>
      </c>
      <c r="H244" s="21">
        <v>2</v>
      </c>
      <c r="I244" s="21">
        <v>2</v>
      </c>
      <c r="J244" s="21">
        <v>0.2</v>
      </c>
      <c r="K244" s="21">
        <v>0.21210000000000001</v>
      </c>
      <c r="L244" s="21">
        <v>0.47</v>
      </c>
      <c r="M244" s="21">
        <v>0.1343</v>
      </c>
      <c r="N244" s="21">
        <v>4</v>
      </c>
      <c r="O244" s="21">
        <v>31</v>
      </c>
      <c r="P244" s="21">
        <v>35</v>
      </c>
    </row>
    <row r="245" spans="1:16" x14ac:dyDescent="0.35">
      <c r="A245" s="21">
        <v>244</v>
      </c>
      <c r="B245" s="39">
        <v>40554</v>
      </c>
      <c r="C245" s="21">
        <v>1</v>
      </c>
      <c r="D245" s="21">
        <v>0</v>
      </c>
      <c r="E245" s="21">
        <v>1</v>
      </c>
      <c r="F245" s="21">
        <v>12</v>
      </c>
      <c r="G245" s="21" t="b">
        <v>0</v>
      </c>
      <c r="H245" s="21">
        <v>2</v>
      </c>
      <c r="I245" s="21">
        <v>2</v>
      </c>
      <c r="J245" s="21">
        <v>0.2</v>
      </c>
      <c r="K245" s="21">
        <v>0.2273</v>
      </c>
      <c r="L245" s="21">
        <v>0.51</v>
      </c>
      <c r="M245" s="21">
        <v>0.1045</v>
      </c>
      <c r="N245" s="21">
        <v>2</v>
      </c>
      <c r="O245" s="21">
        <v>55</v>
      </c>
      <c r="P245" s="21">
        <v>57</v>
      </c>
    </row>
    <row r="246" spans="1:16" x14ac:dyDescent="0.35">
      <c r="A246" s="21">
        <v>245</v>
      </c>
      <c r="B246" s="39">
        <v>40554</v>
      </c>
      <c r="C246" s="21">
        <v>1</v>
      </c>
      <c r="D246" s="21">
        <v>0</v>
      </c>
      <c r="E246" s="21">
        <v>1</v>
      </c>
      <c r="F246" s="21">
        <v>13</v>
      </c>
      <c r="G246" s="21" t="b">
        <v>0</v>
      </c>
      <c r="H246" s="21">
        <v>2</v>
      </c>
      <c r="I246" s="21">
        <v>2</v>
      </c>
      <c r="J246" s="21">
        <v>0.2</v>
      </c>
      <c r="K246" s="21">
        <v>0.2273</v>
      </c>
      <c r="L246" s="21">
        <v>0.59</v>
      </c>
      <c r="M246" s="21">
        <v>8.9599999999999999E-2</v>
      </c>
      <c r="N246" s="21">
        <v>6</v>
      </c>
      <c r="O246" s="21">
        <v>46</v>
      </c>
      <c r="P246" s="21">
        <v>52</v>
      </c>
    </row>
    <row r="247" spans="1:16" x14ac:dyDescent="0.35">
      <c r="A247" s="21">
        <v>246</v>
      </c>
      <c r="B247" s="39">
        <v>40554</v>
      </c>
      <c r="C247" s="21">
        <v>1</v>
      </c>
      <c r="D247" s="21">
        <v>0</v>
      </c>
      <c r="E247" s="21">
        <v>1</v>
      </c>
      <c r="F247" s="21">
        <v>14</v>
      </c>
      <c r="G247" s="21" t="b">
        <v>0</v>
      </c>
      <c r="H247" s="21">
        <v>2</v>
      </c>
      <c r="I247" s="21">
        <v>2</v>
      </c>
      <c r="J247" s="21">
        <v>0.2</v>
      </c>
      <c r="K247" s="21">
        <v>0.2273</v>
      </c>
      <c r="L247" s="21">
        <v>0.59</v>
      </c>
      <c r="M247" s="21">
        <v>8.9599999999999999E-2</v>
      </c>
      <c r="N247" s="21">
        <v>3</v>
      </c>
      <c r="O247" s="21">
        <v>60</v>
      </c>
      <c r="P247" s="21">
        <v>63</v>
      </c>
    </row>
    <row r="248" spans="1:16" x14ac:dyDescent="0.35">
      <c r="A248" s="21">
        <v>247</v>
      </c>
      <c r="B248" s="39">
        <v>40554</v>
      </c>
      <c r="C248" s="21">
        <v>1</v>
      </c>
      <c r="D248" s="21">
        <v>0</v>
      </c>
      <c r="E248" s="21">
        <v>1</v>
      </c>
      <c r="F248" s="21">
        <v>15</v>
      </c>
      <c r="G248" s="21" t="b">
        <v>0</v>
      </c>
      <c r="H248" s="21">
        <v>2</v>
      </c>
      <c r="I248" s="21">
        <v>2</v>
      </c>
      <c r="J248" s="21">
        <v>0.16</v>
      </c>
      <c r="K248" s="21">
        <v>0.19700000000000001</v>
      </c>
      <c r="L248" s="21">
        <v>0.8</v>
      </c>
      <c r="M248" s="21">
        <v>8.9599999999999999E-2</v>
      </c>
      <c r="N248" s="21">
        <v>2</v>
      </c>
      <c r="O248" s="21">
        <v>45</v>
      </c>
      <c r="P248" s="21">
        <v>47</v>
      </c>
    </row>
    <row r="249" spans="1:16" x14ac:dyDescent="0.35">
      <c r="A249" s="21">
        <v>248</v>
      </c>
      <c r="B249" s="39">
        <v>40554</v>
      </c>
      <c r="C249" s="21">
        <v>1</v>
      </c>
      <c r="D249" s="21">
        <v>0</v>
      </c>
      <c r="E249" s="21">
        <v>1</v>
      </c>
      <c r="F249" s="21">
        <v>16</v>
      </c>
      <c r="G249" s="21" t="b">
        <v>0</v>
      </c>
      <c r="H249" s="21">
        <v>2</v>
      </c>
      <c r="I249" s="21">
        <v>2</v>
      </c>
      <c r="J249" s="21">
        <v>0.16</v>
      </c>
      <c r="K249" s="21">
        <v>0.1515</v>
      </c>
      <c r="L249" s="21">
        <v>0.86</v>
      </c>
      <c r="M249" s="21">
        <v>0.22389999999999999</v>
      </c>
      <c r="N249" s="21">
        <v>4</v>
      </c>
      <c r="O249" s="21">
        <v>72</v>
      </c>
      <c r="P249" s="21">
        <v>76</v>
      </c>
    </row>
    <row r="250" spans="1:16" x14ac:dyDescent="0.35">
      <c r="A250" s="21">
        <v>249</v>
      </c>
      <c r="B250" s="39">
        <v>40554</v>
      </c>
      <c r="C250" s="21">
        <v>1</v>
      </c>
      <c r="D250" s="21">
        <v>0</v>
      </c>
      <c r="E250" s="21">
        <v>1</v>
      </c>
      <c r="F250" s="21">
        <v>17</v>
      </c>
      <c r="G250" s="21" t="b">
        <v>0</v>
      </c>
      <c r="H250" s="21">
        <v>2</v>
      </c>
      <c r="I250" s="21">
        <v>2</v>
      </c>
      <c r="J250" s="21">
        <v>0.16</v>
      </c>
      <c r="K250" s="21">
        <v>0.1515</v>
      </c>
      <c r="L250" s="21">
        <v>0.86</v>
      </c>
      <c r="M250" s="21">
        <v>0.22389999999999999</v>
      </c>
      <c r="N250" s="21">
        <v>6</v>
      </c>
      <c r="O250" s="21">
        <v>130</v>
      </c>
      <c r="P250" s="21">
        <v>136</v>
      </c>
    </row>
    <row r="251" spans="1:16" x14ac:dyDescent="0.35">
      <c r="A251" s="21">
        <v>250</v>
      </c>
      <c r="B251" s="39">
        <v>40554</v>
      </c>
      <c r="C251" s="21">
        <v>1</v>
      </c>
      <c r="D251" s="21">
        <v>0</v>
      </c>
      <c r="E251" s="21">
        <v>1</v>
      </c>
      <c r="F251" s="21">
        <v>18</v>
      </c>
      <c r="G251" s="21" t="b">
        <v>0</v>
      </c>
      <c r="H251" s="21">
        <v>2</v>
      </c>
      <c r="I251" s="21">
        <v>3</v>
      </c>
      <c r="J251" s="21">
        <v>0.16</v>
      </c>
      <c r="K251" s="21">
        <v>0.18179999999999999</v>
      </c>
      <c r="L251" s="21">
        <v>0.93</v>
      </c>
      <c r="M251" s="21">
        <v>0.1045</v>
      </c>
      <c r="N251" s="21">
        <v>1</v>
      </c>
      <c r="O251" s="21">
        <v>94</v>
      </c>
      <c r="P251" s="21">
        <v>95</v>
      </c>
    </row>
    <row r="252" spans="1:16" x14ac:dyDescent="0.35">
      <c r="A252" s="21">
        <v>251</v>
      </c>
      <c r="B252" s="39">
        <v>40554</v>
      </c>
      <c r="C252" s="21">
        <v>1</v>
      </c>
      <c r="D252" s="21">
        <v>0</v>
      </c>
      <c r="E252" s="21">
        <v>1</v>
      </c>
      <c r="F252" s="21">
        <v>19</v>
      </c>
      <c r="G252" s="21" t="b">
        <v>0</v>
      </c>
      <c r="H252" s="21">
        <v>2</v>
      </c>
      <c r="I252" s="21">
        <v>3</v>
      </c>
      <c r="J252" s="21">
        <v>0.16</v>
      </c>
      <c r="K252" s="21">
        <v>0.2273</v>
      </c>
      <c r="L252" s="21">
        <v>0.93</v>
      </c>
      <c r="M252" s="21">
        <v>0</v>
      </c>
      <c r="N252" s="21">
        <v>0</v>
      </c>
      <c r="O252" s="21">
        <v>51</v>
      </c>
      <c r="P252" s="21">
        <v>51</v>
      </c>
    </row>
    <row r="253" spans="1:16" x14ac:dyDescent="0.35">
      <c r="A253" s="21">
        <v>252</v>
      </c>
      <c r="B253" s="39">
        <v>40554</v>
      </c>
      <c r="C253" s="21">
        <v>1</v>
      </c>
      <c r="D253" s="21">
        <v>0</v>
      </c>
      <c r="E253" s="21">
        <v>1</v>
      </c>
      <c r="F253" s="21">
        <v>20</v>
      </c>
      <c r="G253" s="21" t="b">
        <v>0</v>
      </c>
      <c r="H253" s="21">
        <v>2</v>
      </c>
      <c r="I253" s="21">
        <v>3</v>
      </c>
      <c r="J253" s="21">
        <v>0.16</v>
      </c>
      <c r="K253" s="21">
        <v>0.1515</v>
      </c>
      <c r="L253" s="21">
        <v>0.93</v>
      </c>
      <c r="M253" s="21">
        <v>0.19400000000000001</v>
      </c>
      <c r="N253" s="21">
        <v>0</v>
      </c>
      <c r="O253" s="21">
        <v>32</v>
      </c>
      <c r="P253" s="21">
        <v>32</v>
      </c>
    </row>
    <row r="254" spans="1:16" x14ac:dyDescent="0.35">
      <c r="A254" s="21">
        <v>253</v>
      </c>
      <c r="B254" s="39">
        <v>40554</v>
      </c>
      <c r="C254" s="21">
        <v>1</v>
      </c>
      <c r="D254" s="21">
        <v>0</v>
      </c>
      <c r="E254" s="21">
        <v>1</v>
      </c>
      <c r="F254" s="21">
        <v>21</v>
      </c>
      <c r="G254" s="21" t="b">
        <v>0</v>
      </c>
      <c r="H254" s="21">
        <v>2</v>
      </c>
      <c r="I254" s="21">
        <v>3</v>
      </c>
      <c r="J254" s="21">
        <v>0.16</v>
      </c>
      <c r="K254" s="21">
        <v>0.19700000000000001</v>
      </c>
      <c r="L254" s="21">
        <v>0.86</v>
      </c>
      <c r="M254" s="21">
        <v>8.9599999999999999E-2</v>
      </c>
      <c r="N254" s="21">
        <v>0</v>
      </c>
      <c r="O254" s="21">
        <v>20</v>
      </c>
      <c r="P254" s="21">
        <v>20</v>
      </c>
    </row>
    <row r="255" spans="1:16" x14ac:dyDescent="0.35">
      <c r="A255" s="21">
        <v>254</v>
      </c>
      <c r="B255" s="39">
        <v>40554</v>
      </c>
      <c r="C255" s="21">
        <v>1</v>
      </c>
      <c r="D255" s="21">
        <v>0</v>
      </c>
      <c r="E255" s="21">
        <v>1</v>
      </c>
      <c r="F255" s="21">
        <v>22</v>
      </c>
      <c r="G255" s="21" t="b">
        <v>0</v>
      </c>
      <c r="H255" s="21">
        <v>2</v>
      </c>
      <c r="I255" s="21">
        <v>3</v>
      </c>
      <c r="J255" s="21">
        <v>0.16</v>
      </c>
      <c r="K255" s="21">
        <v>0.18179999999999999</v>
      </c>
      <c r="L255" s="21">
        <v>0.93</v>
      </c>
      <c r="M255" s="21">
        <v>0.1045</v>
      </c>
      <c r="N255" s="21">
        <v>1</v>
      </c>
      <c r="O255" s="21">
        <v>28</v>
      </c>
      <c r="P255" s="21">
        <v>29</v>
      </c>
    </row>
    <row r="256" spans="1:16" x14ac:dyDescent="0.35">
      <c r="A256" s="21">
        <v>255</v>
      </c>
      <c r="B256" s="39">
        <v>40554</v>
      </c>
      <c r="C256" s="21">
        <v>1</v>
      </c>
      <c r="D256" s="21">
        <v>0</v>
      </c>
      <c r="E256" s="21">
        <v>1</v>
      </c>
      <c r="F256" s="21">
        <v>23</v>
      </c>
      <c r="G256" s="21" t="b">
        <v>0</v>
      </c>
      <c r="H256" s="21">
        <v>2</v>
      </c>
      <c r="I256" s="21">
        <v>3</v>
      </c>
      <c r="J256" s="21">
        <v>0.16</v>
      </c>
      <c r="K256" s="21">
        <v>0.19700000000000001</v>
      </c>
      <c r="L256" s="21">
        <v>0.93</v>
      </c>
      <c r="M256" s="21">
        <v>8.9599999999999999E-2</v>
      </c>
      <c r="N256" s="21">
        <v>1</v>
      </c>
      <c r="O256" s="21">
        <v>18</v>
      </c>
      <c r="P256" s="21">
        <v>19</v>
      </c>
    </row>
    <row r="257" spans="1:16" x14ac:dyDescent="0.35">
      <c r="A257" s="21">
        <v>256</v>
      </c>
      <c r="B257" s="39">
        <v>40555</v>
      </c>
      <c r="C257" s="21">
        <v>1</v>
      </c>
      <c r="D257" s="21">
        <v>0</v>
      </c>
      <c r="E257" s="21">
        <v>1</v>
      </c>
      <c r="F257" s="21">
        <v>0</v>
      </c>
      <c r="G257" s="21" t="b">
        <v>0</v>
      </c>
      <c r="H257" s="21">
        <v>3</v>
      </c>
      <c r="I257" s="21">
        <v>2</v>
      </c>
      <c r="J257" s="21">
        <v>0.16</v>
      </c>
      <c r="K257" s="21">
        <v>0.19700000000000001</v>
      </c>
      <c r="L257" s="21">
        <v>0.86</v>
      </c>
      <c r="M257" s="21">
        <v>8.9599999999999999E-2</v>
      </c>
      <c r="N257" s="21">
        <v>0</v>
      </c>
      <c r="O257" s="21">
        <v>7</v>
      </c>
      <c r="P257" s="21">
        <v>7</v>
      </c>
    </row>
    <row r="258" spans="1:16" x14ac:dyDescent="0.35">
      <c r="A258" s="21">
        <v>257</v>
      </c>
      <c r="B258" s="39">
        <v>40555</v>
      </c>
      <c r="C258" s="21">
        <v>1</v>
      </c>
      <c r="D258" s="21">
        <v>0</v>
      </c>
      <c r="E258" s="21">
        <v>1</v>
      </c>
      <c r="F258" s="21">
        <v>1</v>
      </c>
      <c r="G258" s="21" t="b">
        <v>0</v>
      </c>
      <c r="H258" s="21">
        <v>3</v>
      </c>
      <c r="I258" s="21">
        <v>2</v>
      </c>
      <c r="J258" s="21">
        <v>0.16</v>
      </c>
      <c r="K258" s="21">
        <v>0.18179999999999999</v>
      </c>
      <c r="L258" s="21">
        <v>0.86</v>
      </c>
      <c r="M258" s="21">
        <v>0.1045</v>
      </c>
      <c r="N258" s="21">
        <v>0</v>
      </c>
      <c r="O258" s="21">
        <v>6</v>
      </c>
      <c r="P258" s="21">
        <v>6</v>
      </c>
    </row>
    <row r="259" spans="1:16" x14ac:dyDescent="0.35">
      <c r="A259" s="21">
        <v>258</v>
      </c>
      <c r="B259" s="39">
        <v>40555</v>
      </c>
      <c r="C259" s="21">
        <v>1</v>
      </c>
      <c r="D259" s="21">
        <v>0</v>
      </c>
      <c r="E259" s="21">
        <v>1</v>
      </c>
      <c r="F259" s="21">
        <v>2</v>
      </c>
      <c r="G259" s="21" t="b">
        <v>0</v>
      </c>
      <c r="H259" s="21">
        <v>3</v>
      </c>
      <c r="I259" s="21">
        <v>1</v>
      </c>
      <c r="J259" s="21">
        <v>0.14000000000000001</v>
      </c>
      <c r="K259" s="21">
        <v>0.1515</v>
      </c>
      <c r="L259" s="21">
        <v>0.86</v>
      </c>
      <c r="M259" s="21">
        <v>0.1343</v>
      </c>
      <c r="N259" s="21">
        <v>0</v>
      </c>
      <c r="O259" s="21">
        <v>1</v>
      </c>
      <c r="P259" s="21">
        <v>1</v>
      </c>
    </row>
    <row r="260" spans="1:16" x14ac:dyDescent="0.35">
      <c r="A260" s="21">
        <v>259</v>
      </c>
      <c r="B260" s="39">
        <v>40555</v>
      </c>
      <c r="C260" s="21">
        <v>1</v>
      </c>
      <c r="D260" s="21">
        <v>0</v>
      </c>
      <c r="E260" s="21">
        <v>1</v>
      </c>
      <c r="F260" s="21">
        <v>5</v>
      </c>
      <c r="G260" s="21" t="b">
        <v>0</v>
      </c>
      <c r="H260" s="21">
        <v>3</v>
      </c>
      <c r="I260" s="21">
        <v>1</v>
      </c>
      <c r="J260" s="21">
        <v>0.14000000000000001</v>
      </c>
      <c r="K260" s="21">
        <v>0.1515</v>
      </c>
      <c r="L260" s="21">
        <v>0.86</v>
      </c>
      <c r="M260" s="21">
        <v>0.16420000000000001</v>
      </c>
      <c r="N260" s="21">
        <v>0</v>
      </c>
      <c r="O260" s="21">
        <v>5</v>
      </c>
      <c r="P260" s="21">
        <v>5</v>
      </c>
    </row>
    <row r="261" spans="1:16" x14ac:dyDescent="0.35">
      <c r="A261" s="21">
        <v>260</v>
      </c>
      <c r="B261" s="39">
        <v>40555</v>
      </c>
      <c r="C261" s="21">
        <v>1</v>
      </c>
      <c r="D261" s="21">
        <v>0</v>
      </c>
      <c r="E261" s="21">
        <v>1</v>
      </c>
      <c r="F261" s="21">
        <v>6</v>
      </c>
      <c r="G261" s="21" t="b">
        <v>0</v>
      </c>
      <c r="H261" s="21">
        <v>3</v>
      </c>
      <c r="I261" s="21">
        <v>1</v>
      </c>
      <c r="J261" s="21">
        <v>0.12</v>
      </c>
      <c r="K261" s="21">
        <v>0.1515</v>
      </c>
      <c r="L261" s="21">
        <v>0.93</v>
      </c>
      <c r="M261" s="21">
        <v>0.1343</v>
      </c>
      <c r="N261" s="21">
        <v>0</v>
      </c>
      <c r="O261" s="21">
        <v>16</v>
      </c>
      <c r="P261" s="21">
        <v>16</v>
      </c>
    </row>
    <row r="262" spans="1:16" x14ac:dyDescent="0.35">
      <c r="A262" s="21">
        <v>261</v>
      </c>
      <c r="B262" s="39">
        <v>40555</v>
      </c>
      <c r="C262" s="21">
        <v>1</v>
      </c>
      <c r="D262" s="21">
        <v>0</v>
      </c>
      <c r="E262" s="21">
        <v>1</v>
      </c>
      <c r="F262" s="21">
        <v>7</v>
      </c>
      <c r="G262" s="21" t="b">
        <v>0</v>
      </c>
      <c r="H262" s="21">
        <v>3</v>
      </c>
      <c r="I262" s="21">
        <v>1</v>
      </c>
      <c r="J262" s="21">
        <v>0.14000000000000001</v>
      </c>
      <c r="K262" s="21">
        <v>0.1515</v>
      </c>
      <c r="L262" s="21">
        <v>0.69</v>
      </c>
      <c r="M262" s="21">
        <v>0.1343</v>
      </c>
      <c r="N262" s="21">
        <v>0</v>
      </c>
      <c r="O262" s="21">
        <v>54</v>
      </c>
      <c r="P262" s="21">
        <v>54</v>
      </c>
    </row>
    <row r="263" spans="1:16" x14ac:dyDescent="0.35">
      <c r="A263" s="21">
        <v>262</v>
      </c>
      <c r="B263" s="39">
        <v>40555</v>
      </c>
      <c r="C263" s="21">
        <v>1</v>
      </c>
      <c r="D263" s="21">
        <v>0</v>
      </c>
      <c r="E263" s="21">
        <v>1</v>
      </c>
      <c r="F263" s="21">
        <v>8</v>
      </c>
      <c r="G263" s="21" t="b">
        <v>0</v>
      </c>
      <c r="H263" s="21">
        <v>3</v>
      </c>
      <c r="I263" s="21">
        <v>1</v>
      </c>
      <c r="J263" s="21">
        <v>0.16</v>
      </c>
      <c r="K263" s="21">
        <v>0.16669999999999999</v>
      </c>
      <c r="L263" s="21">
        <v>0.59</v>
      </c>
      <c r="M263" s="21">
        <v>0.16420000000000001</v>
      </c>
      <c r="N263" s="21">
        <v>3</v>
      </c>
      <c r="O263" s="21">
        <v>125</v>
      </c>
      <c r="P263" s="21">
        <v>128</v>
      </c>
    </row>
    <row r="264" spans="1:16" x14ac:dyDescent="0.35">
      <c r="A264" s="21">
        <v>263</v>
      </c>
      <c r="B264" s="39">
        <v>40555</v>
      </c>
      <c r="C264" s="21">
        <v>1</v>
      </c>
      <c r="D264" s="21">
        <v>0</v>
      </c>
      <c r="E264" s="21">
        <v>1</v>
      </c>
      <c r="F264" s="21">
        <v>9</v>
      </c>
      <c r="G264" s="21" t="b">
        <v>0</v>
      </c>
      <c r="H264" s="21">
        <v>3</v>
      </c>
      <c r="I264" s="21">
        <v>1</v>
      </c>
      <c r="J264" s="21">
        <v>0.16</v>
      </c>
      <c r="K264" s="21">
        <v>0.13639999999999999</v>
      </c>
      <c r="L264" s="21">
        <v>0.59</v>
      </c>
      <c r="M264" s="21">
        <v>0.32840000000000003</v>
      </c>
      <c r="N264" s="21">
        <v>3</v>
      </c>
      <c r="O264" s="21">
        <v>78</v>
      </c>
      <c r="P264" s="21">
        <v>81</v>
      </c>
    </row>
    <row r="265" spans="1:16" x14ac:dyDescent="0.35">
      <c r="A265" s="21">
        <v>264</v>
      </c>
      <c r="B265" s="39">
        <v>40555</v>
      </c>
      <c r="C265" s="21">
        <v>1</v>
      </c>
      <c r="D265" s="21">
        <v>0</v>
      </c>
      <c r="E265" s="21">
        <v>1</v>
      </c>
      <c r="F265" s="21">
        <v>10</v>
      </c>
      <c r="G265" s="21" t="b">
        <v>0</v>
      </c>
      <c r="H265" s="21">
        <v>3</v>
      </c>
      <c r="I265" s="21">
        <v>1</v>
      </c>
      <c r="J265" s="21">
        <v>0.18</v>
      </c>
      <c r="K265" s="21">
        <v>0.18179999999999999</v>
      </c>
      <c r="L265" s="21">
        <v>0.55000000000000004</v>
      </c>
      <c r="M265" s="21">
        <v>0.22389999999999999</v>
      </c>
      <c r="N265" s="21">
        <v>0</v>
      </c>
      <c r="O265" s="21">
        <v>39</v>
      </c>
      <c r="P265" s="21">
        <v>39</v>
      </c>
    </row>
    <row r="266" spans="1:16" x14ac:dyDescent="0.35">
      <c r="A266" s="21">
        <v>265</v>
      </c>
      <c r="B266" s="39">
        <v>40555</v>
      </c>
      <c r="C266" s="21">
        <v>1</v>
      </c>
      <c r="D266" s="21">
        <v>0</v>
      </c>
      <c r="E266" s="21">
        <v>1</v>
      </c>
      <c r="F266" s="21">
        <v>11</v>
      </c>
      <c r="G266" s="21" t="b">
        <v>0</v>
      </c>
      <c r="H266" s="21">
        <v>3</v>
      </c>
      <c r="I266" s="21">
        <v>1</v>
      </c>
      <c r="J266" s="21">
        <v>0.2</v>
      </c>
      <c r="K266" s="21">
        <v>0.18179999999999999</v>
      </c>
      <c r="L266" s="21">
        <v>0.51</v>
      </c>
      <c r="M266" s="21">
        <v>0.3881</v>
      </c>
      <c r="N266" s="21">
        <v>3</v>
      </c>
      <c r="O266" s="21">
        <v>32</v>
      </c>
      <c r="P266" s="21">
        <v>35</v>
      </c>
    </row>
    <row r="267" spans="1:16" x14ac:dyDescent="0.35">
      <c r="A267" s="21">
        <v>266</v>
      </c>
      <c r="B267" s="39">
        <v>40555</v>
      </c>
      <c r="C267" s="21">
        <v>1</v>
      </c>
      <c r="D267" s="21">
        <v>0</v>
      </c>
      <c r="E267" s="21">
        <v>1</v>
      </c>
      <c r="F267" s="21">
        <v>12</v>
      </c>
      <c r="G267" s="21" t="b">
        <v>0</v>
      </c>
      <c r="H267" s="21">
        <v>3</v>
      </c>
      <c r="I267" s="21">
        <v>1</v>
      </c>
      <c r="J267" s="21">
        <v>0.2</v>
      </c>
      <c r="K267" s="21">
        <v>0.1515</v>
      </c>
      <c r="L267" s="21">
        <v>0.47</v>
      </c>
      <c r="M267" s="21">
        <v>0.58209999999999995</v>
      </c>
      <c r="N267" s="21">
        <v>3</v>
      </c>
      <c r="O267" s="21">
        <v>52</v>
      </c>
      <c r="P267" s="21">
        <v>55</v>
      </c>
    </row>
    <row r="268" spans="1:16" x14ac:dyDescent="0.35">
      <c r="A268" s="21">
        <v>267</v>
      </c>
      <c r="B268" s="39">
        <v>40555</v>
      </c>
      <c r="C268" s="21">
        <v>1</v>
      </c>
      <c r="D268" s="21">
        <v>0</v>
      </c>
      <c r="E268" s="21">
        <v>1</v>
      </c>
      <c r="F268" s="21">
        <v>13</v>
      </c>
      <c r="G268" s="21" t="b">
        <v>0</v>
      </c>
      <c r="H268" s="21">
        <v>3</v>
      </c>
      <c r="I268" s="21">
        <v>1</v>
      </c>
      <c r="J268" s="21">
        <v>0.22</v>
      </c>
      <c r="K268" s="21">
        <v>0.19700000000000001</v>
      </c>
      <c r="L268" s="21">
        <v>0.44</v>
      </c>
      <c r="M268" s="21">
        <v>0.35820000000000002</v>
      </c>
      <c r="N268" s="21">
        <v>0</v>
      </c>
      <c r="O268" s="21">
        <v>49</v>
      </c>
      <c r="P268" s="21">
        <v>49</v>
      </c>
    </row>
    <row r="269" spans="1:16" x14ac:dyDescent="0.35">
      <c r="A269" s="21">
        <v>268</v>
      </c>
      <c r="B269" s="39">
        <v>40555</v>
      </c>
      <c r="C269" s="21">
        <v>1</v>
      </c>
      <c r="D269" s="21">
        <v>0</v>
      </c>
      <c r="E269" s="21">
        <v>1</v>
      </c>
      <c r="F269" s="21">
        <v>14</v>
      </c>
      <c r="G269" s="21" t="b">
        <v>0</v>
      </c>
      <c r="H269" s="21">
        <v>3</v>
      </c>
      <c r="I269" s="21">
        <v>1</v>
      </c>
      <c r="J269" s="21">
        <v>0.2</v>
      </c>
      <c r="K269" s="21">
        <v>0.18179999999999999</v>
      </c>
      <c r="L269" s="21">
        <v>0.47</v>
      </c>
      <c r="M269" s="21">
        <v>0.32840000000000003</v>
      </c>
      <c r="N269" s="21">
        <v>0</v>
      </c>
      <c r="O269" s="21">
        <v>44</v>
      </c>
      <c r="P269" s="21">
        <v>44</v>
      </c>
    </row>
    <row r="270" spans="1:16" x14ac:dyDescent="0.35">
      <c r="A270" s="21">
        <v>269</v>
      </c>
      <c r="B270" s="39">
        <v>40555</v>
      </c>
      <c r="C270" s="21">
        <v>1</v>
      </c>
      <c r="D270" s="21">
        <v>0</v>
      </c>
      <c r="E270" s="21">
        <v>1</v>
      </c>
      <c r="F270" s="21">
        <v>15</v>
      </c>
      <c r="G270" s="21" t="b">
        <v>0</v>
      </c>
      <c r="H270" s="21">
        <v>3</v>
      </c>
      <c r="I270" s="21">
        <v>1</v>
      </c>
      <c r="J270" s="21">
        <v>0.2</v>
      </c>
      <c r="K270" s="21">
        <v>0.16669999999999999</v>
      </c>
      <c r="L270" s="21">
        <v>0.47</v>
      </c>
      <c r="M270" s="21">
        <v>0.41789999999999999</v>
      </c>
      <c r="N270" s="21">
        <v>1</v>
      </c>
      <c r="O270" s="21">
        <v>48</v>
      </c>
      <c r="P270" s="21">
        <v>49</v>
      </c>
    </row>
    <row r="271" spans="1:16" x14ac:dyDescent="0.35">
      <c r="A271" s="21">
        <v>270</v>
      </c>
      <c r="B271" s="39">
        <v>40555</v>
      </c>
      <c r="C271" s="21">
        <v>1</v>
      </c>
      <c r="D271" s="21">
        <v>0</v>
      </c>
      <c r="E271" s="21">
        <v>1</v>
      </c>
      <c r="F271" s="21">
        <v>16</v>
      </c>
      <c r="G271" s="21" t="b">
        <v>0</v>
      </c>
      <c r="H271" s="21">
        <v>3</v>
      </c>
      <c r="I271" s="21">
        <v>1</v>
      </c>
      <c r="J271" s="21">
        <v>0.22</v>
      </c>
      <c r="K271" s="21">
        <v>0.19700000000000001</v>
      </c>
      <c r="L271" s="21">
        <v>0.44</v>
      </c>
      <c r="M271" s="21">
        <v>0.32840000000000003</v>
      </c>
      <c r="N271" s="21">
        <v>5</v>
      </c>
      <c r="O271" s="21">
        <v>63</v>
      </c>
      <c r="P271" s="21">
        <v>68</v>
      </c>
    </row>
    <row r="272" spans="1:16" x14ac:dyDescent="0.35">
      <c r="A272" s="21">
        <v>271</v>
      </c>
      <c r="B272" s="39">
        <v>40555</v>
      </c>
      <c r="C272" s="21">
        <v>1</v>
      </c>
      <c r="D272" s="21">
        <v>0</v>
      </c>
      <c r="E272" s="21">
        <v>1</v>
      </c>
      <c r="F272" s="21">
        <v>17</v>
      </c>
      <c r="G272" s="21" t="b">
        <v>0</v>
      </c>
      <c r="H272" s="21">
        <v>3</v>
      </c>
      <c r="I272" s="21">
        <v>1</v>
      </c>
      <c r="J272" s="21">
        <v>0.2</v>
      </c>
      <c r="K272" s="21">
        <v>0.18179999999999999</v>
      </c>
      <c r="L272" s="21">
        <v>0.47</v>
      </c>
      <c r="M272" s="21">
        <v>0.35820000000000002</v>
      </c>
      <c r="N272" s="21">
        <v>0</v>
      </c>
      <c r="O272" s="21">
        <v>139</v>
      </c>
      <c r="P272" s="21">
        <v>139</v>
      </c>
    </row>
    <row r="273" spans="1:16" x14ac:dyDescent="0.35">
      <c r="A273" s="21">
        <v>272</v>
      </c>
      <c r="B273" s="39">
        <v>40555</v>
      </c>
      <c r="C273" s="21">
        <v>1</v>
      </c>
      <c r="D273" s="21">
        <v>0</v>
      </c>
      <c r="E273" s="21">
        <v>1</v>
      </c>
      <c r="F273" s="21">
        <v>18</v>
      </c>
      <c r="G273" s="21" t="b">
        <v>0</v>
      </c>
      <c r="H273" s="21">
        <v>3</v>
      </c>
      <c r="I273" s="21">
        <v>1</v>
      </c>
      <c r="J273" s="21">
        <v>0.2</v>
      </c>
      <c r="K273" s="21">
        <v>0.1515</v>
      </c>
      <c r="L273" s="21">
        <v>0.47</v>
      </c>
      <c r="M273" s="21">
        <v>0.52239999999999998</v>
      </c>
      <c r="N273" s="21">
        <v>2</v>
      </c>
      <c r="O273" s="21">
        <v>135</v>
      </c>
      <c r="P273" s="21">
        <v>137</v>
      </c>
    </row>
    <row r="274" spans="1:16" x14ac:dyDescent="0.35">
      <c r="A274" s="21">
        <v>273</v>
      </c>
      <c r="B274" s="39">
        <v>40555</v>
      </c>
      <c r="C274" s="21">
        <v>1</v>
      </c>
      <c r="D274" s="21">
        <v>0</v>
      </c>
      <c r="E274" s="21">
        <v>1</v>
      </c>
      <c r="F274" s="21">
        <v>19</v>
      </c>
      <c r="G274" s="21" t="b">
        <v>0</v>
      </c>
      <c r="H274" s="21">
        <v>3</v>
      </c>
      <c r="I274" s="21">
        <v>1</v>
      </c>
      <c r="J274" s="21">
        <v>0.18</v>
      </c>
      <c r="K274" s="21">
        <v>0.1515</v>
      </c>
      <c r="L274" s="21">
        <v>0.47</v>
      </c>
      <c r="M274" s="21">
        <v>0.41789999999999999</v>
      </c>
      <c r="N274" s="21">
        <v>1</v>
      </c>
      <c r="O274" s="21">
        <v>82</v>
      </c>
      <c r="P274" s="21">
        <v>83</v>
      </c>
    </row>
    <row r="275" spans="1:16" x14ac:dyDescent="0.35">
      <c r="A275" s="21">
        <v>274</v>
      </c>
      <c r="B275" s="39">
        <v>40555</v>
      </c>
      <c r="C275" s="21">
        <v>1</v>
      </c>
      <c r="D275" s="21">
        <v>0</v>
      </c>
      <c r="E275" s="21">
        <v>1</v>
      </c>
      <c r="F275" s="21">
        <v>20</v>
      </c>
      <c r="G275" s="21" t="b">
        <v>0</v>
      </c>
      <c r="H275" s="21">
        <v>3</v>
      </c>
      <c r="I275" s="21">
        <v>1</v>
      </c>
      <c r="J275" s="21">
        <v>0.16</v>
      </c>
      <c r="K275" s="21">
        <v>0.13639999999999999</v>
      </c>
      <c r="L275" s="21">
        <v>0.5</v>
      </c>
      <c r="M275" s="21">
        <v>0.32840000000000003</v>
      </c>
      <c r="N275" s="21">
        <v>2</v>
      </c>
      <c r="O275" s="21">
        <v>54</v>
      </c>
      <c r="P275" s="21">
        <v>56</v>
      </c>
    </row>
    <row r="276" spans="1:16" x14ac:dyDescent="0.35">
      <c r="A276" s="21">
        <v>275</v>
      </c>
      <c r="B276" s="39">
        <v>40555</v>
      </c>
      <c r="C276" s="21">
        <v>1</v>
      </c>
      <c r="D276" s="21">
        <v>0</v>
      </c>
      <c r="E276" s="21">
        <v>1</v>
      </c>
      <c r="F276" s="21">
        <v>21</v>
      </c>
      <c r="G276" s="21" t="b">
        <v>0</v>
      </c>
      <c r="H276" s="21">
        <v>3</v>
      </c>
      <c r="I276" s="21">
        <v>1</v>
      </c>
      <c r="J276" s="21">
        <v>0.16</v>
      </c>
      <c r="K276" s="21">
        <v>0.13639999999999999</v>
      </c>
      <c r="L276" s="21">
        <v>0.55000000000000004</v>
      </c>
      <c r="M276" s="21">
        <v>0.32840000000000003</v>
      </c>
      <c r="N276" s="21">
        <v>0</v>
      </c>
      <c r="O276" s="21">
        <v>57</v>
      </c>
      <c r="P276" s="21">
        <v>57</v>
      </c>
    </row>
    <row r="277" spans="1:16" x14ac:dyDescent="0.35">
      <c r="A277" s="21">
        <v>276</v>
      </c>
      <c r="B277" s="39">
        <v>40555</v>
      </c>
      <c r="C277" s="21">
        <v>1</v>
      </c>
      <c r="D277" s="21">
        <v>0</v>
      </c>
      <c r="E277" s="21">
        <v>1</v>
      </c>
      <c r="F277" s="21">
        <v>22</v>
      </c>
      <c r="G277" s="21" t="b">
        <v>0</v>
      </c>
      <c r="H277" s="21">
        <v>3</v>
      </c>
      <c r="I277" s="21">
        <v>1</v>
      </c>
      <c r="J277" s="21">
        <v>0.16</v>
      </c>
      <c r="K277" s="21">
        <v>0.1212</v>
      </c>
      <c r="L277" s="21">
        <v>0.55000000000000004</v>
      </c>
      <c r="M277" s="21">
        <v>0.44779999999999998</v>
      </c>
      <c r="N277" s="21">
        <v>1</v>
      </c>
      <c r="O277" s="21">
        <v>32</v>
      </c>
      <c r="P277" s="21">
        <v>33</v>
      </c>
    </row>
    <row r="278" spans="1:16" x14ac:dyDescent="0.35">
      <c r="A278" s="21">
        <v>277</v>
      </c>
      <c r="B278" s="39">
        <v>40555</v>
      </c>
      <c r="C278" s="21">
        <v>1</v>
      </c>
      <c r="D278" s="21">
        <v>0</v>
      </c>
      <c r="E278" s="21">
        <v>1</v>
      </c>
      <c r="F278" s="21">
        <v>23</v>
      </c>
      <c r="G278" s="21" t="b">
        <v>0</v>
      </c>
      <c r="H278" s="21">
        <v>3</v>
      </c>
      <c r="I278" s="21">
        <v>1</v>
      </c>
      <c r="J278" s="21">
        <v>0.14000000000000001</v>
      </c>
      <c r="K278" s="21">
        <v>0.1061</v>
      </c>
      <c r="L278" s="21">
        <v>0.59</v>
      </c>
      <c r="M278" s="21">
        <v>0.41789999999999999</v>
      </c>
      <c r="N278" s="21">
        <v>1</v>
      </c>
      <c r="O278" s="21">
        <v>19</v>
      </c>
      <c r="P278" s="21">
        <v>20</v>
      </c>
    </row>
    <row r="279" spans="1:16" x14ac:dyDescent="0.35">
      <c r="A279" s="21">
        <v>278</v>
      </c>
      <c r="B279" s="39">
        <v>40556</v>
      </c>
      <c r="C279" s="21">
        <v>1</v>
      </c>
      <c r="D279" s="21">
        <v>0</v>
      </c>
      <c r="E279" s="21">
        <v>1</v>
      </c>
      <c r="F279" s="21">
        <v>0</v>
      </c>
      <c r="G279" s="21" t="b">
        <v>0</v>
      </c>
      <c r="H279" s="21">
        <v>4</v>
      </c>
      <c r="I279" s="21">
        <v>1</v>
      </c>
      <c r="J279" s="21">
        <v>0.14000000000000001</v>
      </c>
      <c r="K279" s="21">
        <v>0.1212</v>
      </c>
      <c r="L279" s="21">
        <v>0.59</v>
      </c>
      <c r="M279" s="21">
        <v>0.28360000000000002</v>
      </c>
      <c r="N279" s="21">
        <v>1</v>
      </c>
      <c r="O279" s="21">
        <v>6</v>
      </c>
      <c r="P279" s="21">
        <v>7</v>
      </c>
    </row>
    <row r="280" spans="1:16" x14ac:dyDescent="0.35">
      <c r="A280" s="21">
        <v>279</v>
      </c>
      <c r="B280" s="39">
        <v>40556</v>
      </c>
      <c r="C280" s="21">
        <v>1</v>
      </c>
      <c r="D280" s="21">
        <v>0</v>
      </c>
      <c r="E280" s="21">
        <v>1</v>
      </c>
      <c r="F280" s="21">
        <v>1</v>
      </c>
      <c r="G280" s="21" t="b">
        <v>0</v>
      </c>
      <c r="H280" s="21">
        <v>4</v>
      </c>
      <c r="I280" s="21">
        <v>1</v>
      </c>
      <c r="J280" s="21">
        <v>0.14000000000000001</v>
      </c>
      <c r="K280" s="21">
        <v>0.1212</v>
      </c>
      <c r="L280" s="21">
        <v>0.5</v>
      </c>
      <c r="M280" s="21">
        <v>0.28360000000000002</v>
      </c>
      <c r="N280" s="21">
        <v>0</v>
      </c>
      <c r="O280" s="21">
        <v>2</v>
      </c>
      <c r="P280" s="21">
        <v>2</v>
      </c>
    </row>
    <row r="281" spans="1:16" x14ac:dyDescent="0.35">
      <c r="A281" s="21">
        <v>280</v>
      </c>
      <c r="B281" s="39">
        <v>40556</v>
      </c>
      <c r="C281" s="21">
        <v>1</v>
      </c>
      <c r="D281" s="21">
        <v>0</v>
      </c>
      <c r="E281" s="21">
        <v>1</v>
      </c>
      <c r="F281" s="21">
        <v>2</v>
      </c>
      <c r="G281" s="21" t="b">
        <v>0</v>
      </c>
      <c r="H281" s="21">
        <v>4</v>
      </c>
      <c r="I281" s="21">
        <v>1</v>
      </c>
      <c r="J281" s="21">
        <v>0.14000000000000001</v>
      </c>
      <c r="K281" s="21">
        <v>0.1212</v>
      </c>
      <c r="L281" s="21">
        <v>0.5</v>
      </c>
      <c r="M281" s="21">
        <v>0.35820000000000002</v>
      </c>
      <c r="N281" s="21">
        <v>0</v>
      </c>
      <c r="O281" s="21">
        <v>2</v>
      </c>
      <c r="P281" s="21">
        <v>2</v>
      </c>
    </row>
    <row r="282" spans="1:16" x14ac:dyDescent="0.35">
      <c r="A282" s="21">
        <v>281</v>
      </c>
      <c r="B282" s="39">
        <v>40556</v>
      </c>
      <c r="C282" s="21">
        <v>1</v>
      </c>
      <c r="D282" s="21">
        <v>0</v>
      </c>
      <c r="E282" s="21">
        <v>1</v>
      </c>
      <c r="F282" s="21">
        <v>3</v>
      </c>
      <c r="G282" s="21" t="b">
        <v>0</v>
      </c>
      <c r="H282" s="21">
        <v>4</v>
      </c>
      <c r="I282" s="21">
        <v>1</v>
      </c>
      <c r="J282" s="21">
        <v>0.14000000000000001</v>
      </c>
      <c r="K282" s="21">
        <v>0.1212</v>
      </c>
      <c r="L282" s="21">
        <v>0.5</v>
      </c>
      <c r="M282" s="21">
        <v>0.32840000000000003</v>
      </c>
      <c r="N282" s="21">
        <v>0</v>
      </c>
      <c r="O282" s="21">
        <v>3</v>
      </c>
      <c r="P282" s="21">
        <v>3</v>
      </c>
    </row>
    <row r="283" spans="1:16" x14ac:dyDescent="0.35">
      <c r="A283" s="21">
        <v>282</v>
      </c>
      <c r="B283" s="39">
        <v>40556</v>
      </c>
      <c r="C283" s="21">
        <v>1</v>
      </c>
      <c r="D283" s="21">
        <v>0</v>
      </c>
      <c r="E283" s="21">
        <v>1</v>
      </c>
      <c r="F283" s="21">
        <v>4</v>
      </c>
      <c r="G283" s="21" t="b">
        <v>0</v>
      </c>
      <c r="H283" s="21">
        <v>4</v>
      </c>
      <c r="I283" s="21">
        <v>1</v>
      </c>
      <c r="J283" s="21">
        <v>0.14000000000000001</v>
      </c>
      <c r="K283" s="21">
        <v>0.1212</v>
      </c>
      <c r="L283" s="21">
        <v>0.5</v>
      </c>
      <c r="M283" s="21">
        <v>0.25369999999999998</v>
      </c>
      <c r="N283" s="21">
        <v>0</v>
      </c>
      <c r="O283" s="21">
        <v>4</v>
      </c>
      <c r="P283" s="21">
        <v>4</v>
      </c>
    </row>
    <row r="284" spans="1:16" x14ac:dyDescent="0.35">
      <c r="A284" s="21">
        <v>283</v>
      </c>
      <c r="B284" s="39">
        <v>40556</v>
      </c>
      <c r="C284" s="21">
        <v>1</v>
      </c>
      <c r="D284" s="21">
        <v>0</v>
      </c>
      <c r="E284" s="21">
        <v>1</v>
      </c>
      <c r="F284" s="21">
        <v>5</v>
      </c>
      <c r="G284" s="21" t="b">
        <v>0</v>
      </c>
      <c r="H284" s="21">
        <v>4</v>
      </c>
      <c r="I284" s="21">
        <v>1</v>
      </c>
      <c r="J284" s="21">
        <v>0.14000000000000001</v>
      </c>
      <c r="K284" s="21">
        <v>0.1212</v>
      </c>
      <c r="L284" s="21">
        <v>0.5</v>
      </c>
      <c r="M284" s="21">
        <v>0.29849999999999999</v>
      </c>
      <c r="N284" s="21">
        <v>0</v>
      </c>
      <c r="O284" s="21">
        <v>3</v>
      </c>
      <c r="P284" s="21">
        <v>3</v>
      </c>
    </row>
    <row r="285" spans="1:16" x14ac:dyDescent="0.35">
      <c r="A285" s="21">
        <v>284</v>
      </c>
      <c r="B285" s="39">
        <v>40556</v>
      </c>
      <c r="C285" s="21">
        <v>1</v>
      </c>
      <c r="D285" s="21">
        <v>0</v>
      </c>
      <c r="E285" s="21">
        <v>1</v>
      </c>
      <c r="F285" s="21">
        <v>6</v>
      </c>
      <c r="G285" s="21" t="b">
        <v>0</v>
      </c>
      <c r="H285" s="21">
        <v>4</v>
      </c>
      <c r="I285" s="21">
        <v>1</v>
      </c>
      <c r="J285" s="21">
        <v>0.12</v>
      </c>
      <c r="K285" s="21">
        <v>0.1515</v>
      </c>
      <c r="L285" s="21">
        <v>0.54</v>
      </c>
      <c r="M285" s="21">
        <v>0.1343</v>
      </c>
      <c r="N285" s="21">
        <v>0</v>
      </c>
      <c r="O285" s="21">
        <v>28</v>
      </c>
      <c r="P285" s="21">
        <v>28</v>
      </c>
    </row>
    <row r="286" spans="1:16" x14ac:dyDescent="0.35">
      <c r="A286" s="21">
        <v>285</v>
      </c>
      <c r="B286" s="39">
        <v>40556</v>
      </c>
      <c r="C286" s="21">
        <v>1</v>
      </c>
      <c r="D286" s="21">
        <v>0</v>
      </c>
      <c r="E286" s="21">
        <v>1</v>
      </c>
      <c r="F286" s="21">
        <v>7</v>
      </c>
      <c r="G286" s="21" t="b">
        <v>0</v>
      </c>
      <c r="H286" s="21">
        <v>4</v>
      </c>
      <c r="I286" s="21">
        <v>1</v>
      </c>
      <c r="J286" s="21">
        <v>0.12</v>
      </c>
      <c r="K286" s="21">
        <v>0.1515</v>
      </c>
      <c r="L286" s="21">
        <v>0.54</v>
      </c>
      <c r="M286" s="21">
        <v>0.1343</v>
      </c>
      <c r="N286" s="21">
        <v>0</v>
      </c>
      <c r="O286" s="21">
        <v>72</v>
      </c>
      <c r="P286" s="21">
        <v>72</v>
      </c>
    </row>
    <row r="287" spans="1:16" x14ac:dyDescent="0.35">
      <c r="A287" s="21">
        <v>286</v>
      </c>
      <c r="B287" s="39">
        <v>40556</v>
      </c>
      <c r="C287" s="21">
        <v>1</v>
      </c>
      <c r="D287" s="21">
        <v>0</v>
      </c>
      <c r="E287" s="21">
        <v>1</v>
      </c>
      <c r="F287" s="21">
        <v>8</v>
      </c>
      <c r="G287" s="21" t="b">
        <v>0</v>
      </c>
      <c r="H287" s="21">
        <v>4</v>
      </c>
      <c r="I287" s="21">
        <v>1</v>
      </c>
      <c r="J287" s="21">
        <v>0.14000000000000001</v>
      </c>
      <c r="K287" s="21">
        <v>0.13639999999999999</v>
      </c>
      <c r="L287" s="21">
        <v>0.5</v>
      </c>
      <c r="M287" s="21">
        <v>0.19400000000000001</v>
      </c>
      <c r="N287" s="21">
        <v>5</v>
      </c>
      <c r="O287" s="21">
        <v>197</v>
      </c>
      <c r="P287" s="21">
        <v>202</v>
      </c>
    </row>
    <row r="288" spans="1:16" x14ac:dyDescent="0.35">
      <c r="A288" s="21">
        <v>287</v>
      </c>
      <c r="B288" s="39">
        <v>40556</v>
      </c>
      <c r="C288" s="21">
        <v>1</v>
      </c>
      <c r="D288" s="21">
        <v>0</v>
      </c>
      <c r="E288" s="21">
        <v>1</v>
      </c>
      <c r="F288" s="21">
        <v>9</v>
      </c>
      <c r="G288" s="21" t="b">
        <v>0</v>
      </c>
      <c r="H288" s="21">
        <v>4</v>
      </c>
      <c r="I288" s="21">
        <v>1</v>
      </c>
      <c r="J288" s="21">
        <v>0.14000000000000001</v>
      </c>
      <c r="K288" s="21">
        <v>0.1212</v>
      </c>
      <c r="L288" s="21">
        <v>0.5</v>
      </c>
      <c r="M288" s="21">
        <v>0.32840000000000003</v>
      </c>
      <c r="N288" s="21">
        <v>2</v>
      </c>
      <c r="O288" s="21">
        <v>137</v>
      </c>
      <c r="P288" s="21">
        <v>139</v>
      </c>
    </row>
    <row r="289" spans="1:16" x14ac:dyDescent="0.35">
      <c r="A289" s="21">
        <v>288</v>
      </c>
      <c r="B289" s="39">
        <v>40556</v>
      </c>
      <c r="C289" s="21">
        <v>1</v>
      </c>
      <c r="D289" s="21">
        <v>0</v>
      </c>
      <c r="E289" s="21">
        <v>1</v>
      </c>
      <c r="F289" s="21">
        <v>10</v>
      </c>
      <c r="G289" s="21" t="b">
        <v>0</v>
      </c>
      <c r="H289" s="21">
        <v>4</v>
      </c>
      <c r="I289" s="21">
        <v>2</v>
      </c>
      <c r="J289" s="21">
        <v>0.16</v>
      </c>
      <c r="K289" s="21">
        <v>0.13639999999999999</v>
      </c>
      <c r="L289" s="21">
        <v>0.5</v>
      </c>
      <c r="M289" s="21">
        <v>0.35820000000000002</v>
      </c>
      <c r="N289" s="21">
        <v>2</v>
      </c>
      <c r="O289" s="21">
        <v>36</v>
      </c>
      <c r="P289" s="21">
        <v>38</v>
      </c>
    </row>
    <row r="290" spans="1:16" x14ac:dyDescent="0.35">
      <c r="A290" s="21">
        <v>289</v>
      </c>
      <c r="B290" s="39">
        <v>40556</v>
      </c>
      <c r="C290" s="21">
        <v>1</v>
      </c>
      <c r="D290" s="21">
        <v>0</v>
      </c>
      <c r="E290" s="21">
        <v>1</v>
      </c>
      <c r="F290" s="21">
        <v>11</v>
      </c>
      <c r="G290" s="21" t="b">
        <v>0</v>
      </c>
      <c r="H290" s="21">
        <v>4</v>
      </c>
      <c r="I290" s="21">
        <v>2</v>
      </c>
      <c r="J290" s="21">
        <v>0.2</v>
      </c>
      <c r="K290" s="21">
        <v>0.16669999999999999</v>
      </c>
      <c r="L290" s="21">
        <v>0.44</v>
      </c>
      <c r="M290" s="21">
        <v>0.44779999999999998</v>
      </c>
      <c r="N290" s="21">
        <v>4</v>
      </c>
      <c r="O290" s="21">
        <v>33</v>
      </c>
      <c r="P290" s="21">
        <v>37</v>
      </c>
    </row>
    <row r="291" spans="1:16" x14ac:dyDescent="0.35">
      <c r="A291" s="21">
        <v>290</v>
      </c>
      <c r="B291" s="39">
        <v>40556</v>
      </c>
      <c r="C291" s="21">
        <v>1</v>
      </c>
      <c r="D291" s="21">
        <v>0</v>
      </c>
      <c r="E291" s="21">
        <v>1</v>
      </c>
      <c r="F291" s="21">
        <v>12</v>
      </c>
      <c r="G291" s="21" t="b">
        <v>0</v>
      </c>
      <c r="H291" s="21">
        <v>4</v>
      </c>
      <c r="I291" s="21">
        <v>1</v>
      </c>
      <c r="J291" s="21">
        <v>0.2</v>
      </c>
      <c r="K291" s="21">
        <v>0.16669999999999999</v>
      </c>
      <c r="L291" s="21">
        <v>0.44</v>
      </c>
      <c r="M291" s="21">
        <v>0.41789999999999999</v>
      </c>
      <c r="N291" s="21">
        <v>3</v>
      </c>
      <c r="O291" s="21">
        <v>49</v>
      </c>
      <c r="P291" s="21">
        <v>52</v>
      </c>
    </row>
    <row r="292" spans="1:16" x14ac:dyDescent="0.35">
      <c r="A292" s="21">
        <v>291</v>
      </c>
      <c r="B292" s="39">
        <v>40556</v>
      </c>
      <c r="C292" s="21">
        <v>1</v>
      </c>
      <c r="D292" s="21">
        <v>0</v>
      </c>
      <c r="E292" s="21">
        <v>1</v>
      </c>
      <c r="F292" s="21">
        <v>13</v>
      </c>
      <c r="G292" s="21" t="b">
        <v>0</v>
      </c>
      <c r="H292" s="21">
        <v>4</v>
      </c>
      <c r="I292" s="21">
        <v>1</v>
      </c>
      <c r="J292" s="21">
        <v>0.22</v>
      </c>
      <c r="K292" s="21">
        <v>0.19700000000000001</v>
      </c>
      <c r="L292" s="21">
        <v>0.41</v>
      </c>
      <c r="M292" s="21">
        <v>0.44779999999999998</v>
      </c>
      <c r="N292" s="21">
        <v>2</v>
      </c>
      <c r="O292" s="21">
        <v>81</v>
      </c>
      <c r="P292" s="21">
        <v>83</v>
      </c>
    </row>
    <row r="293" spans="1:16" x14ac:dyDescent="0.35">
      <c r="A293" s="21">
        <v>292</v>
      </c>
      <c r="B293" s="39">
        <v>40556</v>
      </c>
      <c r="C293" s="21">
        <v>1</v>
      </c>
      <c r="D293" s="21">
        <v>0</v>
      </c>
      <c r="E293" s="21">
        <v>1</v>
      </c>
      <c r="F293" s="21">
        <v>14</v>
      </c>
      <c r="G293" s="21" t="b">
        <v>0</v>
      </c>
      <c r="H293" s="21">
        <v>4</v>
      </c>
      <c r="I293" s="21">
        <v>1</v>
      </c>
      <c r="J293" s="21">
        <v>0.22</v>
      </c>
      <c r="K293" s="21">
        <v>0.19700000000000001</v>
      </c>
      <c r="L293" s="21">
        <v>0.41</v>
      </c>
      <c r="M293" s="21">
        <v>0.3881</v>
      </c>
      <c r="N293" s="21">
        <v>3</v>
      </c>
      <c r="O293" s="21">
        <v>39</v>
      </c>
      <c r="P293" s="21">
        <v>42</v>
      </c>
    </row>
    <row r="294" spans="1:16" x14ac:dyDescent="0.35">
      <c r="A294" s="21">
        <v>293</v>
      </c>
      <c r="B294" s="39">
        <v>40556</v>
      </c>
      <c r="C294" s="21">
        <v>1</v>
      </c>
      <c r="D294" s="21">
        <v>0</v>
      </c>
      <c r="E294" s="21">
        <v>1</v>
      </c>
      <c r="F294" s="21">
        <v>15</v>
      </c>
      <c r="G294" s="21" t="b">
        <v>0</v>
      </c>
      <c r="H294" s="21">
        <v>4</v>
      </c>
      <c r="I294" s="21">
        <v>1</v>
      </c>
      <c r="J294" s="21">
        <v>0.24</v>
      </c>
      <c r="K294" s="21">
        <v>0.21210000000000001</v>
      </c>
      <c r="L294" s="21">
        <v>0.38</v>
      </c>
      <c r="M294" s="21">
        <v>0.29849999999999999</v>
      </c>
      <c r="N294" s="21">
        <v>5</v>
      </c>
      <c r="O294" s="21">
        <v>55</v>
      </c>
      <c r="P294" s="21">
        <v>60</v>
      </c>
    </row>
    <row r="295" spans="1:16" x14ac:dyDescent="0.35">
      <c r="A295" s="21">
        <v>294</v>
      </c>
      <c r="B295" s="39">
        <v>40556</v>
      </c>
      <c r="C295" s="21">
        <v>1</v>
      </c>
      <c r="D295" s="21">
        <v>0</v>
      </c>
      <c r="E295" s="21">
        <v>1</v>
      </c>
      <c r="F295" s="21">
        <v>16</v>
      </c>
      <c r="G295" s="21" t="b">
        <v>0</v>
      </c>
      <c r="H295" s="21">
        <v>4</v>
      </c>
      <c r="I295" s="21">
        <v>1</v>
      </c>
      <c r="J295" s="21">
        <v>0.24</v>
      </c>
      <c r="K295" s="21">
        <v>0.21210000000000001</v>
      </c>
      <c r="L295" s="21">
        <v>0.38</v>
      </c>
      <c r="M295" s="21">
        <v>0.35820000000000002</v>
      </c>
      <c r="N295" s="21">
        <v>2</v>
      </c>
      <c r="O295" s="21">
        <v>76</v>
      </c>
      <c r="P295" s="21">
        <v>78</v>
      </c>
    </row>
    <row r="296" spans="1:16" x14ac:dyDescent="0.35">
      <c r="A296" s="21">
        <v>295</v>
      </c>
      <c r="B296" s="39">
        <v>40556</v>
      </c>
      <c r="C296" s="21">
        <v>1</v>
      </c>
      <c r="D296" s="21">
        <v>0</v>
      </c>
      <c r="E296" s="21">
        <v>1</v>
      </c>
      <c r="F296" s="21">
        <v>17</v>
      </c>
      <c r="G296" s="21" t="b">
        <v>0</v>
      </c>
      <c r="H296" s="21">
        <v>4</v>
      </c>
      <c r="I296" s="21">
        <v>1</v>
      </c>
      <c r="J296" s="21">
        <v>0.2</v>
      </c>
      <c r="K296" s="21">
        <v>0.18179999999999999</v>
      </c>
      <c r="L296" s="21">
        <v>0.4</v>
      </c>
      <c r="M296" s="21">
        <v>0.28360000000000002</v>
      </c>
      <c r="N296" s="21">
        <v>4</v>
      </c>
      <c r="O296" s="21">
        <v>158</v>
      </c>
      <c r="P296" s="21">
        <v>162</v>
      </c>
    </row>
    <row r="297" spans="1:16" x14ac:dyDescent="0.35">
      <c r="A297" s="21">
        <v>296</v>
      </c>
      <c r="B297" s="39">
        <v>40556</v>
      </c>
      <c r="C297" s="21">
        <v>1</v>
      </c>
      <c r="D297" s="21">
        <v>0</v>
      </c>
      <c r="E297" s="21">
        <v>1</v>
      </c>
      <c r="F297" s="21">
        <v>18</v>
      </c>
      <c r="G297" s="21" t="b">
        <v>0</v>
      </c>
      <c r="H297" s="21">
        <v>4</v>
      </c>
      <c r="I297" s="21">
        <v>1</v>
      </c>
      <c r="J297" s="21">
        <v>0.2</v>
      </c>
      <c r="K297" s="21">
        <v>0.18179999999999999</v>
      </c>
      <c r="L297" s="21">
        <v>0.4</v>
      </c>
      <c r="M297" s="21">
        <v>0.32840000000000003</v>
      </c>
      <c r="N297" s="21">
        <v>3</v>
      </c>
      <c r="O297" s="21">
        <v>141</v>
      </c>
      <c r="P297" s="21">
        <v>144</v>
      </c>
    </row>
    <row r="298" spans="1:16" x14ac:dyDescent="0.35">
      <c r="A298" s="21">
        <v>297</v>
      </c>
      <c r="B298" s="39">
        <v>40556</v>
      </c>
      <c r="C298" s="21">
        <v>1</v>
      </c>
      <c r="D298" s="21">
        <v>0</v>
      </c>
      <c r="E298" s="21">
        <v>1</v>
      </c>
      <c r="F298" s="21">
        <v>19</v>
      </c>
      <c r="G298" s="21" t="b">
        <v>0</v>
      </c>
      <c r="H298" s="21">
        <v>4</v>
      </c>
      <c r="I298" s="21">
        <v>1</v>
      </c>
      <c r="J298" s="21">
        <v>0.16</v>
      </c>
      <c r="K298" s="21">
        <v>0.1515</v>
      </c>
      <c r="L298" s="21">
        <v>0.47</v>
      </c>
      <c r="M298" s="21">
        <v>0.25369999999999998</v>
      </c>
      <c r="N298" s="21">
        <v>1</v>
      </c>
      <c r="O298" s="21">
        <v>98</v>
      </c>
      <c r="P298" s="21">
        <v>99</v>
      </c>
    </row>
    <row r="299" spans="1:16" x14ac:dyDescent="0.35">
      <c r="A299" s="21">
        <v>298</v>
      </c>
      <c r="B299" s="39">
        <v>40556</v>
      </c>
      <c r="C299" s="21">
        <v>1</v>
      </c>
      <c r="D299" s="21">
        <v>0</v>
      </c>
      <c r="E299" s="21">
        <v>1</v>
      </c>
      <c r="F299" s="21">
        <v>20</v>
      </c>
      <c r="G299" s="21" t="b">
        <v>0</v>
      </c>
      <c r="H299" s="21">
        <v>4</v>
      </c>
      <c r="I299" s="21">
        <v>1</v>
      </c>
      <c r="J299" s="21">
        <v>0.16</v>
      </c>
      <c r="K299" s="21">
        <v>0.1515</v>
      </c>
      <c r="L299" s="21">
        <v>0.47</v>
      </c>
      <c r="M299" s="21">
        <v>0.22389999999999999</v>
      </c>
      <c r="N299" s="21">
        <v>0</v>
      </c>
      <c r="O299" s="21">
        <v>64</v>
      </c>
      <c r="P299" s="21">
        <v>64</v>
      </c>
    </row>
    <row r="300" spans="1:16" x14ac:dyDescent="0.35">
      <c r="A300" s="21">
        <v>299</v>
      </c>
      <c r="B300" s="39">
        <v>40556</v>
      </c>
      <c r="C300" s="21">
        <v>1</v>
      </c>
      <c r="D300" s="21">
        <v>0</v>
      </c>
      <c r="E300" s="21">
        <v>1</v>
      </c>
      <c r="F300" s="21">
        <v>21</v>
      </c>
      <c r="G300" s="21" t="b">
        <v>0</v>
      </c>
      <c r="H300" s="21">
        <v>4</v>
      </c>
      <c r="I300" s="21">
        <v>1</v>
      </c>
      <c r="J300" s="21">
        <v>0.14000000000000001</v>
      </c>
      <c r="K300" s="21">
        <v>0.1212</v>
      </c>
      <c r="L300" s="21">
        <v>0.46</v>
      </c>
      <c r="M300" s="21">
        <v>0.29849999999999999</v>
      </c>
      <c r="N300" s="21">
        <v>0</v>
      </c>
      <c r="O300" s="21">
        <v>40</v>
      </c>
      <c r="P300" s="21">
        <v>40</v>
      </c>
    </row>
    <row r="301" spans="1:16" x14ac:dyDescent="0.35">
      <c r="A301" s="21">
        <v>300</v>
      </c>
      <c r="B301" s="39">
        <v>40556</v>
      </c>
      <c r="C301" s="21">
        <v>1</v>
      </c>
      <c r="D301" s="21">
        <v>0</v>
      </c>
      <c r="E301" s="21">
        <v>1</v>
      </c>
      <c r="F301" s="21">
        <v>22</v>
      </c>
      <c r="G301" s="21" t="b">
        <v>0</v>
      </c>
      <c r="H301" s="21">
        <v>4</v>
      </c>
      <c r="I301" s="21">
        <v>1</v>
      </c>
      <c r="J301" s="21">
        <v>0.14000000000000001</v>
      </c>
      <c r="K301" s="21">
        <v>0.1212</v>
      </c>
      <c r="L301" s="21">
        <v>0.46</v>
      </c>
      <c r="M301" s="21">
        <v>0.32840000000000003</v>
      </c>
      <c r="N301" s="21">
        <v>0</v>
      </c>
      <c r="O301" s="21">
        <v>30</v>
      </c>
      <c r="P301" s="21">
        <v>30</v>
      </c>
    </row>
    <row r="302" spans="1:16" x14ac:dyDescent="0.35">
      <c r="A302" s="21">
        <v>301</v>
      </c>
      <c r="B302" s="39">
        <v>40556</v>
      </c>
      <c r="C302" s="21">
        <v>1</v>
      </c>
      <c r="D302" s="21">
        <v>0</v>
      </c>
      <c r="E302" s="21">
        <v>1</v>
      </c>
      <c r="F302" s="21">
        <v>23</v>
      </c>
      <c r="G302" s="21" t="b">
        <v>0</v>
      </c>
      <c r="H302" s="21">
        <v>4</v>
      </c>
      <c r="I302" s="21">
        <v>1</v>
      </c>
      <c r="J302" s="21">
        <v>0.12</v>
      </c>
      <c r="K302" s="21">
        <v>0.13639999999999999</v>
      </c>
      <c r="L302" s="21">
        <v>0.5</v>
      </c>
      <c r="M302" s="21">
        <v>0.19400000000000001</v>
      </c>
      <c r="N302" s="21">
        <v>1</v>
      </c>
      <c r="O302" s="21">
        <v>14</v>
      </c>
      <c r="P302" s="21">
        <v>15</v>
      </c>
    </row>
    <row r="303" spans="1:16" x14ac:dyDescent="0.35">
      <c r="A303" s="21">
        <v>302</v>
      </c>
      <c r="B303" s="39">
        <v>40557</v>
      </c>
      <c r="C303" s="21">
        <v>1</v>
      </c>
      <c r="D303" s="21">
        <v>0</v>
      </c>
      <c r="E303" s="21">
        <v>1</v>
      </c>
      <c r="F303" s="21">
        <v>0</v>
      </c>
      <c r="G303" s="21" t="b">
        <v>0</v>
      </c>
      <c r="H303" s="21">
        <v>5</v>
      </c>
      <c r="I303" s="21">
        <v>1</v>
      </c>
      <c r="J303" s="21">
        <v>0.12</v>
      </c>
      <c r="K303" s="21">
        <v>0.13639999999999999</v>
      </c>
      <c r="L303" s="21">
        <v>0.5</v>
      </c>
      <c r="M303" s="21">
        <v>0.19400000000000001</v>
      </c>
      <c r="N303" s="21">
        <v>0</v>
      </c>
      <c r="O303" s="21">
        <v>14</v>
      </c>
      <c r="P303" s="21">
        <v>14</v>
      </c>
    </row>
    <row r="304" spans="1:16" x14ac:dyDescent="0.35">
      <c r="A304" s="21">
        <v>303</v>
      </c>
      <c r="B304" s="39">
        <v>40557</v>
      </c>
      <c r="C304" s="21">
        <v>1</v>
      </c>
      <c r="D304" s="21">
        <v>0</v>
      </c>
      <c r="E304" s="21">
        <v>1</v>
      </c>
      <c r="F304" s="21">
        <v>1</v>
      </c>
      <c r="G304" s="21" t="b">
        <v>0</v>
      </c>
      <c r="H304" s="21">
        <v>5</v>
      </c>
      <c r="I304" s="21">
        <v>1</v>
      </c>
      <c r="J304" s="21">
        <v>0.1</v>
      </c>
      <c r="K304" s="21">
        <v>0.1212</v>
      </c>
      <c r="L304" s="21">
        <v>0.54</v>
      </c>
      <c r="M304" s="21">
        <v>0.16420000000000001</v>
      </c>
      <c r="N304" s="21">
        <v>0</v>
      </c>
      <c r="O304" s="21">
        <v>5</v>
      </c>
      <c r="P304" s="21">
        <v>5</v>
      </c>
    </row>
    <row r="305" spans="1:16" x14ac:dyDescent="0.35">
      <c r="A305" s="21">
        <v>304</v>
      </c>
      <c r="B305" s="39">
        <v>40557</v>
      </c>
      <c r="C305" s="21">
        <v>1</v>
      </c>
      <c r="D305" s="21">
        <v>0</v>
      </c>
      <c r="E305" s="21">
        <v>1</v>
      </c>
      <c r="F305" s="21">
        <v>2</v>
      </c>
      <c r="G305" s="21" t="b">
        <v>0</v>
      </c>
      <c r="H305" s="21">
        <v>5</v>
      </c>
      <c r="I305" s="21">
        <v>1</v>
      </c>
      <c r="J305" s="21">
        <v>0.1</v>
      </c>
      <c r="K305" s="21">
        <v>0.1212</v>
      </c>
      <c r="L305" s="21">
        <v>0.54</v>
      </c>
      <c r="M305" s="21">
        <v>0.1343</v>
      </c>
      <c r="N305" s="21">
        <v>0</v>
      </c>
      <c r="O305" s="21">
        <v>1</v>
      </c>
      <c r="P305" s="21">
        <v>1</v>
      </c>
    </row>
    <row r="306" spans="1:16" x14ac:dyDescent="0.35">
      <c r="A306" s="21">
        <v>305</v>
      </c>
      <c r="B306" s="39">
        <v>40557</v>
      </c>
      <c r="C306" s="21">
        <v>1</v>
      </c>
      <c r="D306" s="21">
        <v>0</v>
      </c>
      <c r="E306" s="21">
        <v>1</v>
      </c>
      <c r="F306" s="21">
        <v>3</v>
      </c>
      <c r="G306" s="21" t="b">
        <v>0</v>
      </c>
      <c r="H306" s="21">
        <v>5</v>
      </c>
      <c r="I306" s="21">
        <v>1</v>
      </c>
      <c r="J306" s="21">
        <v>0.1</v>
      </c>
      <c r="K306" s="21">
        <v>0.13639999999999999</v>
      </c>
      <c r="L306" s="21">
        <v>0.54</v>
      </c>
      <c r="M306" s="21">
        <v>0.1045</v>
      </c>
      <c r="N306" s="21">
        <v>0</v>
      </c>
      <c r="O306" s="21">
        <v>1</v>
      </c>
      <c r="P306" s="21">
        <v>1</v>
      </c>
    </row>
    <row r="307" spans="1:16" x14ac:dyDescent="0.35">
      <c r="A307" s="21">
        <v>306</v>
      </c>
      <c r="B307" s="39">
        <v>40557</v>
      </c>
      <c r="C307" s="21">
        <v>1</v>
      </c>
      <c r="D307" s="21">
        <v>0</v>
      </c>
      <c r="E307" s="21">
        <v>1</v>
      </c>
      <c r="F307" s="21">
        <v>5</v>
      </c>
      <c r="G307" s="21" t="b">
        <v>0</v>
      </c>
      <c r="H307" s="21">
        <v>5</v>
      </c>
      <c r="I307" s="21">
        <v>1</v>
      </c>
      <c r="J307" s="21">
        <v>0.1</v>
      </c>
      <c r="K307" s="21">
        <v>0.13639999999999999</v>
      </c>
      <c r="L307" s="21">
        <v>0.54</v>
      </c>
      <c r="M307" s="21">
        <v>8.9599999999999999E-2</v>
      </c>
      <c r="N307" s="21">
        <v>0</v>
      </c>
      <c r="O307" s="21">
        <v>8</v>
      </c>
      <c r="P307" s="21">
        <v>8</v>
      </c>
    </row>
    <row r="308" spans="1:16" x14ac:dyDescent="0.35">
      <c r="A308" s="21">
        <v>307</v>
      </c>
      <c r="B308" s="39">
        <v>40557</v>
      </c>
      <c r="C308" s="21">
        <v>1</v>
      </c>
      <c r="D308" s="21">
        <v>0</v>
      </c>
      <c r="E308" s="21">
        <v>1</v>
      </c>
      <c r="F308" s="21">
        <v>6</v>
      </c>
      <c r="G308" s="21" t="b">
        <v>0</v>
      </c>
      <c r="H308" s="21">
        <v>5</v>
      </c>
      <c r="I308" s="21">
        <v>1</v>
      </c>
      <c r="J308" s="21">
        <v>0.1</v>
      </c>
      <c r="K308" s="21">
        <v>0.18179999999999999</v>
      </c>
      <c r="L308" s="21">
        <v>0.54</v>
      </c>
      <c r="M308" s="21">
        <v>0</v>
      </c>
      <c r="N308" s="21">
        <v>0</v>
      </c>
      <c r="O308" s="21">
        <v>17</v>
      </c>
      <c r="P308" s="21">
        <v>17</v>
      </c>
    </row>
    <row r="309" spans="1:16" x14ac:dyDescent="0.35">
      <c r="A309" s="21">
        <v>308</v>
      </c>
      <c r="B309" s="39">
        <v>40557</v>
      </c>
      <c r="C309" s="21">
        <v>1</v>
      </c>
      <c r="D309" s="21">
        <v>0</v>
      </c>
      <c r="E309" s="21">
        <v>1</v>
      </c>
      <c r="F309" s="21">
        <v>7</v>
      </c>
      <c r="G309" s="21" t="b">
        <v>0</v>
      </c>
      <c r="H309" s="21">
        <v>5</v>
      </c>
      <c r="I309" s="21">
        <v>1</v>
      </c>
      <c r="J309" s="21">
        <v>0.1</v>
      </c>
      <c r="K309" s="21">
        <v>0.1212</v>
      </c>
      <c r="L309" s="21">
        <v>0.74</v>
      </c>
      <c r="M309" s="21">
        <v>0.16420000000000001</v>
      </c>
      <c r="N309" s="21">
        <v>0</v>
      </c>
      <c r="O309" s="21">
        <v>70</v>
      </c>
      <c r="P309" s="21">
        <v>70</v>
      </c>
    </row>
    <row r="310" spans="1:16" x14ac:dyDescent="0.35">
      <c r="A310" s="21">
        <v>309</v>
      </c>
      <c r="B310" s="39">
        <v>40557</v>
      </c>
      <c r="C310" s="21">
        <v>1</v>
      </c>
      <c r="D310" s="21">
        <v>0</v>
      </c>
      <c r="E310" s="21">
        <v>1</v>
      </c>
      <c r="F310" s="21">
        <v>8</v>
      </c>
      <c r="G310" s="21" t="b">
        <v>0</v>
      </c>
      <c r="H310" s="21">
        <v>5</v>
      </c>
      <c r="I310" s="21">
        <v>1</v>
      </c>
      <c r="J310" s="21">
        <v>0.12</v>
      </c>
      <c r="K310" s="21">
        <v>0.16669999999999999</v>
      </c>
      <c r="L310" s="21">
        <v>0.68</v>
      </c>
      <c r="M310" s="21">
        <v>0</v>
      </c>
      <c r="N310" s="21">
        <v>2</v>
      </c>
      <c r="O310" s="21">
        <v>156</v>
      </c>
      <c r="P310" s="21">
        <v>158</v>
      </c>
    </row>
    <row r="311" spans="1:16" x14ac:dyDescent="0.35">
      <c r="A311" s="21">
        <v>310</v>
      </c>
      <c r="B311" s="39">
        <v>40557</v>
      </c>
      <c r="C311" s="21">
        <v>1</v>
      </c>
      <c r="D311" s="21">
        <v>0</v>
      </c>
      <c r="E311" s="21">
        <v>1</v>
      </c>
      <c r="F311" s="21">
        <v>9</v>
      </c>
      <c r="G311" s="21" t="b">
        <v>0</v>
      </c>
      <c r="H311" s="21">
        <v>5</v>
      </c>
      <c r="I311" s="21">
        <v>1</v>
      </c>
      <c r="J311" s="21">
        <v>0.14000000000000001</v>
      </c>
      <c r="K311" s="21">
        <v>0.1515</v>
      </c>
      <c r="L311" s="21">
        <v>0.69</v>
      </c>
      <c r="M311" s="21">
        <v>0.1343</v>
      </c>
      <c r="N311" s="21">
        <v>0</v>
      </c>
      <c r="O311" s="21">
        <v>117</v>
      </c>
      <c r="P311" s="21">
        <v>117</v>
      </c>
    </row>
    <row r="312" spans="1:16" x14ac:dyDescent="0.35">
      <c r="A312" s="21">
        <v>311</v>
      </c>
      <c r="B312" s="39">
        <v>40557</v>
      </c>
      <c r="C312" s="21">
        <v>1</v>
      </c>
      <c r="D312" s="21">
        <v>0</v>
      </c>
      <c r="E312" s="21">
        <v>1</v>
      </c>
      <c r="F312" s="21">
        <v>10</v>
      </c>
      <c r="G312" s="21" t="b">
        <v>0</v>
      </c>
      <c r="H312" s="21">
        <v>5</v>
      </c>
      <c r="I312" s="21">
        <v>1</v>
      </c>
      <c r="J312" s="21">
        <v>0.18</v>
      </c>
      <c r="K312" s="21">
        <v>0.18179999999999999</v>
      </c>
      <c r="L312" s="21">
        <v>0.55000000000000004</v>
      </c>
      <c r="M312" s="21">
        <v>0.19400000000000001</v>
      </c>
      <c r="N312" s="21">
        <v>4</v>
      </c>
      <c r="O312" s="21">
        <v>40</v>
      </c>
      <c r="P312" s="21">
        <v>44</v>
      </c>
    </row>
    <row r="313" spans="1:16" x14ac:dyDescent="0.35">
      <c r="A313" s="21">
        <v>312</v>
      </c>
      <c r="B313" s="39">
        <v>40557</v>
      </c>
      <c r="C313" s="21">
        <v>1</v>
      </c>
      <c r="D313" s="21">
        <v>0</v>
      </c>
      <c r="E313" s="21">
        <v>1</v>
      </c>
      <c r="F313" s="21">
        <v>11</v>
      </c>
      <c r="G313" s="21" t="b">
        <v>0</v>
      </c>
      <c r="H313" s="21">
        <v>5</v>
      </c>
      <c r="I313" s="21">
        <v>1</v>
      </c>
      <c r="J313" s="21">
        <v>0.18</v>
      </c>
      <c r="K313" s="21">
        <v>0.16669999999999999</v>
      </c>
      <c r="L313" s="21">
        <v>0.51</v>
      </c>
      <c r="M313" s="21">
        <v>0.28360000000000002</v>
      </c>
      <c r="N313" s="21">
        <v>6</v>
      </c>
      <c r="O313" s="21">
        <v>47</v>
      </c>
      <c r="P313" s="21">
        <v>53</v>
      </c>
    </row>
    <row r="314" spans="1:16" x14ac:dyDescent="0.35">
      <c r="A314" s="21">
        <v>313</v>
      </c>
      <c r="B314" s="39">
        <v>40557</v>
      </c>
      <c r="C314" s="21">
        <v>1</v>
      </c>
      <c r="D314" s="21">
        <v>0</v>
      </c>
      <c r="E314" s="21">
        <v>1</v>
      </c>
      <c r="F314" s="21">
        <v>12</v>
      </c>
      <c r="G314" s="21" t="b">
        <v>0</v>
      </c>
      <c r="H314" s="21">
        <v>5</v>
      </c>
      <c r="I314" s="21">
        <v>1</v>
      </c>
      <c r="J314" s="21">
        <v>0.2</v>
      </c>
      <c r="K314" s="21">
        <v>0.19700000000000001</v>
      </c>
      <c r="L314" s="21">
        <v>0.44</v>
      </c>
      <c r="M314" s="21">
        <v>0.25369999999999998</v>
      </c>
      <c r="N314" s="21">
        <v>2</v>
      </c>
      <c r="O314" s="21">
        <v>59</v>
      </c>
      <c r="P314" s="21">
        <v>61</v>
      </c>
    </row>
    <row r="315" spans="1:16" x14ac:dyDescent="0.35">
      <c r="A315" s="21">
        <v>314</v>
      </c>
      <c r="B315" s="39">
        <v>40557</v>
      </c>
      <c r="C315" s="21">
        <v>1</v>
      </c>
      <c r="D315" s="21">
        <v>0</v>
      </c>
      <c r="E315" s="21">
        <v>1</v>
      </c>
      <c r="F315" s="21">
        <v>13</v>
      </c>
      <c r="G315" s="21" t="b">
        <v>0</v>
      </c>
      <c r="H315" s="21">
        <v>5</v>
      </c>
      <c r="I315" s="21">
        <v>1</v>
      </c>
      <c r="J315" s="21">
        <v>0.22</v>
      </c>
      <c r="K315" s="21">
        <v>0.19700000000000001</v>
      </c>
      <c r="L315" s="21">
        <v>0.37</v>
      </c>
      <c r="M315" s="21">
        <v>0.3881</v>
      </c>
      <c r="N315" s="21">
        <v>4</v>
      </c>
      <c r="O315" s="21">
        <v>73</v>
      </c>
      <c r="P315" s="21">
        <v>77</v>
      </c>
    </row>
    <row r="316" spans="1:16" x14ac:dyDescent="0.35">
      <c r="A316" s="21">
        <v>315</v>
      </c>
      <c r="B316" s="39">
        <v>40557</v>
      </c>
      <c r="C316" s="21">
        <v>1</v>
      </c>
      <c r="D316" s="21">
        <v>0</v>
      </c>
      <c r="E316" s="21">
        <v>1</v>
      </c>
      <c r="F316" s="21">
        <v>14</v>
      </c>
      <c r="G316" s="21" t="b">
        <v>0</v>
      </c>
      <c r="H316" s="21">
        <v>5</v>
      </c>
      <c r="I316" s="21">
        <v>1</v>
      </c>
      <c r="J316" s="21">
        <v>0.22</v>
      </c>
      <c r="K316" s="21">
        <v>0.21210000000000001</v>
      </c>
      <c r="L316" s="21">
        <v>0.41</v>
      </c>
      <c r="M316" s="21">
        <v>0.28360000000000002</v>
      </c>
      <c r="N316" s="21">
        <v>5</v>
      </c>
      <c r="O316" s="21">
        <v>59</v>
      </c>
      <c r="P316" s="21">
        <v>64</v>
      </c>
    </row>
    <row r="317" spans="1:16" x14ac:dyDescent="0.35">
      <c r="A317" s="21">
        <v>316</v>
      </c>
      <c r="B317" s="39">
        <v>40557</v>
      </c>
      <c r="C317" s="21">
        <v>1</v>
      </c>
      <c r="D317" s="21">
        <v>0</v>
      </c>
      <c r="E317" s="21">
        <v>1</v>
      </c>
      <c r="F317" s="21">
        <v>15</v>
      </c>
      <c r="G317" s="21" t="b">
        <v>0</v>
      </c>
      <c r="H317" s="21">
        <v>5</v>
      </c>
      <c r="I317" s="21">
        <v>1</v>
      </c>
      <c r="J317" s="21">
        <v>0.24</v>
      </c>
      <c r="K317" s="21">
        <v>0.2424</v>
      </c>
      <c r="L317" s="21">
        <v>0.38</v>
      </c>
      <c r="M317" s="21">
        <v>0.16420000000000001</v>
      </c>
      <c r="N317" s="21">
        <v>9</v>
      </c>
      <c r="O317" s="21">
        <v>59</v>
      </c>
      <c r="P317" s="21">
        <v>68</v>
      </c>
    </row>
    <row r="318" spans="1:16" x14ac:dyDescent="0.35">
      <c r="A318" s="21">
        <v>317</v>
      </c>
      <c r="B318" s="39">
        <v>40557</v>
      </c>
      <c r="C318" s="21">
        <v>1</v>
      </c>
      <c r="D318" s="21">
        <v>0</v>
      </c>
      <c r="E318" s="21">
        <v>1</v>
      </c>
      <c r="F318" s="21">
        <v>16</v>
      </c>
      <c r="G318" s="21" t="b">
        <v>0</v>
      </c>
      <c r="H318" s="21">
        <v>5</v>
      </c>
      <c r="I318" s="21">
        <v>1</v>
      </c>
      <c r="J318" s="21">
        <v>0.22</v>
      </c>
      <c r="K318" s="21">
        <v>0.2424</v>
      </c>
      <c r="L318" s="21">
        <v>0.41</v>
      </c>
      <c r="M318" s="21">
        <v>0.1045</v>
      </c>
      <c r="N318" s="21">
        <v>3</v>
      </c>
      <c r="O318" s="21">
        <v>87</v>
      </c>
      <c r="P318" s="21">
        <v>90</v>
      </c>
    </row>
    <row r="319" spans="1:16" x14ac:dyDescent="0.35">
      <c r="A319" s="21">
        <v>318</v>
      </c>
      <c r="B319" s="39">
        <v>40557</v>
      </c>
      <c r="C319" s="21">
        <v>1</v>
      </c>
      <c r="D319" s="21">
        <v>0</v>
      </c>
      <c r="E319" s="21">
        <v>1</v>
      </c>
      <c r="F319" s="21">
        <v>17</v>
      </c>
      <c r="G319" s="21" t="b">
        <v>0</v>
      </c>
      <c r="H319" s="21">
        <v>5</v>
      </c>
      <c r="I319" s="21">
        <v>1</v>
      </c>
      <c r="J319" s="21">
        <v>0.22</v>
      </c>
      <c r="K319" s="21">
        <v>0.2273</v>
      </c>
      <c r="L319" s="21">
        <v>0.41</v>
      </c>
      <c r="M319" s="21">
        <v>0.16420000000000001</v>
      </c>
      <c r="N319" s="21">
        <v>4</v>
      </c>
      <c r="O319" s="21">
        <v>155</v>
      </c>
      <c r="P319" s="21">
        <v>159</v>
      </c>
    </row>
    <row r="320" spans="1:16" x14ac:dyDescent="0.35">
      <c r="A320" s="21">
        <v>319</v>
      </c>
      <c r="B320" s="39">
        <v>40557</v>
      </c>
      <c r="C320" s="21">
        <v>1</v>
      </c>
      <c r="D320" s="21">
        <v>0</v>
      </c>
      <c r="E320" s="21">
        <v>1</v>
      </c>
      <c r="F320" s="21">
        <v>18</v>
      </c>
      <c r="G320" s="21" t="b">
        <v>0</v>
      </c>
      <c r="H320" s="21">
        <v>5</v>
      </c>
      <c r="I320" s="21">
        <v>1</v>
      </c>
      <c r="J320" s="21">
        <v>0.2</v>
      </c>
      <c r="K320" s="21">
        <v>0.2576</v>
      </c>
      <c r="L320" s="21">
        <v>0.47</v>
      </c>
      <c r="M320" s="21">
        <v>0</v>
      </c>
      <c r="N320" s="21">
        <v>5</v>
      </c>
      <c r="O320" s="21">
        <v>134</v>
      </c>
      <c r="P320" s="21">
        <v>139</v>
      </c>
    </row>
    <row r="321" spans="1:16" x14ac:dyDescent="0.35">
      <c r="A321" s="21">
        <v>320</v>
      </c>
      <c r="B321" s="39">
        <v>40557</v>
      </c>
      <c r="C321" s="21">
        <v>1</v>
      </c>
      <c r="D321" s="21">
        <v>0</v>
      </c>
      <c r="E321" s="21">
        <v>1</v>
      </c>
      <c r="F321" s="21">
        <v>19</v>
      </c>
      <c r="G321" s="21" t="b">
        <v>0</v>
      </c>
      <c r="H321" s="21">
        <v>5</v>
      </c>
      <c r="I321" s="21">
        <v>1</v>
      </c>
      <c r="J321" s="21">
        <v>0.16</v>
      </c>
      <c r="K321" s="21">
        <v>0.19700000000000001</v>
      </c>
      <c r="L321" s="21">
        <v>0.59</v>
      </c>
      <c r="M321" s="21">
        <v>8.9599999999999999E-2</v>
      </c>
      <c r="N321" s="21">
        <v>3</v>
      </c>
      <c r="O321" s="21">
        <v>89</v>
      </c>
      <c r="P321" s="21">
        <v>92</v>
      </c>
    </row>
    <row r="322" spans="1:16" x14ac:dyDescent="0.35">
      <c r="A322" s="21">
        <v>321</v>
      </c>
      <c r="B322" s="39">
        <v>40557</v>
      </c>
      <c r="C322" s="21">
        <v>1</v>
      </c>
      <c r="D322" s="21">
        <v>0</v>
      </c>
      <c r="E322" s="21">
        <v>1</v>
      </c>
      <c r="F322" s="21">
        <v>20</v>
      </c>
      <c r="G322" s="21" t="b">
        <v>0</v>
      </c>
      <c r="H322" s="21">
        <v>5</v>
      </c>
      <c r="I322" s="21">
        <v>1</v>
      </c>
      <c r="J322" s="21">
        <v>0.18</v>
      </c>
      <c r="K322" s="21">
        <v>0.2424</v>
      </c>
      <c r="L322" s="21">
        <v>0.59</v>
      </c>
      <c r="M322" s="21">
        <v>0</v>
      </c>
      <c r="N322" s="21">
        <v>0</v>
      </c>
      <c r="O322" s="21">
        <v>68</v>
      </c>
      <c r="P322" s="21">
        <v>68</v>
      </c>
    </row>
    <row r="323" spans="1:16" x14ac:dyDescent="0.35">
      <c r="A323" s="21">
        <v>322</v>
      </c>
      <c r="B323" s="39">
        <v>40557</v>
      </c>
      <c r="C323" s="21">
        <v>1</v>
      </c>
      <c r="D323" s="21">
        <v>0</v>
      </c>
      <c r="E323" s="21">
        <v>1</v>
      </c>
      <c r="F323" s="21">
        <v>21</v>
      </c>
      <c r="G323" s="21" t="b">
        <v>0</v>
      </c>
      <c r="H323" s="21">
        <v>5</v>
      </c>
      <c r="I323" s="21">
        <v>1</v>
      </c>
      <c r="J323" s="21">
        <v>0.16</v>
      </c>
      <c r="K323" s="21">
        <v>0.2273</v>
      </c>
      <c r="L323" s="21">
        <v>0.69</v>
      </c>
      <c r="M323" s="21">
        <v>0</v>
      </c>
      <c r="N323" s="21">
        <v>4</v>
      </c>
      <c r="O323" s="21">
        <v>48</v>
      </c>
      <c r="P323" s="21">
        <v>52</v>
      </c>
    </row>
    <row r="324" spans="1:16" x14ac:dyDescent="0.35">
      <c r="A324" s="21">
        <v>323</v>
      </c>
      <c r="B324" s="39">
        <v>40557</v>
      </c>
      <c r="C324" s="21">
        <v>1</v>
      </c>
      <c r="D324" s="21">
        <v>0</v>
      </c>
      <c r="E324" s="21">
        <v>1</v>
      </c>
      <c r="F324" s="21">
        <v>22</v>
      </c>
      <c r="G324" s="21" t="b">
        <v>0</v>
      </c>
      <c r="H324" s="21">
        <v>5</v>
      </c>
      <c r="I324" s="21">
        <v>2</v>
      </c>
      <c r="J324" s="21">
        <v>0.16</v>
      </c>
      <c r="K324" s="21">
        <v>0.2273</v>
      </c>
      <c r="L324" s="21">
        <v>0.69</v>
      </c>
      <c r="M324" s="21">
        <v>0</v>
      </c>
      <c r="N324" s="21">
        <v>2</v>
      </c>
      <c r="O324" s="21">
        <v>34</v>
      </c>
      <c r="P324" s="21">
        <v>36</v>
      </c>
    </row>
    <row r="325" spans="1:16" x14ac:dyDescent="0.35">
      <c r="A325" s="21">
        <v>324</v>
      </c>
      <c r="B325" s="39">
        <v>40557</v>
      </c>
      <c r="C325" s="21">
        <v>1</v>
      </c>
      <c r="D325" s="21">
        <v>0</v>
      </c>
      <c r="E325" s="21">
        <v>1</v>
      </c>
      <c r="F325" s="21">
        <v>23</v>
      </c>
      <c r="G325" s="21" t="b">
        <v>0</v>
      </c>
      <c r="H325" s="21">
        <v>5</v>
      </c>
      <c r="I325" s="21">
        <v>2</v>
      </c>
      <c r="J325" s="21">
        <v>0.18</v>
      </c>
      <c r="K325" s="21">
        <v>0.2424</v>
      </c>
      <c r="L325" s="21">
        <v>0.55000000000000004</v>
      </c>
      <c r="M325" s="21">
        <v>0</v>
      </c>
      <c r="N325" s="21">
        <v>1</v>
      </c>
      <c r="O325" s="21">
        <v>26</v>
      </c>
      <c r="P325" s="21">
        <v>27</v>
      </c>
    </row>
    <row r="326" spans="1:16" x14ac:dyDescent="0.35">
      <c r="A326" s="21">
        <v>325</v>
      </c>
      <c r="B326" s="39">
        <v>40558</v>
      </c>
      <c r="C326" s="21">
        <v>1</v>
      </c>
      <c r="D326" s="21">
        <v>0</v>
      </c>
      <c r="E326" s="21">
        <v>1</v>
      </c>
      <c r="F326" s="21">
        <v>0</v>
      </c>
      <c r="G326" s="21" t="b">
        <v>0</v>
      </c>
      <c r="H326" s="21">
        <v>6</v>
      </c>
      <c r="I326" s="21">
        <v>1</v>
      </c>
      <c r="J326" s="21">
        <v>0.18</v>
      </c>
      <c r="K326" s="21">
        <v>0.2424</v>
      </c>
      <c r="L326" s="21">
        <v>0.55000000000000004</v>
      </c>
      <c r="M326" s="21">
        <v>0</v>
      </c>
      <c r="N326" s="21">
        <v>3</v>
      </c>
      <c r="O326" s="21">
        <v>25</v>
      </c>
      <c r="P326" s="21">
        <v>28</v>
      </c>
    </row>
    <row r="327" spans="1:16" x14ac:dyDescent="0.35">
      <c r="A327" s="21">
        <v>326</v>
      </c>
      <c r="B327" s="39">
        <v>40558</v>
      </c>
      <c r="C327" s="21">
        <v>1</v>
      </c>
      <c r="D327" s="21">
        <v>0</v>
      </c>
      <c r="E327" s="21">
        <v>1</v>
      </c>
      <c r="F327" s="21">
        <v>1</v>
      </c>
      <c r="G327" s="21" t="b">
        <v>0</v>
      </c>
      <c r="H327" s="21">
        <v>6</v>
      </c>
      <c r="I327" s="21">
        <v>2</v>
      </c>
      <c r="J327" s="21">
        <v>0.16</v>
      </c>
      <c r="K327" s="21">
        <v>0.19700000000000001</v>
      </c>
      <c r="L327" s="21">
        <v>0.59</v>
      </c>
      <c r="M327" s="21">
        <v>8.9599999999999999E-2</v>
      </c>
      <c r="N327" s="21">
        <v>2</v>
      </c>
      <c r="O327" s="21">
        <v>18</v>
      </c>
      <c r="P327" s="21">
        <v>20</v>
      </c>
    </row>
    <row r="328" spans="1:16" x14ac:dyDescent="0.35">
      <c r="A328" s="21">
        <v>327</v>
      </c>
      <c r="B328" s="39">
        <v>40558</v>
      </c>
      <c r="C328" s="21">
        <v>1</v>
      </c>
      <c r="D328" s="21">
        <v>0</v>
      </c>
      <c r="E328" s="21">
        <v>1</v>
      </c>
      <c r="F328" s="21">
        <v>2</v>
      </c>
      <c r="G328" s="21" t="b">
        <v>0</v>
      </c>
      <c r="H328" s="21">
        <v>6</v>
      </c>
      <c r="I328" s="21">
        <v>2</v>
      </c>
      <c r="J328" s="21">
        <v>0.16</v>
      </c>
      <c r="K328" s="21">
        <v>0.19700000000000001</v>
      </c>
      <c r="L328" s="21">
        <v>0.59</v>
      </c>
      <c r="M328" s="21">
        <v>8.9599999999999999E-2</v>
      </c>
      <c r="N328" s="21">
        <v>0</v>
      </c>
      <c r="O328" s="21">
        <v>12</v>
      </c>
      <c r="P328" s="21">
        <v>12</v>
      </c>
    </row>
    <row r="329" spans="1:16" x14ac:dyDescent="0.35">
      <c r="A329" s="21">
        <v>328</v>
      </c>
      <c r="B329" s="39">
        <v>40558</v>
      </c>
      <c r="C329" s="21">
        <v>1</v>
      </c>
      <c r="D329" s="21">
        <v>0</v>
      </c>
      <c r="E329" s="21">
        <v>1</v>
      </c>
      <c r="F329" s="21">
        <v>3</v>
      </c>
      <c r="G329" s="21" t="b">
        <v>0</v>
      </c>
      <c r="H329" s="21">
        <v>6</v>
      </c>
      <c r="I329" s="21">
        <v>2</v>
      </c>
      <c r="J329" s="21">
        <v>0.16</v>
      </c>
      <c r="K329" s="21">
        <v>0.2273</v>
      </c>
      <c r="L329" s="21">
        <v>0.59</v>
      </c>
      <c r="M329" s="21">
        <v>0</v>
      </c>
      <c r="N329" s="21">
        <v>1</v>
      </c>
      <c r="O329" s="21">
        <v>7</v>
      </c>
      <c r="P329" s="21">
        <v>8</v>
      </c>
    </row>
    <row r="330" spans="1:16" x14ac:dyDescent="0.35">
      <c r="A330" s="21">
        <v>329</v>
      </c>
      <c r="B330" s="39">
        <v>40558</v>
      </c>
      <c r="C330" s="21">
        <v>1</v>
      </c>
      <c r="D330" s="21">
        <v>0</v>
      </c>
      <c r="E330" s="21">
        <v>1</v>
      </c>
      <c r="F330" s="21">
        <v>4</v>
      </c>
      <c r="G330" s="21" t="b">
        <v>0</v>
      </c>
      <c r="H330" s="21">
        <v>6</v>
      </c>
      <c r="I330" s="21">
        <v>2</v>
      </c>
      <c r="J330" s="21">
        <v>0.16</v>
      </c>
      <c r="K330" s="21">
        <v>0.2273</v>
      </c>
      <c r="L330" s="21">
        <v>0.59</v>
      </c>
      <c r="M330" s="21">
        <v>0</v>
      </c>
      <c r="N330" s="21">
        <v>0</v>
      </c>
      <c r="O330" s="21">
        <v>5</v>
      </c>
      <c r="P330" s="21">
        <v>5</v>
      </c>
    </row>
    <row r="331" spans="1:16" x14ac:dyDescent="0.35">
      <c r="A331" s="21">
        <v>330</v>
      </c>
      <c r="B331" s="39">
        <v>40558</v>
      </c>
      <c r="C331" s="21">
        <v>1</v>
      </c>
      <c r="D331" s="21">
        <v>0</v>
      </c>
      <c r="E331" s="21">
        <v>1</v>
      </c>
      <c r="F331" s="21">
        <v>5</v>
      </c>
      <c r="G331" s="21" t="b">
        <v>0</v>
      </c>
      <c r="H331" s="21">
        <v>6</v>
      </c>
      <c r="I331" s="21">
        <v>1</v>
      </c>
      <c r="J331" s="21">
        <v>0.16</v>
      </c>
      <c r="K331" s="21">
        <v>0.2273</v>
      </c>
      <c r="L331" s="21">
        <v>0.59</v>
      </c>
      <c r="M331" s="21">
        <v>0</v>
      </c>
      <c r="N331" s="21">
        <v>0</v>
      </c>
      <c r="O331" s="21">
        <v>1</v>
      </c>
      <c r="P331" s="21">
        <v>1</v>
      </c>
    </row>
    <row r="332" spans="1:16" x14ac:dyDescent="0.35">
      <c r="A332" s="21">
        <v>331</v>
      </c>
      <c r="B332" s="39">
        <v>40558</v>
      </c>
      <c r="C332" s="21">
        <v>1</v>
      </c>
      <c r="D332" s="21">
        <v>0</v>
      </c>
      <c r="E332" s="21">
        <v>1</v>
      </c>
      <c r="F332" s="21">
        <v>6</v>
      </c>
      <c r="G332" s="21" t="b">
        <v>0</v>
      </c>
      <c r="H332" s="21">
        <v>6</v>
      </c>
      <c r="I332" s="21">
        <v>1</v>
      </c>
      <c r="J332" s="21">
        <v>0.14000000000000001</v>
      </c>
      <c r="K332" s="21">
        <v>0.16669999999999999</v>
      </c>
      <c r="L332" s="21">
        <v>0.63</v>
      </c>
      <c r="M332" s="21">
        <v>0.1045</v>
      </c>
      <c r="N332" s="21">
        <v>1</v>
      </c>
      <c r="O332" s="21">
        <v>2</v>
      </c>
      <c r="P332" s="21">
        <v>3</v>
      </c>
    </row>
    <row r="333" spans="1:16" x14ac:dyDescent="0.35">
      <c r="A333" s="21">
        <v>332</v>
      </c>
      <c r="B333" s="39">
        <v>40558</v>
      </c>
      <c r="C333" s="21">
        <v>1</v>
      </c>
      <c r="D333" s="21">
        <v>0</v>
      </c>
      <c r="E333" s="21">
        <v>1</v>
      </c>
      <c r="F333" s="21">
        <v>7</v>
      </c>
      <c r="G333" s="21" t="b">
        <v>0</v>
      </c>
      <c r="H333" s="21">
        <v>6</v>
      </c>
      <c r="I333" s="21">
        <v>1</v>
      </c>
      <c r="J333" s="21">
        <v>0.14000000000000001</v>
      </c>
      <c r="K333" s="21">
        <v>0.21210000000000001</v>
      </c>
      <c r="L333" s="21">
        <v>0.63</v>
      </c>
      <c r="M333" s="21">
        <v>0</v>
      </c>
      <c r="N333" s="21">
        <v>1</v>
      </c>
      <c r="O333" s="21">
        <v>9</v>
      </c>
      <c r="P333" s="21">
        <v>10</v>
      </c>
    </row>
    <row r="334" spans="1:16" x14ac:dyDescent="0.35">
      <c r="A334" s="21">
        <v>333</v>
      </c>
      <c r="B334" s="39">
        <v>40558</v>
      </c>
      <c r="C334" s="21">
        <v>1</v>
      </c>
      <c r="D334" s="21">
        <v>0</v>
      </c>
      <c r="E334" s="21">
        <v>1</v>
      </c>
      <c r="F334" s="21">
        <v>8</v>
      </c>
      <c r="G334" s="21" t="b">
        <v>0</v>
      </c>
      <c r="H334" s="21">
        <v>6</v>
      </c>
      <c r="I334" s="21">
        <v>1</v>
      </c>
      <c r="J334" s="21">
        <v>0.14000000000000001</v>
      </c>
      <c r="K334" s="21">
        <v>0.1515</v>
      </c>
      <c r="L334" s="21">
        <v>0.63</v>
      </c>
      <c r="M334" s="21">
        <v>0.1343</v>
      </c>
      <c r="N334" s="21">
        <v>1</v>
      </c>
      <c r="O334" s="21">
        <v>22</v>
      </c>
      <c r="P334" s="21">
        <v>23</v>
      </c>
    </row>
    <row r="335" spans="1:16" x14ac:dyDescent="0.35">
      <c r="A335" s="21">
        <v>334</v>
      </c>
      <c r="B335" s="39">
        <v>40558</v>
      </c>
      <c r="C335" s="21">
        <v>1</v>
      </c>
      <c r="D335" s="21">
        <v>0</v>
      </c>
      <c r="E335" s="21">
        <v>1</v>
      </c>
      <c r="F335" s="21">
        <v>9</v>
      </c>
      <c r="G335" s="21" t="b">
        <v>0</v>
      </c>
      <c r="H335" s="21">
        <v>6</v>
      </c>
      <c r="I335" s="21">
        <v>1</v>
      </c>
      <c r="J335" s="21">
        <v>0.16</v>
      </c>
      <c r="K335" s="21">
        <v>0.18179999999999999</v>
      </c>
      <c r="L335" s="21">
        <v>0.64</v>
      </c>
      <c r="M335" s="21">
        <v>0.1343</v>
      </c>
      <c r="N335" s="21">
        <v>2</v>
      </c>
      <c r="O335" s="21">
        <v>31</v>
      </c>
      <c r="P335" s="21">
        <v>33</v>
      </c>
    </row>
    <row r="336" spans="1:16" x14ac:dyDescent="0.35">
      <c r="A336" s="21">
        <v>335</v>
      </c>
      <c r="B336" s="39">
        <v>40558</v>
      </c>
      <c r="C336" s="21">
        <v>1</v>
      </c>
      <c r="D336" s="21">
        <v>0</v>
      </c>
      <c r="E336" s="21">
        <v>1</v>
      </c>
      <c r="F336" s="21">
        <v>10</v>
      </c>
      <c r="G336" s="21" t="b">
        <v>0</v>
      </c>
      <c r="H336" s="21">
        <v>6</v>
      </c>
      <c r="I336" s="21">
        <v>1</v>
      </c>
      <c r="J336" s="21">
        <v>0.18</v>
      </c>
      <c r="K336" s="21">
        <v>0.19700000000000001</v>
      </c>
      <c r="L336" s="21">
        <v>0.59</v>
      </c>
      <c r="M336" s="21">
        <v>0.16420000000000001</v>
      </c>
      <c r="N336" s="21">
        <v>2</v>
      </c>
      <c r="O336" s="21">
        <v>57</v>
      </c>
      <c r="P336" s="21">
        <v>59</v>
      </c>
    </row>
    <row r="337" spans="1:16" x14ac:dyDescent="0.35">
      <c r="A337" s="21">
        <v>336</v>
      </c>
      <c r="B337" s="39">
        <v>40558</v>
      </c>
      <c r="C337" s="21">
        <v>1</v>
      </c>
      <c r="D337" s="21">
        <v>0</v>
      </c>
      <c r="E337" s="21">
        <v>1</v>
      </c>
      <c r="F337" s="21">
        <v>11</v>
      </c>
      <c r="G337" s="21" t="b">
        <v>0</v>
      </c>
      <c r="H337" s="21">
        <v>6</v>
      </c>
      <c r="I337" s="21">
        <v>1</v>
      </c>
      <c r="J337" s="21">
        <v>0.2</v>
      </c>
      <c r="K337" s="21">
        <v>0.19700000000000001</v>
      </c>
      <c r="L337" s="21">
        <v>0.55000000000000004</v>
      </c>
      <c r="M337" s="21">
        <v>0.22389999999999999</v>
      </c>
      <c r="N337" s="21">
        <v>18</v>
      </c>
      <c r="O337" s="21">
        <v>54</v>
      </c>
      <c r="P337" s="21">
        <v>72</v>
      </c>
    </row>
    <row r="338" spans="1:16" x14ac:dyDescent="0.35">
      <c r="A338" s="21">
        <v>337</v>
      </c>
      <c r="B338" s="39">
        <v>40558</v>
      </c>
      <c r="C338" s="21">
        <v>1</v>
      </c>
      <c r="D338" s="21">
        <v>0</v>
      </c>
      <c r="E338" s="21">
        <v>1</v>
      </c>
      <c r="F338" s="21">
        <v>12</v>
      </c>
      <c r="G338" s="21" t="b">
        <v>0</v>
      </c>
      <c r="H338" s="21">
        <v>6</v>
      </c>
      <c r="I338" s="21">
        <v>1</v>
      </c>
      <c r="J338" s="21">
        <v>0.24</v>
      </c>
      <c r="K338" s="21">
        <v>0.2273</v>
      </c>
      <c r="L338" s="21">
        <v>0.48</v>
      </c>
      <c r="M338" s="21">
        <v>0.22389999999999999</v>
      </c>
      <c r="N338" s="21">
        <v>15</v>
      </c>
      <c r="O338" s="21">
        <v>74</v>
      </c>
      <c r="P338" s="21">
        <v>89</v>
      </c>
    </row>
    <row r="339" spans="1:16" x14ac:dyDescent="0.35">
      <c r="A339" s="21">
        <v>338</v>
      </c>
      <c r="B339" s="39">
        <v>40558</v>
      </c>
      <c r="C339" s="21">
        <v>1</v>
      </c>
      <c r="D339" s="21">
        <v>0</v>
      </c>
      <c r="E339" s="21">
        <v>1</v>
      </c>
      <c r="F339" s="21">
        <v>13</v>
      </c>
      <c r="G339" s="21" t="b">
        <v>0</v>
      </c>
      <c r="H339" s="21">
        <v>6</v>
      </c>
      <c r="I339" s="21">
        <v>1</v>
      </c>
      <c r="J339" s="21">
        <v>0.28000000000000003</v>
      </c>
      <c r="K339" s="21">
        <v>0.2576</v>
      </c>
      <c r="L339" s="21">
        <v>0.38</v>
      </c>
      <c r="M339" s="21">
        <v>0.29849999999999999</v>
      </c>
      <c r="N339" s="21">
        <v>21</v>
      </c>
      <c r="O339" s="21">
        <v>80</v>
      </c>
      <c r="P339" s="21">
        <v>101</v>
      </c>
    </row>
    <row r="340" spans="1:16" x14ac:dyDescent="0.35">
      <c r="A340" s="21">
        <v>339</v>
      </c>
      <c r="B340" s="39">
        <v>40558</v>
      </c>
      <c r="C340" s="21">
        <v>1</v>
      </c>
      <c r="D340" s="21">
        <v>0</v>
      </c>
      <c r="E340" s="21">
        <v>1</v>
      </c>
      <c r="F340" s="21">
        <v>14</v>
      </c>
      <c r="G340" s="21" t="b">
        <v>0</v>
      </c>
      <c r="H340" s="21">
        <v>6</v>
      </c>
      <c r="I340" s="21">
        <v>1</v>
      </c>
      <c r="J340" s="21">
        <v>0.3</v>
      </c>
      <c r="K340" s="21">
        <v>0.28789999999999999</v>
      </c>
      <c r="L340" s="21">
        <v>0.39</v>
      </c>
      <c r="M340" s="21">
        <v>0.28360000000000002</v>
      </c>
      <c r="N340" s="21">
        <v>26</v>
      </c>
      <c r="O340" s="21">
        <v>92</v>
      </c>
      <c r="P340" s="21">
        <v>118</v>
      </c>
    </row>
    <row r="341" spans="1:16" x14ac:dyDescent="0.35">
      <c r="A341" s="21">
        <v>340</v>
      </c>
      <c r="B341" s="39">
        <v>40558</v>
      </c>
      <c r="C341" s="21">
        <v>1</v>
      </c>
      <c r="D341" s="21">
        <v>0</v>
      </c>
      <c r="E341" s="21">
        <v>1</v>
      </c>
      <c r="F341" s="21">
        <v>15</v>
      </c>
      <c r="G341" s="21" t="b">
        <v>0</v>
      </c>
      <c r="H341" s="21">
        <v>6</v>
      </c>
      <c r="I341" s="21">
        <v>2</v>
      </c>
      <c r="J341" s="21">
        <v>0.32</v>
      </c>
      <c r="K341" s="21">
        <v>0.31819999999999998</v>
      </c>
      <c r="L341" s="21">
        <v>0.36</v>
      </c>
      <c r="M341" s="21">
        <v>0.19400000000000001</v>
      </c>
      <c r="N341" s="21">
        <v>21</v>
      </c>
      <c r="O341" s="21">
        <v>108</v>
      </c>
      <c r="P341" s="21">
        <v>129</v>
      </c>
    </row>
    <row r="342" spans="1:16" x14ac:dyDescent="0.35">
      <c r="A342" s="21">
        <v>341</v>
      </c>
      <c r="B342" s="39">
        <v>40558</v>
      </c>
      <c r="C342" s="21">
        <v>1</v>
      </c>
      <c r="D342" s="21">
        <v>0</v>
      </c>
      <c r="E342" s="21">
        <v>1</v>
      </c>
      <c r="F342" s="21">
        <v>16</v>
      </c>
      <c r="G342" s="21" t="b">
        <v>0</v>
      </c>
      <c r="H342" s="21">
        <v>6</v>
      </c>
      <c r="I342" s="21">
        <v>2</v>
      </c>
      <c r="J342" s="21">
        <v>0.34</v>
      </c>
      <c r="K342" s="21">
        <v>0.33329999999999999</v>
      </c>
      <c r="L342" s="21">
        <v>0.34</v>
      </c>
      <c r="M342" s="21">
        <v>0.19400000000000001</v>
      </c>
      <c r="N342" s="21">
        <v>33</v>
      </c>
      <c r="O342" s="21">
        <v>95</v>
      </c>
      <c r="P342" s="21">
        <v>128</v>
      </c>
    </row>
    <row r="343" spans="1:16" x14ac:dyDescent="0.35">
      <c r="A343" s="21">
        <v>342</v>
      </c>
      <c r="B343" s="39">
        <v>40558</v>
      </c>
      <c r="C343" s="21">
        <v>1</v>
      </c>
      <c r="D343" s="21">
        <v>0</v>
      </c>
      <c r="E343" s="21">
        <v>1</v>
      </c>
      <c r="F343" s="21">
        <v>17</v>
      </c>
      <c r="G343" s="21" t="b">
        <v>0</v>
      </c>
      <c r="H343" s="21">
        <v>6</v>
      </c>
      <c r="I343" s="21">
        <v>2</v>
      </c>
      <c r="J343" s="21">
        <v>0.32</v>
      </c>
      <c r="K343" s="21">
        <v>0.30299999999999999</v>
      </c>
      <c r="L343" s="21">
        <v>0.36</v>
      </c>
      <c r="M343" s="21">
        <v>0.28360000000000002</v>
      </c>
      <c r="N343" s="21">
        <v>29</v>
      </c>
      <c r="O343" s="21">
        <v>54</v>
      </c>
      <c r="P343" s="21">
        <v>83</v>
      </c>
    </row>
    <row r="344" spans="1:16" x14ac:dyDescent="0.35">
      <c r="A344" s="21">
        <v>343</v>
      </c>
      <c r="B344" s="39">
        <v>40558</v>
      </c>
      <c r="C344" s="21">
        <v>1</v>
      </c>
      <c r="D344" s="21">
        <v>0</v>
      </c>
      <c r="E344" s="21">
        <v>1</v>
      </c>
      <c r="F344" s="21">
        <v>18</v>
      </c>
      <c r="G344" s="21" t="b">
        <v>0</v>
      </c>
      <c r="H344" s="21">
        <v>6</v>
      </c>
      <c r="I344" s="21">
        <v>2</v>
      </c>
      <c r="J344" s="21">
        <v>0.3</v>
      </c>
      <c r="K344" s="21">
        <v>0.28789999999999999</v>
      </c>
      <c r="L344" s="21">
        <v>0.45</v>
      </c>
      <c r="M344" s="21">
        <v>0.25369999999999998</v>
      </c>
      <c r="N344" s="21">
        <v>15</v>
      </c>
      <c r="O344" s="21">
        <v>69</v>
      </c>
      <c r="P344" s="21">
        <v>84</v>
      </c>
    </row>
    <row r="345" spans="1:16" x14ac:dyDescent="0.35">
      <c r="A345" s="21">
        <v>344</v>
      </c>
      <c r="B345" s="39">
        <v>40558</v>
      </c>
      <c r="C345" s="21">
        <v>1</v>
      </c>
      <c r="D345" s="21">
        <v>0</v>
      </c>
      <c r="E345" s="21">
        <v>1</v>
      </c>
      <c r="F345" s="21">
        <v>19</v>
      </c>
      <c r="G345" s="21" t="b">
        <v>0</v>
      </c>
      <c r="H345" s="21">
        <v>6</v>
      </c>
      <c r="I345" s="21">
        <v>2</v>
      </c>
      <c r="J345" s="21">
        <v>0.32</v>
      </c>
      <c r="K345" s="21">
        <v>0.30299999999999999</v>
      </c>
      <c r="L345" s="21">
        <v>0.39</v>
      </c>
      <c r="M345" s="21">
        <v>0.25369999999999998</v>
      </c>
      <c r="N345" s="21">
        <v>14</v>
      </c>
      <c r="O345" s="21">
        <v>60</v>
      </c>
      <c r="P345" s="21">
        <v>74</v>
      </c>
    </row>
    <row r="346" spans="1:16" x14ac:dyDescent="0.35">
      <c r="A346" s="21">
        <v>345</v>
      </c>
      <c r="B346" s="39">
        <v>40558</v>
      </c>
      <c r="C346" s="21">
        <v>1</v>
      </c>
      <c r="D346" s="21">
        <v>0</v>
      </c>
      <c r="E346" s="21">
        <v>1</v>
      </c>
      <c r="F346" s="21">
        <v>20</v>
      </c>
      <c r="G346" s="21" t="b">
        <v>0</v>
      </c>
      <c r="H346" s="21">
        <v>6</v>
      </c>
      <c r="I346" s="21">
        <v>2</v>
      </c>
      <c r="J346" s="21">
        <v>0.32</v>
      </c>
      <c r="K346" s="21">
        <v>0.30299999999999999</v>
      </c>
      <c r="L346" s="21">
        <v>0.39</v>
      </c>
      <c r="M346" s="21">
        <v>0.25369999999999998</v>
      </c>
      <c r="N346" s="21">
        <v>6</v>
      </c>
      <c r="O346" s="21">
        <v>35</v>
      </c>
      <c r="P346" s="21">
        <v>41</v>
      </c>
    </row>
    <row r="347" spans="1:16" x14ac:dyDescent="0.35">
      <c r="A347" s="21">
        <v>346</v>
      </c>
      <c r="B347" s="39">
        <v>40558</v>
      </c>
      <c r="C347" s="21">
        <v>1</v>
      </c>
      <c r="D347" s="21">
        <v>0</v>
      </c>
      <c r="E347" s="21">
        <v>1</v>
      </c>
      <c r="F347" s="21">
        <v>21</v>
      </c>
      <c r="G347" s="21" t="b">
        <v>0</v>
      </c>
      <c r="H347" s="21">
        <v>6</v>
      </c>
      <c r="I347" s="21">
        <v>2</v>
      </c>
      <c r="J347" s="21">
        <v>0.32</v>
      </c>
      <c r="K347" s="21">
        <v>0.30299999999999999</v>
      </c>
      <c r="L347" s="21">
        <v>0.39</v>
      </c>
      <c r="M347" s="21">
        <v>0.22389999999999999</v>
      </c>
      <c r="N347" s="21">
        <v>6</v>
      </c>
      <c r="O347" s="21">
        <v>51</v>
      </c>
      <c r="P347" s="21">
        <v>57</v>
      </c>
    </row>
    <row r="348" spans="1:16" x14ac:dyDescent="0.35">
      <c r="A348" s="21">
        <v>347</v>
      </c>
      <c r="B348" s="39">
        <v>40558</v>
      </c>
      <c r="C348" s="21">
        <v>1</v>
      </c>
      <c r="D348" s="21">
        <v>0</v>
      </c>
      <c r="E348" s="21">
        <v>1</v>
      </c>
      <c r="F348" s="21">
        <v>22</v>
      </c>
      <c r="G348" s="21" t="b">
        <v>0</v>
      </c>
      <c r="H348" s="21">
        <v>6</v>
      </c>
      <c r="I348" s="21">
        <v>2</v>
      </c>
      <c r="J348" s="21">
        <v>0.3</v>
      </c>
      <c r="K348" s="21">
        <v>0.31819999999999998</v>
      </c>
      <c r="L348" s="21">
        <v>0.42</v>
      </c>
      <c r="M348" s="21">
        <v>0.1045</v>
      </c>
      <c r="N348" s="21">
        <v>0</v>
      </c>
      <c r="O348" s="21">
        <v>26</v>
      </c>
      <c r="P348" s="21">
        <v>26</v>
      </c>
    </row>
    <row r="349" spans="1:16" x14ac:dyDescent="0.35">
      <c r="A349" s="21">
        <v>348</v>
      </c>
      <c r="B349" s="39">
        <v>40558</v>
      </c>
      <c r="C349" s="21">
        <v>1</v>
      </c>
      <c r="D349" s="21">
        <v>0</v>
      </c>
      <c r="E349" s="21">
        <v>1</v>
      </c>
      <c r="F349" s="21">
        <v>23</v>
      </c>
      <c r="G349" s="21" t="b">
        <v>0</v>
      </c>
      <c r="H349" s="21">
        <v>6</v>
      </c>
      <c r="I349" s="21">
        <v>1</v>
      </c>
      <c r="J349" s="21">
        <v>0.3</v>
      </c>
      <c r="K349" s="21">
        <v>0.28789999999999999</v>
      </c>
      <c r="L349" s="21">
        <v>0.45</v>
      </c>
      <c r="M349" s="21">
        <v>0.28360000000000002</v>
      </c>
      <c r="N349" s="21">
        <v>5</v>
      </c>
      <c r="O349" s="21">
        <v>39</v>
      </c>
      <c r="P349" s="21">
        <v>44</v>
      </c>
    </row>
    <row r="350" spans="1:16" x14ac:dyDescent="0.35">
      <c r="A350" s="21">
        <v>349</v>
      </c>
      <c r="B350" s="39">
        <v>40559</v>
      </c>
      <c r="C350" s="21">
        <v>1</v>
      </c>
      <c r="D350" s="21">
        <v>0</v>
      </c>
      <c r="E350" s="21">
        <v>1</v>
      </c>
      <c r="F350" s="21">
        <v>0</v>
      </c>
      <c r="G350" s="21" t="b">
        <v>0</v>
      </c>
      <c r="H350" s="21">
        <v>0</v>
      </c>
      <c r="I350" s="21">
        <v>1</v>
      </c>
      <c r="J350" s="21">
        <v>0.26</v>
      </c>
      <c r="K350" s="21">
        <v>0.30299999999999999</v>
      </c>
      <c r="L350" s="21">
        <v>0.56000000000000005</v>
      </c>
      <c r="M350" s="21">
        <v>0</v>
      </c>
      <c r="N350" s="21">
        <v>6</v>
      </c>
      <c r="O350" s="21">
        <v>33</v>
      </c>
      <c r="P350" s="21">
        <v>39</v>
      </c>
    </row>
    <row r="351" spans="1:16" x14ac:dyDescent="0.35">
      <c r="A351" s="21">
        <v>350</v>
      </c>
      <c r="B351" s="39">
        <v>40559</v>
      </c>
      <c r="C351" s="21">
        <v>1</v>
      </c>
      <c r="D351" s="21">
        <v>0</v>
      </c>
      <c r="E351" s="21">
        <v>1</v>
      </c>
      <c r="F351" s="21">
        <v>1</v>
      </c>
      <c r="G351" s="21" t="b">
        <v>0</v>
      </c>
      <c r="H351" s="21">
        <v>0</v>
      </c>
      <c r="I351" s="21">
        <v>1</v>
      </c>
      <c r="J351" s="21">
        <v>0.26</v>
      </c>
      <c r="K351" s="21">
        <v>0.2727</v>
      </c>
      <c r="L351" s="21">
        <v>0.56000000000000005</v>
      </c>
      <c r="M351" s="21">
        <v>0.1343</v>
      </c>
      <c r="N351" s="21">
        <v>4</v>
      </c>
      <c r="O351" s="21">
        <v>19</v>
      </c>
      <c r="P351" s="21">
        <v>23</v>
      </c>
    </row>
    <row r="352" spans="1:16" x14ac:dyDescent="0.35">
      <c r="A352" s="21">
        <v>351</v>
      </c>
      <c r="B352" s="39">
        <v>40559</v>
      </c>
      <c r="C352" s="21">
        <v>1</v>
      </c>
      <c r="D352" s="21">
        <v>0</v>
      </c>
      <c r="E352" s="21">
        <v>1</v>
      </c>
      <c r="F352" s="21">
        <v>2</v>
      </c>
      <c r="G352" s="21" t="b">
        <v>0</v>
      </c>
      <c r="H352" s="21">
        <v>0</v>
      </c>
      <c r="I352" s="21">
        <v>1</v>
      </c>
      <c r="J352" s="21">
        <v>0.26</v>
      </c>
      <c r="K352" s="21">
        <v>0.28789999999999999</v>
      </c>
      <c r="L352" s="21">
        <v>0.56000000000000005</v>
      </c>
      <c r="M352" s="21">
        <v>8.9599999999999999E-2</v>
      </c>
      <c r="N352" s="21">
        <v>3</v>
      </c>
      <c r="O352" s="21">
        <v>13</v>
      </c>
      <c r="P352" s="21">
        <v>16</v>
      </c>
    </row>
    <row r="353" spans="1:16" x14ac:dyDescent="0.35">
      <c r="A353" s="21">
        <v>352</v>
      </c>
      <c r="B353" s="39">
        <v>40559</v>
      </c>
      <c r="C353" s="21">
        <v>1</v>
      </c>
      <c r="D353" s="21">
        <v>0</v>
      </c>
      <c r="E353" s="21">
        <v>1</v>
      </c>
      <c r="F353" s="21">
        <v>3</v>
      </c>
      <c r="G353" s="21" t="b">
        <v>0</v>
      </c>
      <c r="H353" s="21">
        <v>0</v>
      </c>
      <c r="I353" s="21">
        <v>1</v>
      </c>
      <c r="J353" s="21">
        <v>0.22</v>
      </c>
      <c r="K353" s="21">
        <v>0.2727</v>
      </c>
      <c r="L353" s="21">
        <v>0.69</v>
      </c>
      <c r="M353" s="21">
        <v>0</v>
      </c>
      <c r="N353" s="21">
        <v>9</v>
      </c>
      <c r="O353" s="21">
        <v>6</v>
      </c>
      <c r="P353" s="21">
        <v>15</v>
      </c>
    </row>
    <row r="354" spans="1:16" x14ac:dyDescent="0.35">
      <c r="A354" s="21">
        <v>353</v>
      </c>
      <c r="B354" s="39">
        <v>40559</v>
      </c>
      <c r="C354" s="21">
        <v>1</v>
      </c>
      <c r="D354" s="21">
        <v>0</v>
      </c>
      <c r="E354" s="21">
        <v>1</v>
      </c>
      <c r="F354" s="21">
        <v>4</v>
      </c>
      <c r="G354" s="21" t="b">
        <v>0</v>
      </c>
      <c r="H354" s="21">
        <v>0</v>
      </c>
      <c r="I354" s="21">
        <v>1</v>
      </c>
      <c r="J354" s="21">
        <v>0.26</v>
      </c>
      <c r="K354" s="21">
        <v>0.2576</v>
      </c>
      <c r="L354" s="21">
        <v>0.56000000000000005</v>
      </c>
      <c r="M354" s="21">
        <v>0.16420000000000001</v>
      </c>
      <c r="N354" s="21">
        <v>0</v>
      </c>
      <c r="O354" s="21">
        <v>1</v>
      </c>
      <c r="P354" s="21">
        <v>1</v>
      </c>
    </row>
    <row r="355" spans="1:16" x14ac:dyDescent="0.35">
      <c r="A355" s="21">
        <v>354</v>
      </c>
      <c r="B355" s="39">
        <v>40559</v>
      </c>
      <c r="C355" s="21">
        <v>1</v>
      </c>
      <c r="D355" s="21">
        <v>0</v>
      </c>
      <c r="E355" s="21">
        <v>1</v>
      </c>
      <c r="F355" s="21">
        <v>5</v>
      </c>
      <c r="G355" s="21" t="b">
        <v>0</v>
      </c>
      <c r="H355" s="21">
        <v>0</v>
      </c>
      <c r="I355" s="21">
        <v>2</v>
      </c>
      <c r="J355" s="21">
        <v>0.26</v>
      </c>
      <c r="K355" s="21">
        <v>0.2576</v>
      </c>
      <c r="L355" s="21">
        <v>0.56000000000000005</v>
      </c>
      <c r="M355" s="21">
        <v>0.16420000000000001</v>
      </c>
      <c r="N355" s="21">
        <v>1</v>
      </c>
      <c r="O355" s="21">
        <v>1</v>
      </c>
      <c r="P355" s="21">
        <v>2</v>
      </c>
    </row>
    <row r="356" spans="1:16" x14ac:dyDescent="0.35">
      <c r="A356" s="21">
        <v>355</v>
      </c>
      <c r="B356" s="39">
        <v>40559</v>
      </c>
      <c r="C356" s="21">
        <v>1</v>
      </c>
      <c r="D356" s="21">
        <v>0</v>
      </c>
      <c r="E356" s="21">
        <v>1</v>
      </c>
      <c r="F356" s="21">
        <v>6</v>
      </c>
      <c r="G356" s="21" t="b">
        <v>0</v>
      </c>
      <c r="H356" s="21">
        <v>0</v>
      </c>
      <c r="I356" s="21">
        <v>2</v>
      </c>
      <c r="J356" s="21">
        <v>0.26</v>
      </c>
      <c r="K356" s="21">
        <v>0.2576</v>
      </c>
      <c r="L356" s="21">
        <v>0.56000000000000005</v>
      </c>
      <c r="M356" s="21">
        <v>0.16420000000000001</v>
      </c>
      <c r="N356" s="21">
        <v>0</v>
      </c>
      <c r="O356" s="21">
        <v>1</v>
      </c>
      <c r="P356" s="21">
        <v>1</v>
      </c>
    </row>
    <row r="357" spans="1:16" x14ac:dyDescent="0.35">
      <c r="A357" s="21">
        <v>356</v>
      </c>
      <c r="B357" s="39">
        <v>40559</v>
      </c>
      <c r="C357" s="21">
        <v>1</v>
      </c>
      <c r="D357" s="21">
        <v>0</v>
      </c>
      <c r="E357" s="21">
        <v>1</v>
      </c>
      <c r="F357" s="21">
        <v>7</v>
      </c>
      <c r="G357" s="21" t="b">
        <v>0</v>
      </c>
      <c r="H357" s="21">
        <v>0</v>
      </c>
      <c r="I357" s="21">
        <v>2</v>
      </c>
      <c r="J357" s="21">
        <v>0.24</v>
      </c>
      <c r="K357" s="21">
        <v>0.21210000000000001</v>
      </c>
      <c r="L357" s="21">
        <v>0.56000000000000005</v>
      </c>
      <c r="M357" s="21">
        <v>0.29849999999999999</v>
      </c>
      <c r="N357" s="21">
        <v>0</v>
      </c>
      <c r="O357" s="21">
        <v>3</v>
      </c>
      <c r="P357" s="21">
        <v>3</v>
      </c>
    </row>
    <row r="358" spans="1:16" x14ac:dyDescent="0.35">
      <c r="A358" s="21">
        <v>357</v>
      </c>
      <c r="B358" s="39">
        <v>40559</v>
      </c>
      <c r="C358" s="21">
        <v>1</v>
      </c>
      <c r="D358" s="21">
        <v>0</v>
      </c>
      <c r="E358" s="21">
        <v>1</v>
      </c>
      <c r="F358" s="21">
        <v>8</v>
      </c>
      <c r="G358" s="21" t="b">
        <v>0</v>
      </c>
      <c r="H358" s="21">
        <v>0</v>
      </c>
      <c r="I358" s="21">
        <v>1</v>
      </c>
      <c r="J358" s="21">
        <v>0.22</v>
      </c>
      <c r="K358" s="21">
        <v>0.21210000000000001</v>
      </c>
      <c r="L358" s="21">
        <v>0.55000000000000004</v>
      </c>
      <c r="M358" s="21">
        <v>0.28360000000000002</v>
      </c>
      <c r="N358" s="21">
        <v>0</v>
      </c>
      <c r="O358" s="21">
        <v>18</v>
      </c>
      <c r="P358" s="21">
        <v>18</v>
      </c>
    </row>
    <row r="359" spans="1:16" x14ac:dyDescent="0.35">
      <c r="A359" s="21">
        <v>358</v>
      </c>
      <c r="B359" s="39">
        <v>40559</v>
      </c>
      <c r="C359" s="21">
        <v>1</v>
      </c>
      <c r="D359" s="21">
        <v>0</v>
      </c>
      <c r="E359" s="21">
        <v>1</v>
      </c>
      <c r="F359" s="21">
        <v>9</v>
      </c>
      <c r="G359" s="21" t="b">
        <v>0</v>
      </c>
      <c r="H359" s="21">
        <v>0</v>
      </c>
      <c r="I359" s="21">
        <v>1</v>
      </c>
      <c r="J359" s="21">
        <v>0.22</v>
      </c>
      <c r="K359" s="21">
        <v>0.21210000000000001</v>
      </c>
      <c r="L359" s="21">
        <v>0.51</v>
      </c>
      <c r="M359" s="21">
        <v>0.25369999999999998</v>
      </c>
      <c r="N359" s="21">
        <v>3</v>
      </c>
      <c r="O359" s="21">
        <v>29</v>
      </c>
      <c r="P359" s="21">
        <v>32</v>
      </c>
    </row>
    <row r="360" spans="1:16" x14ac:dyDescent="0.35">
      <c r="A360" s="21">
        <v>359</v>
      </c>
      <c r="B360" s="39">
        <v>40559</v>
      </c>
      <c r="C360" s="21">
        <v>1</v>
      </c>
      <c r="D360" s="21">
        <v>0</v>
      </c>
      <c r="E360" s="21">
        <v>1</v>
      </c>
      <c r="F360" s="21">
        <v>10</v>
      </c>
      <c r="G360" s="21" t="b">
        <v>0</v>
      </c>
      <c r="H360" s="21">
        <v>0</v>
      </c>
      <c r="I360" s="21">
        <v>1</v>
      </c>
      <c r="J360" s="21">
        <v>0.22</v>
      </c>
      <c r="K360" s="21">
        <v>0.21210000000000001</v>
      </c>
      <c r="L360" s="21">
        <v>0.51</v>
      </c>
      <c r="M360" s="21">
        <v>0.28360000000000002</v>
      </c>
      <c r="N360" s="21">
        <v>8</v>
      </c>
      <c r="O360" s="21">
        <v>71</v>
      </c>
      <c r="P360" s="21">
        <v>79</v>
      </c>
    </row>
    <row r="361" spans="1:16" x14ac:dyDescent="0.35">
      <c r="A361" s="21">
        <v>360</v>
      </c>
      <c r="B361" s="39">
        <v>40559</v>
      </c>
      <c r="C361" s="21">
        <v>1</v>
      </c>
      <c r="D361" s="21">
        <v>0</v>
      </c>
      <c r="E361" s="21">
        <v>1</v>
      </c>
      <c r="F361" s="21">
        <v>11</v>
      </c>
      <c r="G361" s="21" t="b">
        <v>0</v>
      </c>
      <c r="H361" s="21">
        <v>0</v>
      </c>
      <c r="I361" s="21">
        <v>1</v>
      </c>
      <c r="J361" s="21">
        <v>0.24</v>
      </c>
      <c r="K361" s="21">
        <v>0.2273</v>
      </c>
      <c r="L361" s="21">
        <v>0.44</v>
      </c>
      <c r="M361" s="21">
        <v>0.25369999999999998</v>
      </c>
      <c r="N361" s="21">
        <v>23</v>
      </c>
      <c r="O361" s="21">
        <v>70</v>
      </c>
      <c r="P361" s="21">
        <v>93</v>
      </c>
    </row>
    <row r="362" spans="1:16" x14ac:dyDescent="0.35">
      <c r="A362" s="21">
        <v>361</v>
      </c>
      <c r="B362" s="39">
        <v>40559</v>
      </c>
      <c r="C362" s="21">
        <v>1</v>
      </c>
      <c r="D362" s="21">
        <v>0</v>
      </c>
      <c r="E362" s="21">
        <v>1</v>
      </c>
      <c r="F362" s="21">
        <v>12</v>
      </c>
      <c r="G362" s="21" t="b">
        <v>0</v>
      </c>
      <c r="H362" s="21">
        <v>0</v>
      </c>
      <c r="I362" s="21">
        <v>1</v>
      </c>
      <c r="J362" s="21">
        <v>0.24</v>
      </c>
      <c r="K362" s="21">
        <v>0.21210000000000001</v>
      </c>
      <c r="L362" s="21">
        <v>0.41</v>
      </c>
      <c r="M362" s="21">
        <v>0.28360000000000002</v>
      </c>
      <c r="N362" s="21">
        <v>29</v>
      </c>
      <c r="O362" s="21">
        <v>75</v>
      </c>
      <c r="P362" s="21">
        <v>104</v>
      </c>
    </row>
    <row r="363" spans="1:16" x14ac:dyDescent="0.35">
      <c r="A363" s="21">
        <v>362</v>
      </c>
      <c r="B363" s="39">
        <v>40559</v>
      </c>
      <c r="C363" s="21">
        <v>1</v>
      </c>
      <c r="D363" s="21">
        <v>0</v>
      </c>
      <c r="E363" s="21">
        <v>1</v>
      </c>
      <c r="F363" s="21">
        <v>13</v>
      </c>
      <c r="G363" s="21" t="b">
        <v>0</v>
      </c>
      <c r="H363" s="21">
        <v>0</v>
      </c>
      <c r="I363" s="21">
        <v>1</v>
      </c>
      <c r="J363" s="21">
        <v>0.26</v>
      </c>
      <c r="K363" s="21">
        <v>0.2273</v>
      </c>
      <c r="L363" s="21">
        <v>0.35</v>
      </c>
      <c r="M363" s="21">
        <v>0.29849999999999999</v>
      </c>
      <c r="N363" s="21">
        <v>23</v>
      </c>
      <c r="O363" s="21">
        <v>95</v>
      </c>
      <c r="P363" s="21">
        <v>118</v>
      </c>
    </row>
    <row r="364" spans="1:16" x14ac:dyDescent="0.35">
      <c r="A364" s="21">
        <v>363</v>
      </c>
      <c r="B364" s="39">
        <v>40559</v>
      </c>
      <c r="C364" s="21">
        <v>1</v>
      </c>
      <c r="D364" s="21">
        <v>0</v>
      </c>
      <c r="E364" s="21">
        <v>1</v>
      </c>
      <c r="F364" s="21">
        <v>14</v>
      </c>
      <c r="G364" s="21" t="b">
        <v>0</v>
      </c>
      <c r="H364" s="21">
        <v>0</v>
      </c>
      <c r="I364" s="21">
        <v>1</v>
      </c>
      <c r="J364" s="21">
        <v>0.28000000000000003</v>
      </c>
      <c r="K364" s="21">
        <v>0.2727</v>
      </c>
      <c r="L364" s="21">
        <v>0.36</v>
      </c>
      <c r="M364" s="21">
        <v>0.25369999999999998</v>
      </c>
      <c r="N364" s="21">
        <v>22</v>
      </c>
      <c r="O364" s="21">
        <v>69</v>
      </c>
      <c r="P364" s="21">
        <v>91</v>
      </c>
    </row>
    <row r="365" spans="1:16" x14ac:dyDescent="0.35">
      <c r="A365" s="21">
        <v>364</v>
      </c>
      <c r="B365" s="39">
        <v>40559</v>
      </c>
      <c r="C365" s="21">
        <v>1</v>
      </c>
      <c r="D365" s="21">
        <v>0</v>
      </c>
      <c r="E365" s="21">
        <v>1</v>
      </c>
      <c r="F365" s="21">
        <v>15</v>
      </c>
      <c r="G365" s="21" t="b">
        <v>0</v>
      </c>
      <c r="H365" s="21">
        <v>0</v>
      </c>
      <c r="I365" s="21">
        <v>1</v>
      </c>
      <c r="J365" s="21">
        <v>0.26</v>
      </c>
      <c r="K365" s="21">
        <v>0.2424</v>
      </c>
      <c r="L365" s="21">
        <v>0.38</v>
      </c>
      <c r="M365" s="21">
        <v>0.25369999999999998</v>
      </c>
      <c r="N365" s="21">
        <v>35</v>
      </c>
      <c r="O365" s="21">
        <v>78</v>
      </c>
      <c r="P365" s="21">
        <v>113</v>
      </c>
    </row>
    <row r="366" spans="1:16" x14ac:dyDescent="0.35">
      <c r="A366" s="21">
        <v>365</v>
      </c>
      <c r="B366" s="39">
        <v>40559</v>
      </c>
      <c r="C366" s="21">
        <v>1</v>
      </c>
      <c r="D366" s="21">
        <v>0</v>
      </c>
      <c r="E366" s="21">
        <v>1</v>
      </c>
      <c r="F366" s="21">
        <v>16</v>
      </c>
      <c r="G366" s="21" t="b">
        <v>0</v>
      </c>
      <c r="H366" s="21">
        <v>0</v>
      </c>
      <c r="I366" s="21">
        <v>1</v>
      </c>
      <c r="J366" s="21">
        <v>0.24</v>
      </c>
      <c r="K366" s="21">
        <v>0.2273</v>
      </c>
      <c r="L366" s="21">
        <v>0.38</v>
      </c>
      <c r="M366" s="21">
        <v>0.22389999999999999</v>
      </c>
      <c r="N366" s="21">
        <v>22</v>
      </c>
      <c r="O366" s="21">
        <v>77</v>
      </c>
      <c r="P366" s="21">
        <v>99</v>
      </c>
    </row>
    <row r="367" spans="1:16" x14ac:dyDescent="0.35">
      <c r="A367" s="21">
        <v>366</v>
      </c>
      <c r="B367" s="39">
        <v>40559</v>
      </c>
      <c r="C367" s="21">
        <v>1</v>
      </c>
      <c r="D367" s="21">
        <v>0</v>
      </c>
      <c r="E367" s="21">
        <v>1</v>
      </c>
      <c r="F367" s="21">
        <v>17</v>
      </c>
      <c r="G367" s="21" t="b">
        <v>0</v>
      </c>
      <c r="H367" s="21">
        <v>0</v>
      </c>
      <c r="I367" s="21">
        <v>1</v>
      </c>
      <c r="J367" s="21">
        <v>0.22</v>
      </c>
      <c r="K367" s="21">
        <v>0.21210000000000001</v>
      </c>
      <c r="L367" s="21">
        <v>0.37</v>
      </c>
      <c r="M367" s="21">
        <v>0.25369999999999998</v>
      </c>
      <c r="N367" s="21">
        <v>23</v>
      </c>
      <c r="O367" s="21">
        <v>82</v>
      </c>
      <c r="P367" s="21">
        <v>105</v>
      </c>
    </row>
    <row r="368" spans="1:16" x14ac:dyDescent="0.35">
      <c r="A368" s="21">
        <v>367</v>
      </c>
      <c r="B368" s="39">
        <v>40559</v>
      </c>
      <c r="C368" s="21">
        <v>1</v>
      </c>
      <c r="D368" s="21">
        <v>0</v>
      </c>
      <c r="E368" s="21">
        <v>1</v>
      </c>
      <c r="F368" s="21">
        <v>18</v>
      </c>
      <c r="G368" s="21" t="b">
        <v>0</v>
      </c>
      <c r="H368" s="21">
        <v>0</v>
      </c>
      <c r="I368" s="21">
        <v>1</v>
      </c>
      <c r="J368" s="21">
        <v>0.2</v>
      </c>
      <c r="K368" s="21">
        <v>0.21210000000000001</v>
      </c>
      <c r="L368" s="21">
        <v>0.4</v>
      </c>
      <c r="M368" s="21">
        <v>0.16420000000000001</v>
      </c>
      <c r="N368" s="21">
        <v>11</v>
      </c>
      <c r="O368" s="21">
        <v>56</v>
      </c>
      <c r="P368" s="21">
        <v>67</v>
      </c>
    </row>
    <row r="369" spans="1:16" x14ac:dyDescent="0.35">
      <c r="A369" s="21">
        <v>368</v>
      </c>
      <c r="B369" s="39">
        <v>40559</v>
      </c>
      <c r="C369" s="21">
        <v>1</v>
      </c>
      <c r="D369" s="21">
        <v>0</v>
      </c>
      <c r="E369" s="21">
        <v>1</v>
      </c>
      <c r="F369" s="21">
        <v>19</v>
      </c>
      <c r="G369" s="21" t="b">
        <v>0</v>
      </c>
      <c r="H369" s="21">
        <v>0</v>
      </c>
      <c r="I369" s="21">
        <v>1</v>
      </c>
      <c r="J369" s="21">
        <v>0.18</v>
      </c>
      <c r="K369" s="21">
        <v>0.19700000000000001</v>
      </c>
      <c r="L369" s="21">
        <v>0.47</v>
      </c>
      <c r="M369" s="21">
        <v>0.1343</v>
      </c>
      <c r="N369" s="21">
        <v>14</v>
      </c>
      <c r="O369" s="21">
        <v>47</v>
      </c>
      <c r="P369" s="21">
        <v>61</v>
      </c>
    </row>
    <row r="370" spans="1:16" x14ac:dyDescent="0.35">
      <c r="A370" s="21">
        <v>369</v>
      </c>
      <c r="B370" s="39">
        <v>40559</v>
      </c>
      <c r="C370" s="21">
        <v>1</v>
      </c>
      <c r="D370" s="21">
        <v>0</v>
      </c>
      <c r="E370" s="21">
        <v>1</v>
      </c>
      <c r="F370" s="21">
        <v>20</v>
      </c>
      <c r="G370" s="21" t="b">
        <v>0</v>
      </c>
      <c r="H370" s="21">
        <v>0</v>
      </c>
      <c r="I370" s="21">
        <v>1</v>
      </c>
      <c r="J370" s="21">
        <v>0.18</v>
      </c>
      <c r="K370" s="21">
        <v>0.19700000000000001</v>
      </c>
      <c r="L370" s="21">
        <v>0.47</v>
      </c>
      <c r="M370" s="21">
        <v>0.16420000000000001</v>
      </c>
      <c r="N370" s="21">
        <v>7</v>
      </c>
      <c r="O370" s="21">
        <v>50</v>
      </c>
      <c r="P370" s="21">
        <v>57</v>
      </c>
    </row>
    <row r="371" spans="1:16" x14ac:dyDescent="0.35">
      <c r="A371" s="21">
        <v>370</v>
      </c>
      <c r="B371" s="39">
        <v>40559</v>
      </c>
      <c r="C371" s="21">
        <v>1</v>
      </c>
      <c r="D371" s="21">
        <v>0</v>
      </c>
      <c r="E371" s="21">
        <v>1</v>
      </c>
      <c r="F371" s="21">
        <v>21</v>
      </c>
      <c r="G371" s="21" t="b">
        <v>0</v>
      </c>
      <c r="H371" s="21">
        <v>0</v>
      </c>
      <c r="I371" s="21">
        <v>1</v>
      </c>
      <c r="J371" s="21">
        <v>0.18</v>
      </c>
      <c r="K371" s="21">
        <v>0.19700000000000001</v>
      </c>
      <c r="L371" s="21">
        <v>0.51</v>
      </c>
      <c r="M371" s="21">
        <v>0.16420000000000001</v>
      </c>
      <c r="N371" s="21">
        <v>6</v>
      </c>
      <c r="O371" s="21">
        <v>22</v>
      </c>
      <c r="P371" s="21">
        <v>28</v>
      </c>
    </row>
    <row r="372" spans="1:16" x14ac:dyDescent="0.35">
      <c r="A372" s="21">
        <v>371</v>
      </c>
      <c r="B372" s="39">
        <v>40559</v>
      </c>
      <c r="C372" s="21">
        <v>1</v>
      </c>
      <c r="D372" s="21">
        <v>0</v>
      </c>
      <c r="E372" s="21">
        <v>1</v>
      </c>
      <c r="F372" s="21">
        <v>22</v>
      </c>
      <c r="G372" s="21" t="b">
        <v>0</v>
      </c>
      <c r="H372" s="21">
        <v>0</v>
      </c>
      <c r="I372" s="21">
        <v>2</v>
      </c>
      <c r="J372" s="21">
        <v>0.2</v>
      </c>
      <c r="K372" s="21">
        <v>0.21210000000000001</v>
      </c>
      <c r="L372" s="21">
        <v>0.49</v>
      </c>
      <c r="M372" s="21">
        <v>0.1343</v>
      </c>
      <c r="N372" s="21">
        <v>2</v>
      </c>
      <c r="O372" s="21">
        <v>19</v>
      </c>
      <c r="P372" s="21">
        <v>21</v>
      </c>
    </row>
    <row r="373" spans="1:16" x14ac:dyDescent="0.35">
      <c r="A373" s="21">
        <v>372</v>
      </c>
      <c r="B373" s="39">
        <v>40559</v>
      </c>
      <c r="C373" s="21">
        <v>1</v>
      </c>
      <c r="D373" s="21">
        <v>0</v>
      </c>
      <c r="E373" s="21">
        <v>1</v>
      </c>
      <c r="F373" s="21">
        <v>23</v>
      </c>
      <c r="G373" s="21" t="b">
        <v>0</v>
      </c>
      <c r="H373" s="21">
        <v>0</v>
      </c>
      <c r="I373" s="21">
        <v>2</v>
      </c>
      <c r="J373" s="21">
        <v>0.2</v>
      </c>
      <c r="K373" s="21">
        <v>0.2273</v>
      </c>
      <c r="L373" s="21">
        <v>0.4</v>
      </c>
      <c r="M373" s="21">
        <v>0.1045</v>
      </c>
      <c r="N373" s="21">
        <v>0</v>
      </c>
      <c r="O373" s="21">
        <v>18</v>
      </c>
      <c r="P373" s="21">
        <v>18</v>
      </c>
    </row>
    <row r="374" spans="1:16" x14ac:dyDescent="0.35">
      <c r="A374" s="21">
        <v>373</v>
      </c>
      <c r="B374" s="39">
        <v>40560</v>
      </c>
      <c r="C374" s="21">
        <v>1</v>
      </c>
      <c r="D374" s="21">
        <v>0</v>
      </c>
      <c r="E374" s="21">
        <v>1</v>
      </c>
      <c r="F374" s="21">
        <v>0</v>
      </c>
      <c r="G374" s="21" t="b">
        <v>1</v>
      </c>
      <c r="H374" s="21">
        <v>1</v>
      </c>
      <c r="I374" s="21">
        <v>2</v>
      </c>
      <c r="J374" s="21">
        <v>0.2</v>
      </c>
      <c r="K374" s="21">
        <v>0.19700000000000001</v>
      </c>
      <c r="L374" s="21">
        <v>0.47</v>
      </c>
      <c r="M374" s="21">
        <v>0.22389999999999999</v>
      </c>
      <c r="N374" s="21">
        <v>1</v>
      </c>
      <c r="O374" s="21">
        <v>16</v>
      </c>
      <c r="P374" s="21">
        <v>17</v>
      </c>
    </row>
    <row r="375" spans="1:16" x14ac:dyDescent="0.35">
      <c r="A375" s="21">
        <v>374</v>
      </c>
      <c r="B375" s="39">
        <v>40560</v>
      </c>
      <c r="C375" s="21">
        <v>1</v>
      </c>
      <c r="D375" s="21">
        <v>0</v>
      </c>
      <c r="E375" s="21">
        <v>1</v>
      </c>
      <c r="F375" s="21">
        <v>1</v>
      </c>
      <c r="G375" s="21" t="b">
        <v>1</v>
      </c>
      <c r="H375" s="21">
        <v>1</v>
      </c>
      <c r="I375" s="21">
        <v>2</v>
      </c>
      <c r="J375" s="21">
        <v>0.2</v>
      </c>
      <c r="K375" s="21">
        <v>0.19700000000000001</v>
      </c>
      <c r="L375" s="21">
        <v>0.44</v>
      </c>
      <c r="M375" s="21">
        <v>0.19400000000000001</v>
      </c>
      <c r="N375" s="21">
        <v>1</v>
      </c>
      <c r="O375" s="21">
        <v>15</v>
      </c>
      <c r="P375" s="21">
        <v>16</v>
      </c>
    </row>
    <row r="376" spans="1:16" x14ac:dyDescent="0.35">
      <c r="A376" s="21">
        <v>375</v>
      </c>
      <c r="B376" s="39">
        <v>40560</v>
      </c>
      <c r="C376" s="21">
        <v>1</v>
      </c>
      <c r="D376" s="21">
        <v>0</v>
      </c>
      <c r="E376" s="21">
        <v>1</v>
      </c>
      <c r="F376" s="21">
        <v>2</v>
      </c>
      <c r="G376" s="21" t="b">
        <v>1</v>
      </c>
      <c r="H376" s="21">
        <v>1</v>
      </c>
      <c r="I376" s="21">
        <v>2</v>
      </c>
      <c r="J376" s="21">
        <v>0.18</v>
      </c>
      <c r="K376" s="21">
        <v>0.16669999999999999</v>
      </c>
      <c r="L376" s="21">
        <v>0.43</v>
      </c>
      <c r="M376" s="21">
        <v>0.25369999999999998</v>
      </c>
      <c r="N376" s="21">
        <v>0</v>
      </c>
      <c r="O376" s="21">
        <v>8</v>
      </c>
      <c r="P376" s="21">
        <v>8</v>
      </c>
    </row>
    <row r="377" spans="1:16" x14ac:dyDescent="0.35">
      <c r="A377" s="21">
        <v>376</v>
      </c>
      <c r="B377" s="39">
        <v>40560</v>
      </c>
      <c r="C377" s="21">
        <v>1</v>
      </c>
      <c r="D377" s="21">
        <v>0</v>
      </c>
      <c r="E377" s="21">
        <v>1</v>
      </c>
      <c r="F377" s="21">
        <v>3</v>
      </c>
      <c r="G377" s="21" t="b">
        <v>1</v>
      </c>
      <c r="H377" s="21">
        <v>1</v>
      </c>
      <c r="I377" s="21">
        <v>2</v>
      </c>
      <c r="J377" s="21">
        <v>0.18</v>
      </c>
      <c r="K377" s="21">
        <v>0.18179999999999999</v>
      </c>
      <c r="L377" s="21">
        <v>0.43</v>
      </c>
      <c r="M377" s="21">
        <v>0.19400000000000001</v>
      </c>
      <c r="N377" s="21">
        <v>0</v>
      </c>
      <c r="O377" s="21">
        <v>2</v>
      </c>
      <c r="P377" s="21">
        <v>2</v>
      </c>
    </row>
    <row r="378" spans="1:16" x14ac:dyDescent="0.35">
      <c r="A378" s="21">
        <v>377</v>
      </c>
      <c r="B378" s="39">
        <v>40560</v>
      </c>
      <c r="C378" s="21">
        <v>1</v>
      </c>
      <c r="D378" s="21">
        <v>0</v>
      </c>
      <c r="E378" s="21">
        <v>1</v>
      </c>
      <c r="F378" s="21">
        <v>4</v>
      </c>
      <c r="G378" s="21" t="b">
        <v>1</v>
      </c>
      <c r="H378" s="21">
        <v>1</v>
      </c>
      <c r="I378" s="21">
        <v>2</v>
      </c>
      <c r="J378" s="21">
        <v>0.18</v>
      </c>
      <c r="K378" s="21">
        <v>0.19700000000000001</v>
      </c>
      <c r="L378" s="21">
        <v>0.43</v>
      </c>
      <c r="M378" s="21">
        <v>0.1343</v>
      </c>
      <c r="N378" s="21">
        <v>1</v>
      </c>
      <c r="O378" s="21">
        <v>2</v>
      </c>
      <c r="P378" s="21">
        <v>3</v>
      </c>
    </row>
    <row r="379" spans="1:16" x14ac:dyDescent="0.35">
      <c r="A379" s="21">
        <v>378</v>
      </c>
      <c r="B379" s="39">
        <v>40560</v>
      </c>
      <c r="C379" s="21">
        <v>1</v>
      </c>
      <c r="D379" s="21">
        <v>0</v>
      </c>
      <c r="E379" s="21">
        <v>1</v>
      </c>
      <c r="F379" s="21">
        <v>5</v>
      </c>
      <c r="G379" s="21" t="b">
        <v>1</v>
      </c>
      <c r="H379" s="21">
        <v>1</v>
      </c>
      <c r="I379" s="21">
        <v>2</v>
      </c>
      <c r="J379" s="21">
        <v>0.18</v>
      </c>
      <c r="K379" s="21">
        <v>0.19700000000000001</v>
      </c>
      <c r="L379" s="21">
        <v>0.43</v>
      </c>
      <c r="M379" s="21">
        <v>0.16420000000000001</v>
      </c>
      <c r="N379" s="21">
        <v>0</v>
      </c>
      <c r="O379" s="21">
        <v>1</v>
      </c>
      <c r="P379" s="21">
        <v>1</v>
      </c>
    </row>
    <row r="380" spans="1:16" x14ac:dyDescent="0.35">
      <c r="A380" s="21">
        <v>379</v>
      </c>
      <c r="B380" s="39">
        <v>40560</v>
      </c>
      <c r="C380" s="21">
        <v>1</v>
      </c>
      <c r="D380" s="21">
        <v>0</v>
      </c>
      <c r="E380" s="21">
        <v>1</v>
      </c>
      <c r="F380" s="21">
        <v>6</v>
      </c>
      <c r="G380" s="21" t="b">
        <v>1</v>
      </c>
      <c r="H380" s="21">
        <v>1</v>
      </c>
      <c r="I380" s="21">
        <v>2</v>
      </c>
      <c r="J380" s="21">
        <v>0.18</v>
      </c>
      <c r="K380" s="21">
        <v>0.18179999999999999</v>
      </c>
      <c r="L380" s="21">
        <v>0.43</v>
      </c>
      <c r="M380" s="21">
        <v>0.19400000000000001</v>
      </c>
      <c r="N380" s="21">
        <v>0</v>
      </c>
      <c r="O380" s="21">
        <v>5</v>
      </c>
      <c r="P380" s="21">
        <v>5</v>
      </c>
    </row>
    <row r="381" spans="1:16" x14ac:dyDescent="0.35">
      <c r="A381" s="21">
        <v>380</v>
      </c>
      <c r="B381" s="39">
        <v>40560</v>
      </c>
      <c r="C381" s="21">
        <v>1</v>
      </c>
      <c r="D381" s="21">
        <v>0</v>
      </c>
      <c r="E381" s="21">
        <v>1</v>
      </c>
      <c r="F381" s="21">
        <v>7</v>
      </c>
      <c r="G381" s="21" t="b">
        <v>1</v>
      </c>
      <c r="H381" s="21">
        <v>1</v>
      </c>
      <c r="I381" s="21">
        <v>2</v>
      </c>
      <c r="J381" s="21">
        <v>0.16</v>
      </c>
      <c r="K381" s="21">
        <v>0.18179999999999999</v>
      </c>
      <c r="L381" s="21">
        <v>0.5</v>
      </c>
      <c r="M381" s="21">
        <v>0.1343</v>
      </c>
      <c r="N381" s="21">
        <v>4</v>
      </c>
      <c r="O381" s="21">
        <v>9</v>
      </c>
      <c r="P381" s="21">
        <v>13</v>
      </c>
    </row>
    <row r="382" spans="1:16" x14ac:dyDescent="0.35">
      <c r="A382" s="21">
        <v>381</v>
      </c>
      <c r="B382" s="39">
        <v>40560</v>
      </c>
      <c r="C382" s="21">
        <v>1</v>
      </c>
      <c r="D382" s="21">
        <v>0</v>
      </c>
      <c r="E382" s="21">
        <v>1</v>
      </c>
      <c r="F382" s="21">
        <v>8</v>
      </c>
      <c r="G382" s="21" t="b">
        <v>1</v>
      </c>
      <c r="H382" s="21">
        <v>1</v>
      </c>
      <c r="I382" s="21">
        <v>2</v>
      </c>
      <c r="J382" s="21">
        <v>0.16</v>
      </c>
      <c r="K382" s="21">
        <v>0.1515</v>
      </c>
      <c r="L382" s="21">
        <v>0.47</v>
      </c>
      <c r="M382" s="21">
        <v>0.22389999999999999</v>
      </c>
      <c r="N382" s="21">
        <v>3</v>
      </c>
      <c r="O382" s="21">
        <v>30</v>
      </c>
      <c r="P382" s="21">
        <v>33</v>
      </c>
    </row>
    <row r="383" spans="1:16" x14ac:dyDescent="0.35">
      <c r="A383" s="21">
        <v>382</v>
      </c>
      <c r="B383" s="39">
        <v>40560</v>
      </c>
      <c r="C383" s="21">
        <v>1</v>
      </c>
      <c r="D383" s="21">
        <v>0</v>
      </c>
      <c r="E383" s="21">
        <v>1</v>
      </c>
      <c r="F383" s="21">
        <v>9</v>
      </c>
      <c r="G383" s="21" t="b">
        <v>1</v>
      </c>
      <c r="H383" s="21">
        <v>1</v>
      </c>
      <c r="I383" s="21">
        <v>2</v>
      </c>
      <c r="J383" s="21">
        <v>0.16</v>
      </c>
      <c r="K383" s="21">
        <v>0.1515</v>
      </c>
      <c r="L383" s="21">
        <v>0.47</v>
      </c>
      <c r="M383" s="21">
        <v>0.22389999999999999</v>
      </c>
      <c r="N383" s="21">
        <v>8</v>
      </c>
      <c r="O383" s="21">
        <v>39</v>
      </c>
      <c r="P383" s="21">
        <v>47</v>
      </c>
    </row>
    <row r="384" spans="1:16" x14ac:dyDescent="0.35">
      <c r="A384" s="21">
        <v>383</v>
      </c>
      <c r="B384" s="39">
        <v>40560</v>
      </c>
      <c r="C384" s="21">
        <v>1</v>
      </c>
      <c r="D384" s="21">
        <v>0</v>
      </c>
      <c r="E384" s="21">
        <v>1</v>
      </c>
      <c r="F384" s="21">
        <v>10</v>
      </c>
      <c r="G384" s="21" t="b">
        <v>1</v>
      </c>
      <c r="H384" s="21">
        <v>1</v>
      </c>
      <c r="I384" s="21">
        <v>2</v>
      </c>
      <c r="J384" s="21">
        <v>0.16</v>
      </c>
      <c r="K384" s="21">
        <v>0.1515</v>
      </c>
      <c r="L384" s="21">
        <v>0.5</v>
      </c>
      <c r="M384" s="21">
        <v>0.25369999999999998</v>
      </c>
      <c r="N384" s="21">
        <v>7</v>
      </c>
      <c r="O384" s="21">
        <v>50</v>
      </c>
      <c r="P384" s="21">
        <v>57</v>
      </c>
    </row>
    <row r="385" spans="1:16" x14ac:dyDescent="0.35">
      <c r="A385" s="21">
        <v>384</v>
      </c>
      <c r="B385" s="39">
        <v>40560</v>
      </c>
      <c r="C385" s="21">
        <v>1</v>
      </c>
      <c r="D385" s="21">
        <v>0</v>
      </c>
      <c r="E385" s="21">
        <v>1</v>
      </c>
      <c r="F385" s="21">
        <v>11</v>
      </c>
      <c r="G385" s="21" t="b">
        <v>1</v>
      </c>
      <c r="H385" s="21">
        <v>1</v>
      </c>
      <c r="I385" s="21">
        <v>2</v>
      </c>
      <c r="J385" s="21">
        <v>0.16</v>
      </c>
      <c r="K385" s="21">
        <v>0.1515</v>
      </c>
      <c r="L385" s="21">
        <v>0.55000000000000004</v>
      </c>
      <c r="M385" s="21">
        <v>0.19400000000000001</v>
      </c>
      <c r="N385" s="21">
        <v>9</v>
      </c>
      <c r="O385" s="21">
        <v>55</v>
      </c>
      <c r="P385" s="21">
        <v>64</v>
      </c>
    </row>
    <row r="386" spans="1:16" x14ac:dyDescent="0.35">
      <c r="A386" s="21">
        <v>385</v>
      </c>
      <c r="B386" s="39">
        <v>40560</v>
      </c>
      <c r="C386" s="21">
        <v>1</v>
      </c>
      <c r="D386" s="21">
        <v>0</v>
      </c>
      <c r="E386" s="21">
        <v>1</v>
      </c>
      <c r="F386" s="21">
        <v>12</v>
      </c>
      <c r="G386" s="21" t="b">
        <v>1</v>
      </c>
      <c r="H386" s="21">
        <v>1</v>
      </c>
      <c r="I386" s="21">
        <v>2</v>
      </c>
      <c r="J386" s="21">
        <v>0.18</v>
      </c>
      <c r="K386" s="21">
        <v>0.19700000000000001</v>
      </c>
      <c r="L386" s="21">
        <v>0.47</v>
      </c>
      <c r="M386" s="21">
        <v>0.1343</v>
      </c>
      <c r="N386" s="21">
        <v>10</v>
      </c>
      <c r="O386" s="21">
        <v>70</v>
      </c>
      <c r="P386" s="21">
        <v>80</v>
      </c>
    </row>
    <row r="387" spans="1:16" x14ac:dyDescent="0.35">
      <c r="A387" s="21">
        <v>386</v>
      </c>
      <c r="B387" s="39">
        <v>40560</v>
      </c>
      <c r="C387" s="21">
        <v>1</v>
      </c>
      <c r="D387" s="21">
        <v>0</v>
      </c>
      <c r="E387" s="21">
        <v>1</v>
      </c>
      <c r="F387" s="21">
        <v>13</v>
      </c>
      <c r="G387" s="21" t="b">
        <v>1</v>
      </c>
      <c r="H387" s="21">
        <v>1</v>
      </c>
      <c r="I387" s="21">
        <v>2</v>
      </c>
      <c r="J387" s="21">
        <v>0.18</v>
      </c>
      <c r="K387" s="21">
        <v>0.19700000000000001</v>
      </c>
      <c r="L387" s="21">
        <v>0.47</v>
      </c>
      <c r="M387" s="21">
        <v>0.1343</v>
      </c>
      <c r="N387" s="21">
        <v>13</v>
      </c>
      <c r="O387" s="21">
        <v>80</v>
      </c>
      <c r="P387" s="21">
        <v>93</v>
      </c>
    </row>
    <row r="388" spans="1:16" x14ac:dyDescent="0.35">
      <c r="A388" s="21">
        <v>387</v>
      </c>
      <c r="B388" s="39">
        <v>40560</v>
      </c>
      <c r="C388" s="21">
        <v>1</v>
      </c>
      <c r="D388" s="21">
        <v>0</v>
      </c>
      <c r="E388" s="21">
        <v>1</v>
      </c>
      <c r="F388" s="21">
        <v>14</v>
      </c>
      <c r="G388" s="21" t="b">
        <v>1</v>
      </c>
      <c r="H388" s="21">
        <v>1</v>
      </c>
      <c r="I388" s="21">
        <v>2</v>
      </c>
      <c r="J388" s="21">
        <v>0.18</v>
      </c>
      <c r="K388" s="21">
        <v>0.21210000000000001</v>
      </c>
      <c r="L388" s="21">
        <v>0.43</v>
      </c>
      <c r="M388" s="21">
        <v>0.1045</v>
      </c>
      <c r="N388" s="21">
        <v>12</v>
      </c>
      <c r="O388" s="21">
        <v>74</v>
      </c>
      <c r="P388" s="21">
        <v>86</v>
      </c>
    </row>
    <row r="389" spans="1:16" x14ac:dyDescent="0.35">
      <c r="A389" s="21">
        <v>388</v>
      </c>
      <c r="B389" s="39">
        <v>40560</v>
      </c>
      <c r="C389" s="21">
        <v>1</v>
      </c>
      <c r="D389" s="21">
        <v>0</v>
      </c>
      <c r="E389" s="21">
        <v>1</v>
      </c>
      <c r="F389" s="21">
        <v>15</v>
      </c>
      <c r="G389" s="21" t="b">
        <v>1</v>
      </c>
      <c r="H389" s="21">
        <v>1</v>
      </c>
      <c r="I389" s="21">
        <v>2</v>
      </c>
      <c r="J389" s="21">
        <v>0.2</v>
      </c>
      <c r="K389" s="21">
        <v>0.21210000000000001</v>
      </c>
      <c r="L389" s="21">
        <v>0.47</v>
      </c>
      <c r="M389" s="21">
        <v>0.16420000000000001</v>
      </c>
      <c r="N389" s="21">
        <v>21</v>
      </c>
      <c r="O389" s="21">
        <v>72</v>
      </c>
      <c r="P389" s="21">
        <v>93</v>
      </c>
    </row>
    <row r="390" spans="1:16" x14ac:dyDescent="0.35">
      <c r="A390" s="21">
        <v>389</v>
      </c>
      <c r="B390" s="39">
        <v>40560</v>
      </c>
      <c r="C390" s="21">
        <v>1</v>
      </c>
      <c r="D390" s="21">
        <v>0</v>
      </c>
      <c r="E390" s="21">
        <v>1</v>
      </c>
      <c r="F390" s="21">
        <v>16</v>
      </c>
      <c r="G390" s="21" t="b">
        <v>1</v>
      </c>
      <c r="H390" s="21">
        <v>1</v>
      </c>
      <c r="I390" s="21">
        <v>2</v>
      </c>
      <c r="J390" s="21">
        <v>0.2</v>
      </c>
      <c r="K390" s="21">
        <v>0.21210000000000001</v>
      </c>
      <c r="L390" s="21">
        <v>0.47</v>
      </c>
      <c r="M390" s="21">
        <v>0.16420000000000001</v>
      </c>
      <c r="N390" s="21">
        <v>6</v>
      </c>
      <c r="O390" s="21">
        <v>76</v>
      </c>
      <c r="P390" s="21">
        <v>82</v>
      </c>
    </row>
    <row r="391" spans="1:16" x14ac:dyDescent="0.35">
      <c r="A391" s="21">
        <v>390</v>
      </c>
      <c r="B391" s="39">
        <v>40560</v>
      </c>
      <c r="C391" s="21">
        <v>1</v>
      </c>
      <c r="D391" s="21">
        <v>0</v>
      </c>
      <c r="E391" s="21">
        <v>1</v>
      </c>
      <c r="F391" s="21">
        <v>17</v>
      </c>
      <c r="G391" s="21" t="b">
        <v>1</v>
      </c>
      <c r="H391" s="21">
        <v>1</v>
      </c>
      <c r="I391" s="21">
        <v>1</v>
      </c>
      <c r="J391" s="21">
        <v>0.2</v>
      </c>
      <c r="K391" s="21">
        <v>0.19700000000000001</v>
      </c>
      <c r="L391" s="21">
        <v>0.51</v>
      </c>
      <c r="M391" s="21">
        <v>0.19400000000000001</v>
      </c>
      <c r="N391" s="21">
        <v>4</v>
      </c>
      <c r="O391" s="21">
        <v>67</v>
      </c>
      <c r="P391" s="21">
        <v>71</v>
      </c>
    </row>
    <row r="392" spans="1:16" x14ac:dyDescent="0.35">
      <c r="A392" s="21">
        <v>391</v>
      </c>
      <c r="B392" s="39">
        <v>40560</v>
      </c>
      <c r="C392" s="21">
        <v>1</v>
      </c>
      <c r="D392" s="21">
        <v>0</v>
      </c>
      <c r="E392" s="21">
        <v>1</v>
      </c>
      <c r="F392" s="21">
        <v>18</v>
      </c>
      <c r="G392" s="21" t="b">
        <v>1</v>
      </c>
      <c r="H392" s="21">
        <v>1</v>
      </c>
      <c r="I392" s="21">
        <v>2</v>
      </c>
      <c r="J392" s="21">
        <v>0.18</v>
      </c>
      <c r="K392" s="21">
        <v>0.16669999999999999</v>
      </c>
      <c r="L392" s="21">
        <v>0.55000000000000004</v>
      </c>
      <c r="M392" s="21">
        <v>0.25369999999999998</v>
      </c>
      <c r="N392" s="21">
        <v>7</v>
      </c>
      <c r="O392" s="21">
        <v>85</v>
      </c>
      <c r="P392" s="21">
        <v>92</v>
      </c>
    </row>
    <row r="393" spans="1:16" x14ac:dyDescent="0.35">
      <c r="A393" s="21">
        <v>392</v>
      </c>
      <c r="B393" s="39">
        <v>40560</v>
      </c>
      <c r="C393" s="21">
        <v>1</v>
      </c>
      <c r="D393" s="21">
        <v>0</v>
      </c>
      <c r="E393" s="21">
        <v>1</v>
      </c>
      <c r="F393" s="21">
        <v>19</v>
      </c>
      <c r="G393" s="21" t="b">
        <v>1</v>
      </c>
      <c r="H393" s="21">
        <v>1</v>
      </c>
      <c r="I393" s="21">
        <v>3</v>
      </c>
      <c r="J393" s="21">
        <v>0.18</v>
      </c>
      <c r="K393" s="21">
        <v>0.18179999999999999</v>
      </c>
      <c r="L393" s="21">
        <v>0.59</v>
      </c>
      <c r="M393" s="21">
        <v>0.19400000000000001</v>
      </c>
      <c r="N393" s="21">
        <v>2</v>
      </c>
      <c r="O393" s="21">
        <v>58</v>
      </c>
      <c r="P393" s="21">
        <v>60</v>
      </c>
    </row>
    <row r="394" spans="1:16" x14ac:dyDescent="0.35">
      <c r="A394" s="21">
        <v>393</v>
      </c>
      <c r="B394" s="39">
        <v>40560</v>
      </c>
      <c r="C394" s="21">
        <v>1</v>
      </c>
      <c r="D394" s="21">
        <v>0</v>
      </c>
      <c r="E394" s="21">
        <v>1</v>
      </c>
      <c r="F394" s="21">
        <v>20</v>
      </c>
      <c r="G394" s="21" t="b">
        <v>1</v>
      </c>
      <c r="H394" s="21">
        <v>1</v>
      </c>
      <c r="I394" s="21">
        <v>3</v>
      </c>
      <c r="J394" s="21">
        <v>0.16</v>
      </c>
      <c r="K394" s="21">
        <v>0.1515</v>
      </c>
      <c r="L394" s="21">
        <v>0.8</v>
      </c>
      <c r="M394" s="21">
        <v>0.19400000000000001</v>
      </c>
      <c r="N394" s="21">
        <v>4</v>
      </c>
      <c r="O394" s="21">
        <v>29</v>
      </c>
      <c r="P394" s="21">
        <v>33</v>
      </c>
    </row>
    <row r="395" spans="1:16" x14ac:dyDescent="0.35">
      <c r="A395" s="21">
        <v>394</v>
      </c>
      <c r="B395" s="39">
        <v>40560</v>
      </c>
      <c r="C395" s="21">
        <v>1</v>
      </c>
      <c r="D395" s="21">
        <v>0</v>
      </c>
      <c r="E395" s="21">
        <v>1</v>
      </c>
      <c r="F395" s="21">
        <v>21</v>
      </c>
      <c r="G395" s="21" t="b">
        <v>1</v>
      </c>
      <c r="H395" s="21">
        <v>1</v>
      </c>
      <c r="I395" s="21">
        <v>3</v>
      </c>
      <c r="J395" s="21">
        <v>0.16</v>
      </c>
      <c r="K395" s="21">
        <v>0.1515</v>
      </c>
      <c r="L395" s="21">
        <v>0.8</v>
      </c>
      <c r="M395" s="21">
        <v>0.19400000000000001</v>
      </c>
      <c r="N395" s="21">
        <v>3</v>
      </c>
      <c r="O395" s="21">
        <v>24</v>
      </c>
      <c r="P395" s="21">
        <v>27</v>
      </c>
    </row>
    <row r="396" spans="1:16" x14ac:dyDescent="0.35">
      <c r="A396" s="21">
        <v>395</v>
      </c>
      <c r="B396" s="39">
        <v>40560</v>
      </c>
      <c r="C396" s="21">
        <v>1</v>
      </c>
      <c r="D396" s="21">
        <v>0</v>
      </c>
      <c r="E396" s="21">
        <v>1</v>
      </c>
      <c r="F396" s="21">
        <v>22</v>
      </c>
      <c r="G396" s="21" t="b">
        <v>1</v>
      </c>
      <c r="H396" s="21">
        <v>1</v>
      </c>
      <c r="I396" s="21">
        <v>3</v>
      </c>
      <c r="J396" s="21">
        <v>0.14000000000000001</v>
      </c>
      <c r="K396" s="21">
        <v>0.1212</v>
      </c>
      <c r="L396" s="21">
        <v>0.93</v>
      </c>
      <c r="M396" s="21">
        <v>0.25369999999999998</v>
      </c>
      <c r="N396" s="21">
        <v>0</v>
      </c>
      <c r="O396" s="21">
        <v>13</v>
      </c>
      <c r="P396" s="21">
        <v>13</v>
      </c>
    </row>
    <row r="397" spans="1:16" x14ac:dyDescent="0.35">
      <c r="A397" s="21">
        <v>396</v>
      </c>
      <c r="B397" s="39">
        <v>40560</v>
      </c>
      <c r="C397" s="21">
        <v>1</v>
      </c>
      <c r="D397" s="21">
        <v>0</v>
      </c>
      <c r="E397" s="21">
        <v>1</v>
      </c>
      <c r="F397" s="21">
        <v>23</v>
      </c>
      <c r="G397" s="21" t="b">
        <v>1</v>
      </c>
      <c r="H397" s="21">
        <v>1</v>
      </c>
      <c r="I397" s="21">
        <v>3</v>
      </c>
      <c r="J397" s="21">
        <v>0.16</v>
      </c>
      <c r="K397" s="21">
        <v>0.13639999999999999</v>
      </c>
      <c r="L397" s="21">
        <v>0.86</v>
      </c>
      <c r="M397" s="21">
        <v>0.28360000000000002</v>
      </c>
      <c r="N397" s="21">
        <v>1</v>
      </c>
      <c r="O397" s="21">
        <v>3</v>
      </c>
      <c r="P397" s="21">
        <v>4</v>
      </c>
    </row>
    <row r="398" spans="1:16" x14ac:dyDescent="0.35">
      <c r="A398" s="21">
        <v>397</v>
      </c>
      <c r="B398" s="39">
        <v>40561</v>
      </c>
      <c r="C398" s="21">
        <v>1</v>
      </c>
      <c r="D398" s="21">
        <v>0</v>
      </c>
      <c r="E398" s="21">
        <v>1</v>
      </c>
      <c r="F398" s="21">
        <v>12</v>
      </c>
      <c r="G398" s="21" t="b">
        <v>0</v>
      </c>
      <c r="H398" s="21">
        <v>2</v>
      </c>
      <c r="I398" s="21">
        <v>2</v>
      </c>
      <c r="J398" s="21">
        <v>0.2</v>
      </c>
      <c r="K398" s="21">
        <v>0.18179999999999999</v>
      </c>
      <c r="L398" s="21">
        <v>0.86</v>
      </c>
      <c r="M398" s="21">
        <v>0.32840000000000003</v>
      </c>
      <c r="N398" s="21">
        <v>0</v>
      </c>
      <c r="O398" s="21">
        <v>3</v>
      </c>
      <c r="P398" s="21">
        <v>3</v>
      </c>
    </row>
    <row r="399" spans="1:16" x14ac:dyDescent="0.35">
      <c r="A399" s="21">
        <v>398</v>
      </c>
      <c r="B399" s="39">
        <v>40561</v>
      </c>
      <c r="C399" s="21">
        <v>1</v>
      </c>
      <c r="D399" s="21">
        <v>0</v>
      </c>
      <c r="E399" s="21">
        <v>1</v>
      </c>
      <c r="F399" s="21">
        <v>13</v>
      </c>
      <c r="G399" s="21" t="b">
        <v>0</v>
      </c>
      <c r="H399" s="21">
        <v>2</v>
      </c>
      <c r="I399" s="21">
        <v>2</v>
      </c>
      <c r="J399" s="21">
        <v>0.2</v>
      </c>
      <c r="K399" s="21">
        <v>0.19700000000000001</v>
      </c>
      <c r="L399" s="21">
        <v>0.86</v>
      </c>
      <c r="M399" s="21">
        <v>0.22389999999999999</v>
      </c>
      <c r="N399" s="21">
        <v>0</v>
      </c>
      <c r="O399" s="21">
        <v>22</v>
      </c>
      <c r="P399" s="21">
        <v>22</v>
      </c>
    </row>
    <row r="400" spans="1:16" x14ac:dyDescent="0.35">
      <c r="A400" s="21">
        <v>399</v>
      </c>
      <c r="B400" s="39">
        <v>40561</v>
      </c>
      <c r="C400" s="21">
        <v>1</v>
      </c>
      <c r="D400" s="21">
        <v>0</v>
      </c>
      <c r="E400" s="21">
        <v>1</v>
      </c>
      <c r="F400" s="21">
        <v>14</v>
      </c>
      <c r="G400" s="21" t="b">
        <v>0</v>
      </c>
      <c r="H400" s="21">
        <v>2</v>
      </c>
      <c r="I400" s="21">
        <v>2</v>
      </c>
      <c r="J400" s="21">
        <v>0.22</v>
      </c>
      <c r="K400" s="21">
        <v>0.2273</v>
      </c>
      <c r="L400" s="21">
        <v>0.8</v>
      </c>
      <c r="M400" s="21">
        <v>0.16420000000000001</v>
      </c>
      <c r="N400" s="21">
        <v>2</v>
      </c>
      <c r="O400" s="21">
        <v>26</v>
      </c>
      <c r="P400" s="21">
        <v>28</v>
      </c>
    </row>
    <row r="401" spans="1:16" x14ac:dyDescent="0.35">
      <c r="A401" s="21">
        <v>400</v>
      </c>
      <c r="B401" s="39">
        <v>40561</v>
      </c>
      <c r="C401" s="21">
        <v>1</v>
      </c>
      <c r="D401" s="21">
        <v>0</v>
      </c>
      <c r="E401" s="21">
        <v>1</v>
      </c>
      <c r="F401" s="21">
        <v>15</v>
      </c>
      <c r="G401" s="21" t="b">
        <v>0</v>
      </c>
      <c r="H401" s="21">
        <v>2</v>
      </c>
      <c r="I401" s="21">
        <v>2</v>
      </c>
      <c r="J401" s="21">
        <v>0.22</v>
      </c>
      <c r="K401" s="21">
        <v>0.2273</v>
      </c>
      <c r="L401" s="21">
        <v>0.87</v>
      </c>
      <c r="M401" s="21">
        <v>0.16420000000000001</v>
      </c>
      <c r="N401" s="21">
        <v>3</v>
      </c>
      <c r="O401" s="21">
        <v>32</v>
      </c>
      <c r="P401" s="21">
        <v>35</v>
      </c>
    </row>
    <row r="402" spans="1:16" x14ac:dyDescent="0.35">
      <c r="A402" s="21">
        <v>401</v>
      </c>
      <c r="B402" s="39">
        <v>40561</v>
      </c>
      <c r="C402" s="21">
        <v>1</v>
      </c>
      <c r="D402" s="21">
        <v>0</v>
      </c>
      <c r="E402" s="21">
        <v>1</v>
      </c>
      <c r="F402" s="21">
        <v>16</v>
      </c>
      <c r="G402" s="21" t="b">
        <v>0</v>
      </c>
      <c r="H402" s="21">
        <v>2</v>
      </c>
      <c r="I402" s="21">
        <v>2</v>
      </c>
      <c r="J402" s="21">
        <v>0.22</v>
      </c>
      <c r="K402" s="21">
        <v>0.2273</v>
      </c>
      <c r="L402" s="21">
        <v>0.87</v>
      </c>
      <c r="M402" s="21">
        <v>0.19400000000000001</v>
      </c>
      <c r="N402" s="21">
        <v>0</v>
      </c>
      <c r="O402" s="21">
        <v>61</v>
      </c>
      <c r="P402" s="21">
        <v>61</v>
      </c>
    </row>
    <row r="403" spans="1:16" x14ac:dyDescent="0.35">
      <c r="A403" s="21">
        <v>402</v>
      </c>
      <c r="B403" s="39">
        <v>40561</v>
      </c>
      <c r="C403" s="21">
        <v>1</v>
      </c>
      <c r="D403" s="21">
        <v>0</v>
      </c>
      <c r="E403" s="21">
        <v>1</v>
      </c>
      <c r="F403" s="21">
        <v>17</v>
      </c>
      <c r="G403" s="21" t="b">
        <v>0</v>
      </c>
      <c r="H403" s="21">
        <v>2</v>
      </c>
      <c r="I403" s="21">
        <v>2</v>
      </c>
      <c r="J403" s="21">
        <v>0.22</v>
      </c>
      <c r="K403" s="21">
        <v>0.2273</v>
      </c>
      <c r="L403" s="21">
        <v>0.82</v>
      </c>
      <c r="M403" s="21">
        <v>0.19400000000000001</v>
      </c>
      <c r="N403" s="21">
        <v>1</v>
      </c>
      <c r="O403" s="21">
        <v>124</v>
      </c>
      <c r="P403" s="21">
        <v>125</v>
      </c>
    </row>
    <row r="404" spans="1:16" x14ac:dyDescent="0.35">
      <c r="A404" s="21">
        <v>403</v>
      </c>
      <c r="B404" s="39">
        <v>40561</v>
      </c>
      <c r="C404" s="21">
        <v>1</v>
      </c>
      <c r="D404" s="21">
        <v>0</v>
      </c>
      <c r="E404" s="21">
        <v>1</v>
      </c>
      <c r="F404" s="21">
        <v>18</v>
      </c>
      <c r="G404" s="21" t="b">
        <v>0</v>
      </c>
      <c r="H404" s="21">
        <v>2</v>
      </c>
      <c r="I404" s="21">
        <v>2</v>
      </c>
      <c r="J404" s="21">
        <v>0.22</v>
      </c>
      <c r="K404" s="21">
        <v>0.2273</v>
      </c>
      <c r="L404" s="21">
        <v>0.8</v>
      </c>
      <c r="M404" s="21">
        <v>0.16420000000000001</v>
      </c>
      <c r="N404" s="21">
        <v>1</v>
      </c>
      <c r="O404" s="21">
        <v>132</v>
      </c>
      <c r="P404" s="21">
        <v>133</v>
      </c>
    </row>
    <row r="405" spans="1:16" x14ac:dyDescent="0.35">
      <c r="A405" s="21">
        <v>404</v>
      </c>
      <c r="B405" s="39">
        <v>40561</v>
      </c>
      <c r="C405" s="21">
        <v>1</v>
      </c>
      <c r="D405" s="21">
        <v>0</v>
      </c>
      <c r="E405" s="21">
        <v>1</v>
      </c>
      <c r="F405" s="21">
        <v>19</v>
      </c>
      <c r="G405" s="21" t="b">
        <v>0</v>
      </c>
      <c r="H405" s="21">
        <v>2</v>
      </c>
      <c r="I405" s="21">
        <v>2</v>
      </c>
      <c r="J405" s="21">
        <v>0.22</v>
      </c>
      <c r="K405" s="21">
        <v>0.2273</v>
      </c>
      <c r="L405" s="21">
        <v>0.8</v>
      </c>
      <c r="M405" s="21">
        <v>0.1343</v>
      </c>
      <c r="N405" s="21">
        <v>1</v>
      </c>
      <c r="O405" s="21">
        <v>98</v>
      </c>
      <c r="P405" s="21">
        <v>99</v>
      </c>
    </row>
    <row r="406" spans="1:16" x14ac:dyDescent="0.35">
      <c r="A406" s="21">
        <v>405</v>
      </c>
      <c r="B406" s="39">
        <v>40561</v>
      </c>
      <c r="C406" s="21">
        <v>1</v>
      </c>
      <c r="D406" s="21">
        <v>0</v>
      </c>
      <c r="E406" s="21">
        <v>1</v>
      </c>
      <c r="F406" s="21">
        <v>20</v>
      </c>
      <c r="G406" s="21" t="b">
        <v>0</v>
      </c>
      <c r="H406" s="21">
        <v>2</v>
      </c>
      <c r="I406" s="21">
        <v>2</v>
      </c>
      <c r="J406" s="21">
        <v>0.22</v>
      </c>
      <c r="K406" s="21">
        <v>0.2727</v>
      </c>
      <c r="L406" s="21">
        <v>0.87</v>
      </c>
      <c r="M406" s="21">
        <v>0</v>
      </c>
      <c r="N406" s="21">
        <v>0</v>
      </c>
      <c r="O406" s="21">
        <v>83</v>
      </c>
      <c r="P406" s="21">
        <v>83</v>
      </c>
    </row>
    <row r="407" spans="1:16" x14ac:dyDescent="0.35">
      <c r="A407" s="21">
        <v>406</v>
      </c>
      <c r="B407" s="39">
        <v>40561</v>
      </c>
      <c r="C407" s="21">
        <v>1</v>
      </c>
      <c r="D407" s="21">
        <v>0</v>
      </c>
      <c r="E407" s="21">
        <v>1</v>
      </c>
      <c r="F407" s="21">
        <v>21</v>
      </c>
      <c r="G407" s="21" t="b">
        <v>0</v>
      </c>
      <c r="H407" s="21">
        <v>2</v>
      </c>
      <c r="I407" s="21">
        <v>2</v>
      </c>
      <c r="J407" s="21">
        <v>0.22</v>
      </c>
      <c r="K407" s="21">
        <v>0.2424</v>
      </c>
      <c r="L407" s="21">
        <v>0.93</v>
      </c>
      <c r="M407" s="21">
        <v>0.1045</v>
      </c>
      <c r="N407" s="21">
        <v>0</v>
      </c>
      <c r="O407" s="21">
        <v>41</v>
      </c>
      <c r="P407" s="21">
        <v>41</v>
      </c>
    </row>
    <row r="408" spans="1:16" x14ac:dyDescent="0.35">
      <c r="A408" s="21">
        <v>407</v>
      </c>
      <c r="B408" s="39">
        <v>40561</v>
      </c>
      <c r="C408" s="21">
        <v>1</v>
      </c>
      <c r="D408" s="21">
        <v>0</v>
      </c>
      <c r="E408" s="21">
        <v>1</v>
      </c>
      <c r="F408" s="21">
        <v>22</v>
      </c>
      <c r="G408" s="21" t="b">
        <v>0</v>
      </c>
      <c r="H408" s="21">
        <v>2</v>
      </c>
      <c r="I408" s="21">
        <v>2</v>
      </c>
      <c r="J408" s="21">
        <v>0.22</v>
      </c>
      <c r="K408" s="21">
        <v>0.2576</v>
      </c>
      <c r="L408" s="21">
        <v>0.93</v>
      </c>
      <c r="M408" s="21">
        <v>8.9599999999999999E-2</v>
      </c>
      <c r="N408" s="21">
        <v>0</v>
      </c>
      <c r="O408" s="21">
        <v>33</v>
      </c>
      <c r="P408" s="21">
        <v>33</v>
      </c>
    </row>
    <row r="409" spans="1:16" x14ac:dyDescent="0.35">
      <c r="A409" s="21">
        <v>408</v>
      </c>
      <c r="B409" s="39">
        <v>40561</v>
      </c>
      <c r="C409" s="21">
        <v>1</v>
      </c>
      <c r="D409" s="21">
        <v>0</v>
      </c>
      <c r="E409" s="21">
        <v>1</v>
      </c>
      <c r="F409" s="21">
        <v>23</v>
      </c>
      <c r="G409" s="21" t="b">
        <v>0</v>
      </c>
      <c r="H409" s="21">
        <v>2</v>
      </c>
      <c r="I409" s="21">
        <v>2</v>
      </c>
      <c r="J409" s="21">
        <v>0.22</v>
      </c>
      <c r="K409" s="21">
        <v>0.2727</v>
      </c>
      <c r="L409" s="21">
        <v>0.93</v>
      </c>
      <c r="M409" s="21">
        <v>0</v>
      </c>
      <c r="N409" s="21">
        <v>1</v>
      </c>
      <c r="O409" s="21">
        <v>19</v>
      </c>
      <c r="P409" s="21">
        <v>20</v>
      </c>
    </row>
    <row r="410" spans="1:16" x14ac:dyDescent="0.35">
      <c r="A410" s="21">
        <v>409</v>
      </c>
      <c r="B410" s="39">
        <v>40562</v>
      </c>
      <c r="C410" s="21">
        <v>1</v>
      </c>
      <c r="D410" s="21">
        <v>0</v>
      </c>
      <c r="E410" s="21">
        <v>1</v>
      </c>
      <c r="F410" s="21">
        <v>0</v>
      </c>
      <c r="G410" s="21" t="b">
        <v>0</v>
      </c>
      <c r="H410" s="21">
        <v>3</v>
      </c>
      <c r="I410" s="21">
        <v>2</v>
      </c>
      <c r="J410" s="21">
        <v>0.22</v>
      </c>
      <c r="K410" s="21">
        <v>0.2727</v>
      </c>
      <c r="L410" s="21">
        <v>0.93</v>
      </c>
      <c r="M410" s="21">
        <v>0</v>
      </c>
      <c r="N410" s="21">
        <v>0</v>
      </c>
      <c r="O410" s="21">
        <v>3</v>
      </c>
      <c r="P410" s="21">
        <v>3</v>
      </c>
    </row>
    <row r="411" spans="1:16" x14ac:dyDescent="0.35">
      <c r="A411" s="21">
        <v>410</v>
      </c>
      <c r="B411" s="39">
        <v>40562</v>
      </c>
      <c r="C411" s="21">
        <v>1</v>
      </c>
      <c r="D411" s="21">
        <v>0</v>
      </c>
      <c r="E411" s="21">
        <v>1</v>
      </c>
      <c r="F411" s="21">
        <v>1</v>
      </c>
      <c r="G411" s="21" t="b">
        <v>0</v>
      </c>
      <c r="H411" s="21">
        <v>3</v>
      </c>
      <c r="I411" s="21">
        <v>3</v>
      </c>
      <c r="J411" s="21">
        <v>0.22</v>
      </c>
      <c r="K411" s="21">
        <v>0.2273</v>
      </c>
      <c r="L411" s="21">
        <v>0.93</v>
      </c>
      <c r="M411" s="21">
        <v>0.1343</v>
      </c>
      <c r="N411" s="21">
        <v>1</v>
      </c>
      <c r="O411" s="21">
        <v>6</v>
      </c>
      <c r="P411" s="21">
        <v>7</v>
      </c>
    </row>
    <row r="412" spans="1:16" x14ac:dyDescent="0.35">
      <c r="A412" s="21">
        <v>411</v>
      </c>
      <c r="B412" s="39">
        <v>40562</v>
      </c>
      <c r="C412" s="21">
        <v>1</v>
      </c>
      <c r="D412" s="21">
        <v>0</v>
      </c>
      <c r="E412" s="21">
        <v>1</v>
      </c>
      <c r="F412" s="21">
        <v>2</v>
      </c>
      <c r="G412" s="21" t="b">
        <v>0</v>
      </c>
      <c r="H412" s="21">
        <v>3</v>
      </c>
      <c r="I412" s="21">
        <v>3</v>
      </c>
      <c r="J412" s="21">
        <v>0.22</v>
      </c>
      <c r="K412" s="21">
        <v>0.2273</v>
      </c>
      <c r="L412" s="21">
        <v>0.93</v>
      </c>
      <c r="M412" s="21">
        <v>0.1343</v>
      </c>
      <c r="N412" s="21">
        <v>0</v>
      </c>
      <c r="O412" s="21">
        <v>3</v>
      </c>
      <c r="P412" s="21">
        <v>3</v>
      </c>
    </row>
    <row r="413" spans="1:16" x14ac:dyDescent="0.35">
      <c r="A413" s="21">
        <v>412</v>
      </c>
      <c r="B413" s="39">
        <v>40562</v>
      </c>
      <c r="C413" s="21">
        <v>1</v>
      </c>
      <c r="D413" s="21">
        <v>0</v>
      </c>
      <c r="E413" s="21">
        <v>1</v>
      </c>
      <c r="F413" s="21">
        <v>4</v>
      </c>
      <c r="G413" s="21" t="b">
        <v>0</v>
      </c>
      <c r="H413" s="21">
        <v>3</v>
      </c>
      <c r="I413" s="21">
        <v>3</v>
      </c>
      <c r="J413" s="21">
        <v>0.22</v>
      </c>
      <c r="K413" s="21">
        <v>0.2273</v>
      </c>
      <c r="L413" s="21">
        <v>0.93</v>
      </c>
      <c r="M413" s="21">
        <v>0.1343</v>
      </c>
      <c r="N413" s="21">
        <v>1</v>
      </c>
      <c r="O413" s="21">
        <v>1</v>
      </c>
      <c r="P413" s="21">
        <v>2</v>
      </c>
    </row>
    <row r="414" spans="1:16" x14ac:dyDescent="0.35">
      <c r="A414" s="21">
        <v>413</v>
      </c>
      <c r="B414" s="39">
        <v>40562</v>
      </c>
      <c r="C414" s="21">
        <v>1</v>
      </c>
      <c r="D414" s="21">
        <v>0</v>
      </c>
      <c r="E414" s="21">
        <v>1</v>
      </c>
      <c r="F414" s="21">
        <v>5</v>
      </c>
      <c r="G414" s="21" t="b">
        <v>0</v>
      </c>
      <c r="H414" s="21">
        <v>3</v>
      </c>
      <c r="I414" s="21">
        <v>2</v>
      </c>
      <c r="J414" s="21">
        <v>0.22</v>
      </c>
      <c r="K414" s="21">
        <v>0.2576</v>
      </c>
      <c r="L414" s="21">
        <v>0.93</v>
      </c>
      <c r="M414" s="21">
        <v>8.9599999999999999E-2</v>
      </c>
      <c r="N414" s="21">
        <v>0</v>
      </c>
      <c r="O414" s="21">
        <v>7</v>
      </c>
      <c r="P414" s="21">
        <v>7</v>
      </c>
    </row>
    <row r="415" spans="1:16" x14ac:dyDescent="0.35">
      <c r="A415" s="21">
        <v>414</v>
      </c>
      <c r="B415" s="39">
        <v>40562</v>
      </c>
      <c r="C415" s="21">
        <v>1</v>
      </c>
      <c r="D415" s="21">
        <v>0</v>
      </c>
      <c r="E415" s="21">
        <v>1</v>
      </c>
      <c r="F415" s="21">
        <v>6</v>
      </c>
      <c r="G415" s="21" t="b">
        <v>0</v>
      </c>
      <c r="H415" s="21">
        <v>3</v>
      </c>
      <c r="I415" s="21">
        <v>2</v>
      </c>
      <c r="J415" s="21">
        <v>0.22</v>
      </c>
      <c r="K415" s="21">
        <v>0.2576</v>
      </c>
      <c r="L415" s="21">
        <v>0.93</v>
      </c>
      <c r="M415" s="21">
        <v>8.9599999999999999E-2</v>
      </c>
      <c r="N415" s="21">
        <v>0</v>
      </c>
      <c r="O415" s="21">
        <v>32</v>
      </c>
      <c r="P415" s="21">
        <v>32</v>
      </c>
    </row>
    <row r="416" spans="1:16" x14ac:dyDescent="0.35">
      <c r="A416" s="21">
        <v>415</v>
      </c>
      <c r="B416" s="39">
        <v>40562</v>
      </c>
      <c r="C416" s="21">
        <v>1</v>
      </c>
      <c r="D416" s="21">
        <v>0</v>
      </c>
      <c r="E416" s="21">
        <v>1</v>
      </c>
      <c r="F416" s="21">
        <v>7</v>
      </c>
      <c r="G416" s="21" t="b">
        <v>0</v>
      </c>
      <c r="H416" s="21">
        <v>3</v>
      </c>
      <c r="I416" s="21">
        <v>2</v>
      </c>
      <c r="J416" s="21">
        <v>0.24</v>
      </c>
      <c r="K416" s="21">
        <v>0.2576</v>
      </c>
      <c r="L416" s="21">
        <v>0.92</v>
      </c>
      <c r="M416" s="21">
        <v>0.1045</v>
      </c>
      <c r="N416" s="21">
        <v>1</v>
      </c>
      <c r="O416" s="21">
        <v>89</v>
      </c>
      <c r="P416" s="21">
        <v>90</v>
      </c>
    </row>
    <row r="417" spans="1:16" x14ac:dyDescent="0.35">
      <c r="A417" s="21">
        <v>416</v>
      </c>
      <c r="B417" s="39">
        <v>40562</v>
      </c>
      <c r="C417" s="21">
        <v>1</v>
      </c>
      <c r="D417" s="21">
        <v>0</v>
      </c>
      <c r="E417" s="21">
        <v>1</v>
      </c>
      <c r="F417" s="21">
        <v>8</v>
      </c>
      <c r="G417" s="21" t="b">
        <v>0</v>
      </c>
      <c r="H417" s="21">
        <v>3</v>
      </c>
      <c r="I417" s="21">
        <v>2</v>
      </c>
      <c r="J417" s="21">
        <v>0.24</v>
      </c>
      <c r="K417" s="21">
        <v>0.2576</v>
      </c>
      <c r="L417" s="21">
        <v>0.93</v>
      </c>
      <c r="M417" s="21">
        <v>0.1045</v>
      </c>
      <c r="N417" s="21">
        <v>1</v>
      </c>
      <c r="O417" s="21">
        <v>196</v>
      </c>
      <c r="P417" s="21">
        <v>197</v>
      </c>
    </row>
    <row r="418" spans="1:16" x14ac:dyDescent="0.35">
      <c r="A418" s="21">
        <v>417</v>
      </c>
      <c r="B418" s="39">
        <v>40562</v>
      </c>
      <c r="C418" s="21">
        <v>1</v>
      </c>
      <c r="D418" s="21">
        <v>0</v>
      </c>
      <c r="E418" s="21">
        <v>1</v>
      </c>
      <c r="F418" s="21">
        <v>9</v>
      </c>
      <c r="G418" s="21" t="b">
        <v>0</v>
      </c>
      <c r="H418" s="21">
        <v>3</v>
      </c>
      <c r="I418" s="21">
        <v>2</v>
      </c>
      <c r="J418" s="21">
        <v>0.24</v>
      </c>
      <c r="K418" s="21">
        <v>0.2576</v>
      </c>
      <c r="L418" s="21">
        <v>0.93</v>
      </c>
      <c r="M418" s="21">
        <v>0.1045</v>
      </c>
      <c r="N418" s="21">
        <v>2</v>
      </c>
      <c r="O418" s="21">
        <v>107</v>
      </c>
      <c r="P418" s="21">
        <v>109</v>
      </c>
    </row>
    <row r="419" spans="1:16" x14ac:dyDescent="0.35">
      <c r="A419" s="21">
        <v>418</v>
      </c>
      <c r="B419" s="39">
        <v>40562</v>
      </c>
      <c r="C419" s="21">
        <v>1</v>
      </c>
      <c r="D419" s="21">
        <v>0</v>
      </c>
      <c r="E419" s="21">
        <v>1</v>
      </c>
      <c r="F419" s="21">
        <v>10</v>
      </c>
      <c r="G419" s="21" t="b">
        <v>0</v>
      </c>
      <c r="H419" s="21">
        <v>3</v>
      </c>
      <c r="I419" s="21">
        <v>2</v>
      </c>
      <c r="J419" s="21">
        <v>0.26</v>
      </c>
      <c r="K419" s="21">
        <v>0.2727</v>
      </c>
      <c r="L419" s="21">
        <v>0.93</v>
      </c>
      <c r="M419" s="21">
        <v>0.1343</v>
      </c>
      <c r="N419" s="21">
        <v>1</v>
      </c>
      <c r="O419" s="21">
        <v>46</v>
      </c>
      <c r="P419" s="21">
        <v>47</v>
      </c>
    </row>
    <row r="420" spans="1:16" x14ac:dyDescent="0.35">
      <c r="A420" s="21">
        <v>419</v>
      </c>
      <c r="B420" s="39">
        <v>40562</v>
      </c>
      <c r="C420" s="21">
        <v>1</v>
      </c>
      <c r="D420" s="21">
        <v>0</v>
      </c>
      <c r="E420" s="21">
        <v>1</v>
      </c>
      <c r="F420" s="21">
        <v>11</v>
      </c>
      <c r="G420" s="21" t="b">
        <v>0</v>
      </c>
      <c r="H420" s="21">
        <v>3</v>
      </c>
      <c r="I420" s="21">
        <v>2</v>
      </c>
      <c r="J420" s="21">
        <v>0.28000000000000003</v>
      </c>
      <c r="K420" s="21">
        <v>0.30299999999999999</v>
      </c>
      <c r="L420" s="21">
        <v>0.87</v>
      </c>
      <c r="M420" s="21">
        <v>8.9599999999999999E-2</v>
      </c>
      <c r="N420" s="21">
        <v>5</v>
      </c>
      <c r="O420" s="21">
        <v>47</v>
      </c>
      <c r="P420" s="21">
        <v>52</v>
      </c>
    </row>
    <row r="421" spans="1:16" x14ac:dyDescent="0.35">
      <c r="A421" s="21">
        <v>420</v>
      </c>
      <c r="B421" s="39">
        <v>40562</v>
      </c>
      <c r="C421" s="21">
        <v>1</v>
      </c>
      <c r="D421" s="21">
        <v>0</v>
      </c>
      <c r="E421" s="21">
        <v>1</v>
      </c>
      <c r="F421" s="21">
        <v>12</v>
      </c>
      <c r="G421" s="21" t="b">
        <v>0</v>
      </c>
      <c r="H421" s="21">
        <v>3</v>
      </c>
      <c r="I421" s="21">
        <v>2</v>
      </c>
      <c r="J421" s="21">
        <v>0.3</v>
      </c>
      <c r="K421" s="21">
        <v>0.31819999999999998</v>
      </c>
      <c r="L421" s="21">
        <v>0.81</v>
      </c>
      <c r="M421" s="21">
        <v>8.9599999999999999E-2</v>
      </c>
      <c r="N421" s="21">
        <v>5</v>
      </c>
      <c r="O421" s="21">
        <v>65</v>
      </c>
      <c r="P421" s="21">
        <v>70</v>
      </c>
    </row>
    <row r="422" spans="1:16" x14ac:dyDescent="0.35">
      <c r="A422" s="21">
        <v>421</v>
      </c>
      <c r="B422" s="39">
        <v>40562</v>
      </c>
      <c r="C422" s="21">
        <v>1</v>
      </c>
      <c r="D422" s="21">
        <v>0</v>
      </c>
      <c r="E422" s="21">
        <v>1</v>
      </c>
      <c r="F422" s="21">
        <v>13</v>
      </c>
      <c r="G422" s="21" t="b">
        <v>0</v>
      </c>
      <c r="H422" s="21">
        <v>3</v>
      </c>
      <c r="I422" s="21">
        <v>1</v>
      </c>
      <c r="J422" s="21">
        <v>0.4</v>
      </c>
      <c r="K422" s="21">
        <v>0.40910000000000002</v>
      </c>
      <c r="L422" s="21">
        <v>0.62</v>
      </c>
      <c r="M422" s="21">
        <v>0.28360000000000002</v>
      </c>
      <c r="N422" s="21">
        <v>11</v>
      </c>
      <c r="O422" s="21">
        <v>67</v>
      </c>
      <c r="P422" s="21">
        <v>78</v>
      </c>
    </row>
    <row r="423" spans="1:16" x14ac:dyDescent="0.35">
      <c r="A423" s="21">
        <v>422</v>
      </c>
      <c r="B423" s="39">
        <v>40562</v>
      </c>
      <c r="C423" s="21">
        <v>1</v>
      </c>
      <c r="D423" s="21">
        <v>0</v>
      </c>
      <c r="E423" s="21">
        <v>1</v>
      </c>
      <c r="F423" s="21">
        <v>14</v>
      </c>
      <c r="G423" s="21" t="b">
        <v>0</v>
      </c>
      <c r="H423" s="21">
        <v>3</v>
      </c>
      <c r="I423" s="21">
        <v>1</v>
      </c>
      <c r="J423" s="21">
        <v>0.4</v>
      </c>
      <c r="K423" s="21">
        <v>0.40910000000000002</v>
      </c>
      <c r="L423" s="21">
        <v>0.57999999999999996</v>
      </c>
      <c r="M423" s="21">
        <v>0.25369999999999998</v>
      </c>
      <c r="N423" s="21">
        <v>7</v>
      </c>
      <c r="O423" s="21">
        <v>68</v>
      </c>
      <c r="P423" s="21">
        <v>75</v>
      </c>
    </row>
    <row r="424" spans="1:16" x14ac:dyDescent="0.35">
      <c r="A424" s="21">
        <v>423</v>
      </c>
      <c r="B424" s="39">
        <v>40562</v>
      </c>
      <c r="C424" s="21">
        <v>1</v>
      </c>
      <c r="D424" s="21">
        <v>0</v>
      </c>
      <c r="E424" s="21">
        <v>1</v>
      </c>
      <c r="F424" s="21">
        <v>15</v>
      </c>
      <c r="G424" s="21" t="b">
        <v>0</v>
      </c>
      <c r="H424" s="21">
        <v>3</v>
      </c>
      <c r="I424" s="21">
        <v>1</v>
      </c>
      <c r="J424" s="21">
        <v>0.4</v>
      </c>
      <c r="K424" s="21">
        <v>0.40910000000000002</v>
      </c>
      <c r="L424" s="21">
        <v>0.54</v>
      </c>
      <c r="M424" s="21">
        <v>0.28360000000000002</v>
      </c>
      <c r="N424" s="21">
        <v>4</v>
      </c>
      <c r="O424" s="21">
        <v>78</v>
      </c>
      <c r="P424" s="21">
        <v>82</v>
      </c>
    </row>
    <row r="425" spans="1:16" x14ac:dyDescent="0.35">
      <c r="A425" s="21">
        <v>424</v>
      </c>
      <c r="B425" s="39">
        <v>40562</v>
      </c>
      <c r="C425" s="21">
        <v>1</v>
      </c>
      <c r="D425" s="21">
        <v>0</v>
      </c>
      <c r="E425" s="21">
        <v>1</v>
      </c>
      <c r="F425" s="21">
        <v>16</v>
      </c>
      <c r="G425" s="21" t="b">
        <v>0</v>
      </c>
      <c r="H425" s="21">
        <v>3</v>
      </c>
      <c r="I425" s="21">
        <v>1</v>
      </c>
      <c r="J425" s="21">
        <v>0.38</v>
      </c>
      <c r="K425" s="21">
        <v>0.39389999999999997</v>
      </c>
      <c r="L425" s="21">
        <v>0.57999999999999996</v>
      </c>
      <c r="M425" s="21">
        <v>0.3881</v>
      </c>
      <c r="N425" s="21">
        <v>10</v>
      </c>
      <c r="O425" s="21">
        <v>94</v>
      </c>
      <c r="P425" s="21">
        <v>104</v>
      </c>
    </row>
    <row r="426" spans="1:16" x14ac:dyDescent="0.35">
      <c r="A426" s="21">
        <v>425</v>
      </c>
      <c r="B426" s="39">
        <v>40562</v>
      </c>
      <c r="C426" s="21">
        <v>1</v>
      </c>
      <c r="D426" s="21">
        <v>0</v>
      </c>
      <c r="E426" s="21">
        <v>1</v>
      </c>
      <c r="F426" s="21">
        <v>17</v>
      </c>
      <c r="G426" s="21" t="b">
        <v>0</v>
      </c>
      <c r="H426" s="21">
        <v>3</v>
      </c>
      <c r="I426" s="21">
        <v>1</v>
      </c>
      <c r="J426" s="21">
        <v>0.36</v>
      </c>
      <c r="K426" s="21">
        <v>0.33329999999999999</v>
      </c>
      <c r="L426" s="21">
        <v>0.56999999999999995</v>
      </c>
      <c r="M426" s="21">
        <v>0.32840000000000003</v>
      </c>
      <c r="N426" s="21">
        <v>7</v>
      </c>
      <c r="O426" s="21">
        <v>190</v>
      </c>
      <c r="P426" s="21">
        <v>197</v>
      </c>
    </row>
    <row r="427" spans="1:16" x14ac:dyDescent="0.35">
      <c r="A427" s="21">
        <v>426</v>
      </c>
      <c r="B427" s="39">
        <v>40562</v>
      </c>
      <c r="C427" s="21">
        <v>1</v>
      </c>
      <c r="D427" s="21">
        <v>0</v>
      </c>
      <c r="E427" s="21">
        <v>1</v>
      </c>
      <c r="F427" s="21">
        <v>18</v>
      </c>
      <c r="G427" s="21" t="b">
        <v>0</v>
      </c>
      <c r="H427" s="21">
        <v>3</v>
      </c>
      <c r="I427" s="21">
        <v>1</v>
      </c>
      <c r="J427" s="21">
        <v>0.34</v>
      </c>
      <c r="K427" s="21">
        <v>0.31819999999999998</v>
      </c>
      <c r="L427" s="21">
        <v>0.61</v>
      </c>
      <c r="M427" s="21">
        <v>0.28360000000000002</v>
      </c>
      <c r="N427" s="21">
        <v>5</v>
      </c>
      <c r="O427" s="21">
        <v>156</v>
      </c>
      <c r="P427" s="21">
        <v>161</v>
      </c>
    </row>
    <row r="428" spans="1:16" x14ac:dyDescent="0.35">
      <c r="A428" s="21">
        <v>427</v>
      </c>
      <c r="B428" s="39">
        <v>40562</v>
      </c>
      <c r="C428" s="21">
        <v>1</v>
      </c>
      <c r="D428" s="21">
        <v>0</v>
      </c>
      <c r="E428" s="21">
        <v>1</v>
      </c>
      <c r="F428" s="21">
        <v>19</v>
      </c>
      <c r="G428" s="21" t="b">
        <v>0</v>
      </c>
      <c r="H428" s="21">
        <v>3</v>
      </c>
      <c r="I428" s="21">
        <v>1</v>
      </c>
      <c r="J428" s="21">
        <v>0.32</v>
      </c>
      <c r="K428" s="21">
        <v>0.28789999999999999</v>
      </c>
      <c r="L428" s="21">
        <v>0.56999999999999995</v>
      </c>
      <c r="M428" s="21">
        <v>0.41789999999999999</v>
      </c>
      <c r="N428" s="21">
        <v>4</v>
      </c>
      <c r="O428" s="21">
        <v>108</v>
      </c>
      <c r="P428" s="21">
        <v>112</v>
      </c>
    </row>
    <row r="429" spans="1:16" x14ac:dyDescent="0.35">
      <c r="A429" s="21">
        <v>428</v>
      </c>
      <c r="B429" s="39">
        <v>40562</v>
      </c>
      <c r="C429" s="21">
        <v>1</v>
      </c>
      <c r="D429" s="21">
        <v>0</v>
      </c>
      <c r="E429" s="21">
        <v>1</v>
      </c>
      <c r="F429" s="21">
        <v>20</v>
      </c>
      <c r="G429" s="21" t="b">
        <v>0</v>
      </c>
      <c r="H429" s="21">
        <v>3</v>
      </c>
      <c r="I429" s="21">
        <v>1</v>
      </c>
      <c r="J429" s="21">
        <v>0.32</v>
      </c>
      <c r="K429" s="21">
        <v>0.30299999999999999</v>
      </c>
      <c r="L429" s="21">
        <v>0.49</v>
      </c>
      <c r="M429" s="21">
        <v>0.29849999999999999</v>
      </c>
      <c r="N429" s="21">
        <v>2</v>
      </c>
      <c r="O429" s="21">
        <v>74</v>
      </c>
      <c r="P429" s="21">
        <v>76</v>
      </c>
    </row>
    <row r="430" spans="1:16" x14ac:dyDescent="0.35">
      <c r="A430" s="21">
        <v>429</v>
      </c>
      <c r="B430" s="39">
        <v>40562</v>
      </c>
      <c r="C430" s="21">
        <v>1</v>
      </c>
      <c r="D430" s="21">
        <v>0</v>
      </c>
      <c r="E430" s="21">
        <v>1</v>
      </c>
      <c r="F430" s="21">
        <v>21</v>
      </c>
      <c r="G430" s="21" t="b">
        <v>0</v>
      </c>
      <c r="H430" s="21">
        <v>3</v>
      </c>
      <c r="I430" s="21">
        <v>1</v>
      </c>
      <c r="J430" s="21">
        <v>0.32</v>
      </c>
      <c r="K430" s="21">
        <v>0.28789999999999999</v>
      </c>
      <c r="L430" s="21">
        <v>0.49</v>
      </c>
      <c r="M430" s="21">
        <v>0.41789999999999999</v>
      </c>
      <c r="N430" s="21">
        <v>4</v>
      </c>
      <c r="O430" s="21">
        <v>55</v>
      </c>
      <c r="P430" s="21">
        <v>59</v>
      </c>
    </row>
    <row r="431" spans="1:16" x14ac:dyDescent="0.35">
      <c r="A431" s="21">
        <v>430</v>
      </c>
      <c r="B431" s="39">
        <v>40562</v>
      </c>
      <c r="C431" s="21">
        <v>1</v>
      </c>
      <c r="D431" s="21">
        <v>0</v>
      </c>
      <c r="E431" s="21">
        <v>1</v>
      </c>
      <c r="F431" s="21">
        <v>22</v>
      </c>
      <c r="G431" s="21" t="b">
        <v>0</v>
      </c>
      <c r="H431" s="21">
        <v>3</v>
      </c>
      <c r="I431" s="21">
        <v>1</v>
      </c>
      <c r="J431" s="21">
        <v>0.3</v>
      </c>
      <c r="K431" s="21">
        <v>0.30299999999999999</v>
      </c>
      <c r="L431" s="21">
        <v>0.52</v>
      </c>
      <c r="M431" s="21">
        <v>0.16420000000000001</v>
      </c>
      <c r="N431" s="21">
        <v>6</v>
      </c>
      <c r="O431" s="21">
        <v>53</v>
      </c>
      <c r="P431" s="21">
        <v>59</v>
      </c>
    </row>
    <row r="432" spans="1:16" x14ac:dyDescent="0.35">
      <c r="A432" s="21">
        <v>431</v>
      </c>
      <c r="B432" s="39">
        <v>40562</v>
      </c>
      <c r="C432" s="21">
        <v>1</v>
      </c>
      <c r="D432" s="21">
        <v>0</v>
      </c>
      <c r="E432" s="21">
        <v>1</v>
      </c>
      <c r="F432" s="21">
        <v>23</v>
      </c>
      <c r="G432" s="21" t="b">
        <v>0</v>
      </c>
      <c r="H432" s="21">
        <v>3</v>
      </c>
      <c r="I432" s="21">
        <v>1</v>
      </c>
      <c r="J432" s="21">
        <v>0.3</v>
      </c>
      <c r="K432" s="21">
        <v>0.2727</v>
      </c>
      <c r="L432" s="21">
        <v>0.52</v>
      </c>
      <c r="M432" s="21">
        <v>0.4627</v>
      </c>
      <c r="N432" s="21">
        <v>1</v>
      </c>
      <c r="O432" s="21">
        <v>27</v>
      </c>
      <c r="P432" s="21">
        <v>28</v>
      </c>
    </row>
    <row r="433" spans="1:16" x14ac:dyDescent="0.35">
      <c r="A433" s="21">
        <v>432</v>
      </c>
      <c r="B433" s="39">
        <v>40563</v>
      </c>
      <c r="C433" s="21">
        <v>1</v>
      </c>
      <c r="D433" s="21">
        <v>0</v>
      </c>
      <c r="E433" s="21">
        <v>1</v>
      </c>
      <c r="F433" s="21">
        <v>0</v>
      </c>
      <c r="G433" s="21" t="b">
        <v>0</v>
      </c>
      <c r="H433" s="21">
        <v>4</v>
      </c>
      <c r="I433" s="21">
        <v>1</v>
      </c>
      <c r="J433" s="21">
        <v>0.26</v>
      </c>
      <c r="K433" s="21">
        <v>0.2273</v>
      </c>
      <c r="L433" s="21">
        <v>0.56000000000000005</v>
      </c>
      <c r="M433" s="21">
        <v>0.3881</v>
      </c>
      <c r="N433" s="21">
        <v>5</v>
      </c>
      <c r="O433" s="21">
        <v>8</v>
      </c>
      <c r="P433" s="21">
        <v>13</v>
      </c>
    </row>
    <row r="434" spans="1:16" x14ac:dyDescent="0.35">
      <c r="A434" s="21">
        <v>433</v>
      </c>
      <c r="B434" s="39">
        <v>40563</v>
      </c>
      <c r="C434" s="21">
        <v>1</v>
      </c>
      <c r="D434" s="21">
        <v>0</v>
      </c>
      <c r="E434" s="21">
        <v>1</v>
      </c>
      <c r="F434" s="21">
        <v>1</v>
      </c>
      <c r="G434" s="21" t="b">
        <v>0</v>
      </c>
      <c r="H434" s="21">
        <v>4</v>
      </c>
      <c r="I434" s="21">
        <v>1</v>
      </c>
      <c r="J434" s="21">
        <v>0.26</v>
      </c>
      <c r="K434" s="21">
        <v>0.2727</v>
      </c>
      <c r="L434" s="21">
        <v>0.56000000000000005</v>
      </c>
      <c r="M434" s="21">
        <v>0</v>
      </c>
      <c r="N434" s="21">
        <v>2</v>
      </c>
      <c r="O434" s="21">
        <v>3</v>
      </c>
      <c r="P434" s="21">
        <v>5</v>
      </c>
    </row>
    <row r="435" spans="1:16" x14ac:dyDescent="0.35">
      <c r="A435" s="21">
        <v>434</v>
      </c>
      <c r="B435" s="39">
        <v>40563</v>
      </c>
      <c r="C435" s="21">
        <v>1</v>
      </c>
      <c r="D435" s="21">
        <v>0</v>
      </c>
      <c r="E435" s="21">
        <v>1</v>
      </c>
      <c r="F435" s="21">
        <v>2</v>
      </c>
      <c r="G435" s="21" t="b">
        <v>0</v>
      </c>
      <c r="H435" s="21">
        <v>4</v>
      </c>
      <c r="I435" s="21">
        <v>1</v>
      </c>
      <c r="J435" s="21">
        <v>0.26</v>
      </c>
      <c r="K435" s="21">
        <v>0.2727</v>
      </c>
      <c r="L435" s="21">
        <v>0.56000000000000005</v>
      </c>
      <c r="M435" s="21">
        <v>0</v>
      </c>
      <c r="N435" s="21">
        <v>0</v>
      </c>
      <c r="O435" s="21">
        <v>2</v>
      </c>
      <c r="P435" s="21">
        <v>2</v>
      </c>
    </row>
    <row r="436" spans="1:16" x14ac:dyDescent="0.35">
      <c r="A436" s="21">
        <v>435</v>
      </c>
      <c r="B436" s="39">
        <v>40563</v>
      </c>
      <c r="C436" s="21">
        <v>1</v>
      </c>
      <c r="D436" s="21">
        <v>0</v>
      </c>
      <c r="E436" s="21">
        <v>1</v>
      </c>
      <c r="F436" s="21">
        <v>3</v>
      </c>
      <c r="G436" s="21" t="b">
        <v>0</v>
      </c>
      <c r="H436" s="21">
        <v>4</v>
      </c>
      <c r="I436" s="21">
        <v>1</v>
      </c>
      <c r="J436" s="21">
        <v>0.26</v>
      </c>
      <c r="K436" s="21">
        <v>0.2576</v>
      </c>
      <c r="L436" s="21">
        <v>0.56000000000000005</v>
      </c>
      <c r="M436" s="21">
        <v>0.16420000000000001</v>
      </c>
      <c r="N436" s="21">
        <v>0</v>
      </c>
      <c r="O436" s="21">
        <v>1</v>
      </c>
      <c r="P436" s="21">
        <v>1</v>
      </c>
    </row>
    <row r="437" spans="1:16" x14ac:dyDescent="0.35">
      <c r="A437" s="21">
        <v>436</v>
      </c>
      <c r="B437" s="39">
        <v>40563</v>
      </c>
      <c r="C437" s="21">
        <v>1</v>
      </c>
      <c r="D437" s="21">
        <v>0</v>
      </c>
      <c r="E437" s="21">
        <v>1</v>
      </c>
      <c r="F437" s="21">
        <v>4</v>
      </c>
      <c r="G437" s="21" t="b">
        <v>0</v>
      </c>
      <c r="H437" s="21">
        <v>4</v>
      </c>
      <c r="I437" s="21">
        <v>1</v>
      </c>
      <c r="J437" s="21">
        <v>0.26</v>
      </c>
      <c r="K437" s="21">
        <v>0.2576</v>
      </c>
      <c r="L437" s="21">
        <v>0.56000000000000005</v>
      </c>
      <c r="M437" s="21">
        <v>0.16420000000000001</v>
      </c>
      <c r="N437" s="21">
        <v>0</v>
      </c>
      <c r="O437" s="21">
        <v>1</v>
      </c>
      <c r="P437" s="21">
        <v>1</v>
      </c>
    </row>
    <row r="438" spans="1:16" x14ac:dyDescent="0.35">
      <c r="A438" s="21">
        <v>437</v>
      </c>
      <c r="B438" s="39">
        <v>40563</v>
      </c>
      <c r="C438" s="21">
        <v>1</v>
      </c>
      <c r="D438" s="21">
        <v>0</v>
      </c>
      <c r="E438" s="21">
        <v>1</v>
      </c>
      <c r="F438" s="21">
        <v>5</v>
      </c>
      <c r="G438" s="21" t="b">
        <v>0</v>
      </c>
      <c r="H438" s="21">
        <v>4</v>
      </c>
      <c r="I438" s="21">
        <v>1</v>
      </c>
      <c r="J438" s="21">
        <v>0.24</v>
      </c>
      <c r="K438" s="21">
        <v>0.2273</v>
      </c>
      <c r="L438" s="21">
        <v>0.6</v>
      </c>
      <c r="M438" s="21">
        <v>0.22389999999999999</v>
      </c>
      <c r="N438" s="21">
        <v>0</v>
      </c>
      <c r="O438" s="21">
        <v>6</v>
      </c>
      <c r="P438" s="21">
        <v>6</v>
      </c>
    </row>
    <row r="439" spans="1:16" x14ac:dyDescent="0.35">
      <c r="A439" s="21">
        <v>438</v>
      </c>
      <c r="B439" s="39">
        <v>40563</v>
      </c>
      <c r="C439" s="21">
        <v>1</v>
      </c>
      <c r="D439" s="21">
        <v>0</v>
      </c>
      <c r="E439" s="21">
        <v>1</v>
      </c>
      <c r="F439" s="21">
        <v>6</v>
      </c>
      <c r="G439" s="21" t="b">
        <v>0</v>
      </c>
      <c r="H439" s="21">
        <v>4</v>
      </c>
      <c r="I439" s="21">
        <v>1</v>
      </c>
      <c r="J439" s="21">
        <v>0.22</v>
      </c>
      <c r="K439" s="21">
        <v>0.21210000000000001</v>
      </c>
      <c r="L439" s="21">
        <v>0.6</v>
      </c>
      <c r="M439" s="21">
        <v>0.22389999999999999</v>
      </c>
      <c r="N439" s="21">
        <v>0</v>
      </c>
      <c r="O439" s="21">
        <v>35</v>
      </c>
      <c r="P439" s="21">
        <v>35</v>
      </c>
    </row>
    <row r="440" spans="1:16" x14ac:dyDescent="0.35">
      <c r="A440" s="21">
        <v>439</v>
      </c>
      <c r="B440" s="39">
        <v>40563</v>
      </c>
      <c r="C440" s="21">
        <v>1</v>
      </c>
      <c r="D440" s="21">
        <v>0</v>
      </c>
      <c r="E440" s="21">
        <v>1</v>
      </c>
      <c r="F440" s="21">
        <v>7</v>
      </c>
      <c r="G440" s="21" t="b">
        <v>0</v>
      </c>
      <c r="H440" s="21">
        <v>4</v>
      </c>
      <c r="I440" s="21">
        <v>1</v>
      </c>
      <c r="J440" s="21">
        <v>0.22</v>
      </c>
      <c r="K440" s="21">
        <v>0.21210000000000001</v>
      </c>
      <c r="L440" s="21">
        <v>0.55000000000000004</v>
      </c>
      <c r="M440" s="21">
        <v>0.22389999999999999</v>
      </c>
      <c r="N440" s="21">
        <v>1</v>
      </c>
      <c r="O440" s="21">
        <v>100</v>
      </c>
      <c r="P440" s="21">
        <v>101</v>
      </c>
    </row>
    <row r="441" spans="1:16" x14ac:dyDescent="0.35">
      <c r="A441" s="21">
        <v>440</v>
      </c>
      <c r="B441" s="39">
        <v>40563</v>
      </c>
      <c r="C441" s="21">
        <v>1</v>
      </c>
      <c r="D441" s="21">
        <v>0</v>
      </c>
      <c r="E441" s="21">
        <v>1</v>
      </c>
      <c r="F441" s="21">
        <v>8</v>
      </c>
      <c r="G441" s="21" t="b">
        <v>0</v>
      </c>
      <c r="H441" s="21">
        <v>4</v>
      </c>
      <c r="I441" s="21">
        <v>1</v>
      </c>
      <c r="J441" s="21">
        <v>0.22</v>
      </c>
      <c r="K441" s="21">
        <v>0.21210000000000001</v>
      </c>
      <c r="L441" s="21">
        <v>0.55000000000000004</v>
      </c>
      <c r="M441" s="21">
        <v>0.28360000000000002</v>
      </c>
      <c r="N441" s="21">
        <v>2</v>
      </c>
      <c r="O441" s="21">
        <v>247</v>
      </c>
      <c r="P441" s="21">
        <v>249</v>
      </c>
    </row>
    <row r="442" spans="1:16" x14ac:dyDescent="0.35">
      <c r="A442" s="21">
        <v>441</v>
      </c>
      <c r="B442" s="39">
        <v>40563</v>
      </c>
      <c r="C442" s="21">
        <v>1</v>
      </c>
      <c r="D442" s="21">
        <v>0</v>
      </c>
      <c r="E442" s="21">
        <v>1</v>
      </c>
      <c r="F442" s="21">
        <v>9</v>
      </c>
      <c r="G442" s="21" t="b">
        <v>0</v>
      </c>
      <c r="H442" s="21">
        <v>4</v>
      </c>
      <c r="I442" s="21">
        <v>2</v>
      </c>
      <c r="J442" s="21">
        <v>0.24</v>
      </c>
      <c r="K442" s="21">
        <v>0.2273</v>
      </c>
      <c r="L442" s="21">
        <v>0.52</v>
      </c>
      <c r="M442" s="21">
        <v>0.22389999999999999</v>
      </c>
      <c r="N442" s="21">
        <v>3</v>
      </c>
      <c r="O442" s="21">
        <v>140</v>
      </c>
      <c r="P442" s="21">
        <v>143</v>
      </c>
    </row>
    <row r="443" spans="1:16" x14ac:dyDescent="0.35">
      <c r="A443" s="21">
        <v>442</v>
      </c>
      <c r="B443" s="39">
        <v>40563</v>
      </c>
      <c r="C443" s="21">
        <v>1</v>
      </c>
      <c r="D443" s="21">
        <v>0</v>
      </c>
      <c r="E443" s="21">
        <v>1</v>
      </c>
      <c r="F443" s="21">
        <v>10</v>
      </c>
      <c r="G443" s="21" t="b">
        <v>0</v>
      </c>
      <c r="H443" s="21">
        <v>4</v>
      </c>
      <c r="I443" s="21">
        <v>1</v>
      </c>
      <c r="J443" s="21">
        <v>0.26</v>
      </c>
      <c r="K443" s="21">
        <v>0.2273</v>
      </c>
      <c r="L443" s="21">
        <v>0.48</v>
      </c>
      <c r="M443" s="21">
        <v>0.29849999999999999</v>
      </c>
      <c r="N443" s="21">
        <v>1</v>
      </c>
      <c r="O443" s="21">
        <v>56</v>
      </c>
      <c r="P443" s="21">
        <v>57</v>
      </c>
    </row>
    <row r="444" spans="1:16" x14ac:dyDescent="0.35">
      <c r="A444" s="21">
        <v>443</v>
      </c>
      <c r="B444" s="39">
        <v>40563</v>
      </c>
      <c r="C444" s="21">
        <v>1</v>
      </c>
      <c r="D444" s="21">
        <v>0</v>
      </c>
      <c r="E444" s="21">
        <v>1</v>
      </c>
      <c r="F444" s="21">
        <v>11</v>
      </c>
      <c r="G444" s="21" t="b">
        <v>0</v>
      </c>
      <c r="H444" s="21">
        <v>4</v>
      </c>
      <c r="I444" s="21">
        <v>2</v>
      </c>
      <c r="J444" s="21">
        <v>0.28000000000000003</v>
      </c>
      <c r="K444" s="21">
        <v>0.2727</v>
      </c>
      <c r="L444" s="21">
        <v>0.45</v>
      </c>
      <c r="M444" s="21">
        <v>0.16420000000000001</v>
      </c>
      <c r="N444" s="21">
        <v>5</v>
      </c>
      <c r="O444" s="21">
        <v>63</v>
      </c>
      <c r="P444" s="21">
        <v>68</v>
      </c>
    </row>
    <row r="445" spans="1:16" x14ac:dyDescent="0.35">
      <c r="A445" s="21">
        <v>444</v>
      </c>
      <c r="B445" s="39">
        <v>40563</v>
      </c>
      <c r="C445" s="21">
        <v>1</v>
      </c>
      <c r="D445" s="21">
        <v>0</v>
      </c>
      <c r="E445" s="21">
        <v>1</v>
      </c>
      <c r="F445" s="21">
        <v>12</v>
      </c>
      <c r="G445" s="21" t="b">
        <v>0</v>
      </c>
      <c r="H445" s="21">
        <v>4</v>
      </c>
      <c r="I445" s="21">
        <v>2</v>
      </c>
      <c r="J445" s="21">
        <v>0.3</v>
      </c>
      <c r="K445" s="21">
        <v>0.33329999999999999</v>
      </c>
      <c r="L445" s="21">
        <v>0.42</v>
      </c>
      <c r="M445" s="21">
        <v>0</v>
      </c>
      <c r="N445" s="21">
        <v>7</v>
      </c>
      <c r="O445" s="21">
        <v>77</v>
      </c>
      <c r="P445" s="21">
        <v>84</v>
      </c>
    </row>
    <row r="446" spans="1:16" x14ac:dyDescent="0.35">
      <c r="A446" s="21">
        <v>445</v>
      </c>
      <c r="B446" s="39">
        <v>40563</v>
      </c>
      <c r="C446" s="21">
        <v>1</v>
      </c>
      <c r="D446" s="21">
        <v>0</v>
      </c>
      <c r="E446" s="21">
        <v>1</v>
      </c>
      <c r="F446" s="21">
        <v>13</v>
      </c>
      <c r="G446" s="21" t="b">
        <v>0</v>
      </c>
      <c r="H446" s="21">
        <v>4</v>
      </c>
      <c r="I446" s="21">
        <v>2</v>
      </c>
      <c r="J446" s="21">
        <v>0.28000000000000003</v>
      </c>
      <c r="K446" s="21">
        <v>0.28789999999999999</v>
      </c>
      <c r="L446" s="21">
        <v>0.45</v>
      </c>
      <c r="M446" s="21">
        <v>0.1045</v>
      </c>
      <c r="N446" s="21">
        <v>12</v>
      </c>
      <c r="O446" s="21">
        <v>86</v>
      </c>
      <c r="P446" s="21">
        <v>98</v>
      </c>
    </row>
    <row r="447" spans="1:16" x14ac:dyDescent="0.35">
      <c r="A447" s="21">
        <v>446</v>
      </c>
      <c r="B447" s="39">
        <v>40563</v>
      </c>
      <c r="C447" s="21">
        <v>1</v>
      </c>
      <c r="D447" s="21">
        <v>0</v>
      </c>
      <c r="E447" s="21">
        <v>1</v>
      </c>
      <c r="F447" s="21">
        <v>14</v>
      </c>
      <c r="G447" s="21" t="b">
        <v>0</v>
      </c>
      <c r="H447" s="21">
        <v>4</v>
      </c>
      <c r="I447" s="21">
        <v>2</v>
      </c>
      <c r="J447" s="21">
        <v>0.3</v>
      </c>
      <c r="K447" s="21">
        <v>0.30299999999999999</v>
      </c>
      <c r="L447" s="21">
        <v>0.45</v>
      </c>
      <c r="M447" s="21">
        <v>0.1343</v>
      </c>
      <c r="N447" s="21">
        <v>6</v>
      </c>
      <c r="O447" s="21">
        <v>75</v>
      </c>
      <c r="P447" s="21">
        <v>81</v>
      </c>
    </row>
    <row r="448" spans="1:16" x14ac:dyDescent="0.35">
      <c r="A448" s="21">
        <v>447</v>
      </c>
      <c r="B448" s="39">
        <v>40563</v>
      </c>
      <c r="C448" s="21">
        <v>1</v>
      </c>
      <c r="D448" s="21">
        <v>0</v>
      </c>
      <c r="E448" s="21">
        <v>1</v>
      </c>
      <c r="F448" s="21">
        <v>15</v>
      </c>
      <c r="G448" s="21" t="b">
        <v>0</v>
      </c>
      <c r="H448" s="21">
        <v>4</v>
      </c>
      <c r="I448" s="21">
        <v>2</v>
      </c>
      <c r="J448" s="21">
        <v>0.32</v>
      </c>
      <c r="K448" s="21">
        <v>0.31819999999999998</v>
      </c>
      <c r="L448" s="21">
        <v>0.45</v>
      </c>
      <c r="M448" s="21">
        <v>0.19400000000000001</v>
      </c>
      <c r="N448" s="21">
        <v>8</v>
      </c>
      <c r="O448" s="21">
        <v>62</v>
      </c>
      <c r="P448" s="21">
        <v>70</v>
      </c>
    </row>
    <row r="449" spans="1:16" x14ac:dyDescent="0.35">
      <c r="A449" s="21">
        <v>448</v>
      </c>
      <c r="B449" s="39">
        <v>40563</v>
      </c>
      <c r="C449" s="21">
        <v>1</v>
      </c>
      <c r="D449" s="21">
        <v>0</v>
      </c>
      <c r="E449" s="21">
        <v>1</v>
      </c>
      <c r="F449" s="21">
        <v>16</v>
      </c>
      <c r="G449" s="21" t="b">
        <v>0</v>
      </c>
      <c r="H449" s="21">
        <v>4</v>
      </c>
      <c r="I449" s="21">
        <v>2</v>
      </c>
      <c r="J449" s="21">
        <v>0.3</v>
      </c>
      <c r="K449" s="21">
        <v>0.30299999999999999</v>
      </c>
      <c r="L449" s="21">
        <v>0.49</v>
      </c>
      <c r="M449" s="21">
        <v>0.1343</v>
      </c>
      <c r="N449" s="21">
        <v>8</v>
      </c>
      <c r="O449" s="21">
        <v>83</v>
      </c>
      <c r="P449" s="21">
        <v>91</v>
      </c>
    </row>
    <row r="450" spans="1:16" x14ac:dyDescent="0.35">
      <c r="A450" s="21">
        <v>449</v>
      </c>
      <c r="B450" s="39">
        <v>40563</v>
      </c>
      <c r="C450" s="21">
        <v>1</v>
      </c>
      <c r="D450" s="21">
        <v>0</v>
      </c>
      <c r="E450" s="21">
        <v>1</v>
      </c>
      <c r="F450" s="21">
        <v>17</v>
      </c>
      <c r="G450" s="21" t="b">
        <v>0</v>
      </c>
      <c r="H450" s="21">
        <v>4</v>
      </c>
      <c r="I450" s="21">
        <v>2</v>
      </c>
      <c r="J450" s="21">
        <v>0.3</v>
      </c>
      <c r="K450" s="21">
        <v>0.31819999999999998</v>
      </c>
      <c r="L450" s="21">
        <v>0.49</v>
      </c>
      <c r="M450" s="21">
        <v>0.1045</v>
      </c>
      <c r="N450" s="21">
        <v>8</v>
      </c>
      <c r="O450" s="21">
        <v>207</v>
      </c>
      <c r="P450" s="21">
        <v>215</v>
      </c>
    </row>
    <row r="451" spans="1:16" x14ac:dyDescent="0.35">
      <c r="A451" s="21">
        <v>450</v>
      </c>
      <c r="B451" s="39">
        <v>40563</v>
      </c>
      <c r="C451" s="21">
        <v>1</v>
      </c>
      <c r="D451" s="21">
        <v>0</v>
      </c>
      <c r="E451" s="21">
        <v>1</v>
      </c>
      <c r="F451" s="21">
        <v>18</v>
      </c>
      <c r="G451" s="21" t="b">
        <v>0</v>
      </c>
      <c r="H451" s="21">
        <v>4</v>
      </c>
      <c r="I451" s="21">
        <v>2</v>
      </c>
      <c r="J451" s="21">
        <v>0.26</v>
      </c>
      <c r="K451" s="21">
        <v>0.2576</v>
      </c>
      <c r="L451" s="21">
        <v>0.56000000000000005</v>
      </c>
      <c r="M451" s="21">
        <v>0.19400000000000001</v>
      </c>
      <c r="N451" s="21">
        <v>1</v>
      </c>
      <c r="O451" s="21">
        <v>184</v>
      </c>
      <c r="P451" s="21">
        <v>185</v>
      </c>
    </row>
    <row r="452" spans="1:16" x14ac:dyDescent="0.35">
      <c r="A452" s="21">
        <v>451</v>
      </c>
      <c r="B452" s="39">
        <v>40563</v>
      </c>
      <c r="C452" s="21">
        <v>1</v>
      </c>
      <c r="D452" s="21">
        <v>0</v>
      </c>
      <c r="E452" s="21">
        <v>1</v>
      </c>
      <c r="F452" s="21">
        <v>19</v>
      </c>
      <c r="G452" s="21" t="b">
        <v>0</v>
      </c>
      <c r="H452" s="21">
        <v>4</v>
      </c>
      <c r="I452" s="21">
        <v>1</v>
      </c>
      <c r="J452" s="21">
        <v>0.26</v>
      </c>
      <c r="K452" s="21">
        <v>0.2273</v>
      </c>
      <c r="L452" s="21">
        <v>0.56000000000000005</v>
      </c>
      <c r="M452" s="21">
        <v>0.32840000000000003</v>
      </c>
      <c r="N452" s="21">
        <v>6</v>
      </c>
      <c r="O452" s="21">
        <v>146</v>
      </c>
      <c r="P452" s="21">
        <v>152</v>
      </c>
    </row>
    <row r="453" spans="1:16" x14ac:dyDescent="0.35">
      <c r="A453" s="21">
        <v>452</v>
      </c>
      <c r="B453" s="39">
        <v>40563</v>
      </c>
      <c r="C453" s="21">
        <v>1</v>
      </c>
      <c r="D453" s="21">
        <v>0</v>
      </c>
      <c r="E453" s="21">
        <v>1</v>
      </c>
      <c r="F453" s="21">
        <v>20</v>
      </c>
      <c r="G453" s="21" t="b">
        <v>0</v>
      </c>
      <c r="H453" s="21">
        <v>4</v>
      </c>
      <c r="I453" s="21">
        <v>2</v>
      </c>
      <c r="J453" s="21">
        <v>0.26</v>
      </c>
      <c r="K453" s="21">
        <v>0.2424</v>
      </c>
      <c r="L453" s="21">
        <v>0.6</v>
      </c>
      <c r="M453" s="21">
        <v>0.28360000000000002</v>
      </c>
      <c r="N453" s="21">
        <v>2</v>
      </c>
      <c r="O453" s="21">
        <v>124</v>
      </c>
      <c r="P453" s="21">
        <v>126</v>
      </c>
    </row>
    <row r="454" spans="1:16" x14ac:dyDescent="0.35">
      <c r="A454" s="21">
        <v>453</v>
      </c>
      <c r="B454" s="39">
        <v>40563</v>
      </c>
      <c r="C454" s="21">
        <v>1</v>
      </c>
      <c r="D454" s="21">
        <v>0</v>
      </c>
      <c r="E454" s="21">
        <v>1</v>
      </c>
      <c r="F454" s="21">
        <v>21</v>
      </c>
      <c r="G454" s="21" t="b">
        <v>0</v>
      </c>
      <c r="H454" s="21">
        <v>4</v>
      </c>
      <c r="I454" s="21">
        <v>2</v>
      </c>
      <c r="J454" s="21">
        <v>0.24</v>
      </c>
      <c r="K454" s="21">
        <v>0.2273</v>
      </c>
      <c r="L454" s="21">
        <v>0.6</v>
      </c>
      <c r="M454" s="21">
        <v>0.25369999999999998</v>
      </c>
      <c r="N454" s="21">
        <v>3</v>
      </c>
      <c r="O454" s="21">
        <v>54</v>
      </c>
      <c r="P454" s="21">
        <v>57</v>
      </c>
    </row>
    <row r="455" spans="1:16" x14ac:dyDescent="0.35">
      <c r="A455" s="21">
        <v>454</v>
      </c>
      <c r="B455" s="39">
        <v>40563</v>
      </c>
      <c r="C455" s="21">
        <v>1</v>
      </c>
      <c r="D455" s="21">
        <v>0</v>
      </c>
      <c r="E455" s="21">
        <v>1</v>
      </c>
      <c r="F455" s="21">
        <v>22</v>
      </c>
      <c r="G455" s="21" t="b">
        <v>0</v>
      </c>
      <c r="H455" s="21">
        <v>4</v>
      </c>
      <c r="I455" s="21">
        <v>2</v>
      </c>
      <c r="J455" s="21">
        <v>0.24</v>
      </c>
      <c r="K455" s="21">
        <v>0.21210000000000001</v>
      </c>
      <c r="L455" s="21">
        <v>0.65</v>
      </c>
      <c r="M455" s="21">
        <v>0.28360000000000002</v>
      </c>
      <c r="N455" s="21">
        <v>0</v>
      </c>
      <c r="O455" s="21">
        <v>56</v>
      </c>
      <c r="P455" s="21">
        <v>56</v>
      </c>
    </row>
    <row r="456" spans="1:16" x14ac:dyDescent="0.35">
      <c r="A456" s="21">
        <v>455</v>
      </c>
      <c r="B456" s="39">
        <v>40563</v>
      </c>
      <c r="C456" s="21">
        <v>1</v>
      </c>
      <c r="D456" s="21">
        <v>0</v>
      </c>
      <c r="E456" s="21">
        <v>1</v>
      </c>
      <c r="F456" s="21">
        <v>23</v>
      </c>
      <c r="G456" s="21" t="b">
        <v>0</v>
      </c>
      <c r="H456" s="21">
        <v>4</v>
      </c>
      <c r="I456" s="21">
        <v>2</v>
      </c>
      <c r="J456" s="21">
        <v>0.24</v>
      </c>
      <c r="K456" s="21">
        <v>0.21210000000000001</v>
      </c>
      <c r="L456" s="21">
        <v>0.65</v>
      </c>
      <c r="M456" s="21">
        <v>0.32840000000000003</v>
      </c>
      <c r="N456" s="21">
        <v>3</v>
      </c>
      <c r="O456" s="21">
        <v>28</v>
      </c>
      <c r="P456" s="21">
        <v>31</v>
      </c>
    </row>
    <row r="457" spans="1:16" x14ac:dyDescent="0.35">
      <c r="A457" s="21">
        <v>456</v>
      </c>
      <c r="B457" s="39">
        <v>40564</v>
      </c>
      <c r="C457" s="21">
        <v>1</v>
      </c>
      <c r="D457" s="21">
        <v>0</v>
      </c>
      <c r="E457" s="21">
        <v>1</v>
      </c>
      <c r="F457" s="21">
        <v>0</v>
      </c>
      <c r="G457" s="21" t="b">
        <v>0</v>
      </c>
      <c r="H457" s="21">
        <v>5</v>
      </c>
      <c r="I457" s="21">
        <v>2</v>
      </c>
      <c r="J457" s="21">
        <v>0.24</v>
      </c>
      <c r="K457" s="21">
        <v>0.2273</v>
      </c>
      <c r="L457" s="21">
        <v>0.7</v>
      </c>
      <c r="M457" s="21">
        <v>0.25369999999999998</v>
      </c>
      <c r="N457" s="21">
        <v>1</v>
      </c>
      <c r="O457" s="21">
        <v>20</v>
      </c>
      <c r="P457" s="21">
        <v>21</v>
      </c>
    </row>
    <row r="458" spans="1:16" x14ac:dyDescent="0.35">
      <c r="A458" s="21">
        <v>457</v>
      </c>
      <c r="B458" s="39">
        <v>40564</v>
      </c>
      <c r="C458" s="21">
        <v>1</v>
      </c>
      <c r="D458" s="21">
        <v>0</v>
      </c>
      <c r="E458" s="21">
        <v>1</v>
      </c>
      <c r="F458" s="21">
        <v>1</v>
      </c>
      <c r="G458" s="21" t="b">
        <v>0</v>
      </c>
      <c r="H458" s="21">
        <v>5</v>
      </c>
      <c r="I458" s="21">
        <v>2</v>
      </c>
      <c r="J458" s="21">
        <v>0.24</v>
      </c>
      <c r="K458" s="21">
        <v>0.2273</v>
      </c>
      <c r="L458" s="21">
        <v>0.7</v>
      </c>
      <c r="M458" s="21">
        <v>0.25369999999999998</v>
      </c>
      <c r="N458" s="21">
        <v>0</v>
      </c>
      <c r="O458" s="21">
        <v>6</v>
      </c>
      <c r="P458" s="21">
        <v>6</v>
      </c>
    </row>
    <row r="459" spans="1:16" x14ac:dyDescent="0.35">
      <c r="A459" s="21">
        <v>458</v>
      </c>
      <c r="B459" s="39">
        <v>40564</v>
      </c>
      <c r="C459" s="21">
        <v>1</v>
      </c>
      <c r="D459" s="21">
        <v>0</v>
      </c>
      <c r="E459" s="21">
        <v>1</v>
      </c>
      <c r="F459" s="21">
        <v>2</v>
      </c>
      <c r="G459" s="21" t="b">
        <v>0</v>
      </c>
      <c r="H459" s="21">
        <v>5</v>
      </c>
      <c r="I459" s="21">
        <v>3</v>
      </c>
      <c r="J459" s="21">
        <v>0.24</v>
      </c>
      <c r="K459" s="21">
        <v>0.2424</v>
      </c>
      <c r="L459" s="21">
        <v>0.75</v>
      </c>
      <c r="M459" s="21">
        <v>0.16420000000000001</v>
      </c>
      <c r="N459" s="21">
        <v>0</v>
      </c>
      <c r="O459" s="21">
        <v>2</v>
      </c>
      <c r="P459" s="21">
        <v>2</v>
      </c>
    </row>
    <row r="460" spans="1:16" x14ac:dyDescent="0.35">
      <c r="A460" s="21">
        <v>459</v>
      </c>
      <c r="B460" s="39">
        <v>40564</v>
      </c>
      <c r="C460" s="21">
        <v>1</v>
      </c>
      <c r="D460" s="21">
        <v>0</v>
      </c>
      <c r="E460" s="21">
        <v>1</v>
      </c>
      <c r="F460" s="21">
        <v>3</v>
      </c>
      <c r="G460" s="21" t="b">
        <v>0</v>
      </c>
      <c r="H460" s="21">
        <v>5</v>
      </c>
      <c r="I460" s="21">
        <v>3</v>
      </c>
      <c r="J460" s="21">
        <v>0.22</v>
      </c>
      <c r="K460" s="21">
        <v>0.21210000000000001</v>
      </c>
      <c r="L460" s="21">
        <v>0.8</v>
      </c>
      <c r="M460" s="21">
        <v>0.29849999999999999</v>
      </c>
      <c r="N460" s="21">
        <v>0</v>
      </c>
      <c r="O460" s="21">
        <v>1</v>
      </c>
      <c r="P460" s="21">
        <v>1</v>
      </c>
    </row>
    <row r="461" spans="1:16" x14ac:dyDescent="0.35">
      <c r="A461" s="21">
        <v>460</v>
      </c>
      <c r="B461" s="39">
        <v>40564</v>
      </c>
      <c r="C461" s="21">
        <v>1</v>
      </c>
      <c r="D461" s="21">
        <v>0</v>
      </c>
      <c r="E461" s="21">
        <v>1</v>
      </c>
      <c r="F461" s="21">
        <v>4</v>
      </c>
      <c r="G461" s="21" t="b">
        <v>0</v>
      </c>
      <c r="H461" s="21">
        <v>5</v>
      </c>
      <c r="I461" s="21">
        <v>2</v>
      </c>
      <c r="J461" s="21">
        <v>0.22</v>
      </c>
      <c r="K461" s="21">
        <v>0.2576</v>
      </c>
      <c r="L461" s="21">
        <v>0.87</v>
      </c>
      <c r="M461" s="21">
        <v>8.9599999999999999E-2</v>
      </c>
      <c r="N461" s="21">
        <v>0</v>
      </c>
      <c r="O461" s="21">
        <v>1</v>
      </c>
      <c r="P461" s="21">
        <v>1</v>
      </c>
    </row>
    <row r="462" spans="1:16" x14ac:dyDescent="0.35">
      <c r="A462" s="21">
        <v>461</v>
      </c>
      <c r="B462" s="39">
        <v>40564</v>
      </c>
      <c r="C462" s="21">
        <v>1</v>
      </c>
      <c r="D462" s="21">
        <v>0</v>
      </c>
      <c r="E462" s="21">
        <v>1</v>
      </c>
      <c r="F462" s="21">
        <v>5</v>
      </c>
      <c r="G462" s="21" t="b">
        <v>0</v>
      </c>
      <c r="H462" s="21">
        <v>5</v>
      </c>
      <c r="I462" s="21">
        <v>1</v>
      </c>
      <c r="J462" s="21">
        <v>0.24</v>
      </c>
      <c r="K462" s="21">
        <v>0.19700000000000001</v>
      </c>
      <c r="L462" s="21">
        <v>0.6</v>
      </c>
      <c r="M462" s="21">
        <v>0.41789999999999999</v>
      </c>
      <c r="N462" s="21">
        <v>1</v>
      </c>
      <c r="O462" s="21">
        <v>4</v>
      </c>
      <c r="P462" s="21">
        <v>5</v>
      </c>
    </row>
    <row r="463" spans="1:16" x14ac:dyDescent="0.35">
      <c r="A463" s="21">
        <v>462</v>
      </c>
      <c r="B463" s="39">
        <v>40564</v>
      </c>
      <c r="C463" s="21">
        <v>1</v>
      </c>
      <c r="D463" s="21">
        <v>0</v>
      </c>
      <c r="E463" s="21">
        <v>1</v>
      </c>
      <c r="F463" s="21">
        <v>6</v>
      </c>
      <c r="G463" s="21" t="b">
        <v>0</v>
      </c>
      <c r="H463" s="21">
        <v>5</v>
      </c>
      <c r="I463" s="21">
        <v>1</v>
      </c>
      <c r="J463" s="21">
        <v>0.22</v>
      </c>
      <c r="K463" s="21">
        <v>0.21210000000000001</v>
      </c>
      <c r="L463" s="21">
        <v>0.55000000000000004</v>
      </c>
      <c r="M463" s="21">
        <v>0.25369999999999998</v>
      </c>
      <c r="N463" s="21">
        <v>0</v>
      </c>
      <c r="O463" s="21">
        <v>27</v>
      </c>
      <c r="P463" s="21">
        <v>27</v>
      </c>
    </row>
    <row r="464" spans="1:16" x14ac:dyDescent="0.35">
      <c r="A464" s="21">
        <v>463</v>
      </c>
      <c r="B464" s="39">
        <v>40564</v>
      </c>
      <c r="C464" s="21">
        <v>1</v>
      </c>
      <c r="D464" s="21">
        <v>0</v>
      </c>
      <c r="E464" s="21">
        <v>1</v>
      </c>
      <c r="F464" s="21">
        <v>7</v>
      </c>
      <c r="G464" s="21" t="b">
        <v>0</v>
      </c>
      <c r="H464" s="21">
        <v>5</v>
      </c>
      <c r="I464" s="21">
        <v>1</v>
      </c>
      <c r="J464" s="21">
        <v>0.2</v>
      </c>
      <c r="K464" s="21">
        <v>0.18179999999999999</v>
      </c>
      <c r="L464" s="21">
        <v>0.51</v>
      </c>
      <c r="M464" s="21">
        <v>0.28360000000000002</v>
      </c>
      <c r="N464" s="21">
        <v>2</v>
      </c>
      <c r="O464" s="21">
        <v>66</v>
      </c>
      <c r="P464" s="21">
        <v>68</v>
      </c>
    </row>
    <row r="465" spans="1:16" x14ac:dyDescent="0.35">
      <c r="A465" s="21">
        <v>464</v>
      </c>
      <c r="B465" s="39">
        <v>40564</v>
      </c>
      <c r="C465" s="21">
        <v>1</v>
      </c>
      <c r="D465" s="21">
        <v>0</v>
      </c>
      <c r="E465" s="21">
        <v>1</v>
      </c>
      <c r="F465" s="21">
        <v>8</v>
      </c>
      <c r="G465" s="21" t="b">
        <v>0</v>
      </c>
      <c r="H465" s="21">
        <v>5</v>
      </c>
      <c r="I465" s="21">
        <v>1</v>
      </c>
      <c r="J465" s="21">
        <v>0.2</v>
      </c>
      <c r="K465" s="21">
        <v>0.18179999999999999</v>
      </c>
      <c r="L465" s="21">
        <v>0.47</v>
      </c>
      <c r="M465" s="21">
        <v>0.32840000000000003</v>
      </c>
      <c r="N465" s="21">
        <v>7</v>
      </c>
      <c r="O465" s="21">
        <v>210</v>
      </c>
      <c r="P465" s="21">
        <v>217</v>
      </c>
    </row>
    <row r="466" spans="1:16" x14ac:dyDescent="0.35">
      <c r="A466" s="21">
        <v>465</v>
      </c>
      <c r="B466" s="39">
        <v>40564</v>
      </c>
      <c r="C466" s="21">
        <v>1</v>
      </c>
      <c r="D466" s="21">
        <v>0</v>
      </c>
      <c r="E466" s="21">
        <v>1</v>
      </c>
      <c r="F466" s="21">
        <v>9</v>
      </c>
      <c r="G466" s="21" t="b">
        <v>0</v>
      </c>
      <c r="H466" s="21">
        <v>5</v>
      </c>
      <c r="I466" s="21">
        <v>1</v>
      </c>
      <c r="J466" s="21">
        <v>0.2</v>
      </c>
      <c r="K466" s="21">
        <v>0.18179999999999999</v>
      </c>
      <c r="L466" s="21">
        <v>0.51</v>
      </c>
      <c r="M466" s="21">
        <v>0.35820000000000002</v>
      </c>
      <c r="N466" s="21">
        <v>7</v>
      </c>
      <c r="O466" s="21">
        <v>159</v>
      </c>
      <c r="P466" s="21">
        <v>166</v>
      </c>
    </row>
    <row r="467" spans="1:16" x14ac:dyDescent="0.35">
      <c r="A467" s="21">
        <v>466</v>
      </c>
      <c r="B467" s="39">
        <v>40564</v>
      </c>
      <c r="C467" s="21">
        <v>1</v>
      </c>
      <c r="D467" s="21">
        <v>0</v>
      </c>
      <c r="E467" s="21">
        <v>1</v>
      </c>
      <c r="F467" s="21">
        <v>10</v>
      </c>
      <c r="G467" s="21" t="b">
        <v>0</v>
      </c>
      <c r="H467" s="21">
        <v>5</v>
      </c>
      <c r="I467" s="21">
        <v>1</v>
      </c>
      <c r="J467" s="21">
        <v>0.2</v>
      </c>
      <c r="K467" s="21">
        <v>0.16669999999999999</v>
      </c>
      <c r="L467" s="21">
        <v>0.47</v>
      </c>
      <c r="M467" s="21">
        <v>0.4627</v>
      </c>
      <c r="N467" s="21">
        <v>6</v>
      </c>
      <c r="O467" s="21">
        <v>57</v>
      </c>
      <c r="P467" s="21">
        <v>63</v>
      </c>
    </row>
    <row r="468" spans="1:16" x14ac:dyDescent="0.35">
      <c r="A468" s="21">
        <v>467</v>
      </c>
      <c r="B468" s="39">
        <v>40564</v>
      </c>
      <c r="C468" s="21">
        <v>1</v>
      </c>
      <c r="D468" s="21">
        <v>0</v>
      </c>
      <c r="E468" s="21">
        <v>1</v>
      </c>
      <c r="F468" s="21">
        <v>11</v>
      </c>
      <c r="G468" s="21" t="b">
        <v>0</v>
      </c>
      <c r="H468" s="21">
        <v>5</v>
      </c>
      <c r="I468" s="21">
        <v>1</v>
      </c>
      <c r="J468" s="21">
        <v>0.22</v>
      </c>
      <c r="K468" s="21">
        <v>0.18179999999999999</v>
      </c>
      <c r="L468" s="21">
        <v>0.41</v>
      </c>
      <c r="M468" s="21">
        <v>0.4627</v>
      </c>
      <c r="N468" s="21">
        <v>6</v>
      </c>
      <c r="O468" s="21">
        <v>53</v>
      </c>
      <c r="P468" s="21">
        <v>59</v>
      </c>
    </row>
    <row r="469" spans="1:16" x14ac:dyDescent="0.35">
      <c r="A469" s="21">
        <v>468</v>
      </c>
      <c r="B469" s="39">
        <v>40564</v>
      </c>
      <c r="C469" s="21">
        <v>1</v>
      </c>
      <c r="D469" s="21">
        <v>0</v>
      </c>
      <c r="E469" s="21">
        <v>1</v>
      </c>
      <c r="F469" s="21">
        <v>12</v>
      </c>
      <c r="G469" s="21" t="b">
        <v>0</v>
      </c>
      <c r="H469" s="21">
        <v>5</v>
      </c>
      <c r="I469" s="21">
        <v>1</v>
      </c>
      <c r="J469" s="21">
        <v>0.22</v>
      </c>
      <c r="K469" s="21">
        <v>0.18179999999999999</v>
      </c>
      <c r="L469" s="21">
        <v>0.27</v>
      </c>
      <c r="M469" s="21">
        <v>0.58209999999999995</v>
      </c>
      <c r="N469" s="21">
        <v>11</v>
      </c>
      <c r="O469" s="21">
        <v>67</v>
      </c>
      <c r="P469" s="21">
        <v>78</v>
      </c>
    </row>
    <row r="470" spans="1:16" x14ac:dyDescent="0.35">
      <c r="A470" s="21">
        <v>469</v>
      </c>
      <c r="B470" s="39">
        <v>40564</v>
      </c>
      <c r="C470" s="21">
        <v>1</v>
      </c>
      <c r="D470" s="21">
        <v>0</v>
      </c>
      <c r="E470" s="21">
        <v>1</v>
      </c>
      <c r="F470" s="21">
        <v>13</v>
      </c>
      <c r="G470" s="21" t="b">
        <v>0</v>
      </c>
      <c r="H470" s="21">
        <v>5</v>
      </c>
      <c r="I470" s="21">
        <v>1</v>
      </c>
      <c r="J470" s="21">
        <v>0.2</v>
      </c>
      <c r="K470" s="21">
        <v>0.1515</v>
      </c>
      <c r="L470" s="21">
        <v>0.21</v>
      </c>
      <c r="M470" s="21">
        <v>0.58209999999999995</v>
      </c>
      <c r="N470" s="21">
        <v>8</v>
      </c>
      <c r="O470" s="21">
        <v>65</v>
      </c>
      <c r="P470" s="21">
        <v>73</v>
      </c>
    </row>
    <row r="471" spans="1:16" x14ac:dyDescent="0.35">
      <c r="A471" s="21">
        <v>470</v>
      </c>
      <c r="B471" s="39">
        <v>40564</v>
      </c>
      <c r="C471" s="21">
        <v>1</v>
      </c>
      <c r="D471" s="21">
        <v>0</v>
      </c>
      <c r="E471" s="21">
        <v>1</v>
      </c>
      <c r="F471" s="21">
        <v>14</v>
      </c>
      <c r="G471" s="21" t="b">
        <v>0</v>
      </c>
      <c r="H471" s="21">
        <v>5</v>
      </c>
      <c r="I471" s="21">
        <v>1</v>
      </c>
      <c r="J471" s="21">
        <v>0.2</v>
      </c>
      <c r="K471" s="21">
        <v>0.1515</v>
      </c>
      <c r="L471" s="21">
        <v>0.25</v>
      </c>
      <c r="M471" s="21">
        <v>0.52239999999999998</v>
      </c>
      <c r="N471" s="21">
        <v>6</v>
      </c>
      <c r="O471" s="21">
        <v>56</v>
      </c>
      <c r="P471" s="21">
        <v>62</v>
      </c>
    </row>
    <row r="472" spans="1:16" x14ac:dyDescent="0.35">
      <c r="A472" s="21">
        <v>471</v>
      </c>
      <c r="B472" s="39">
        <v>40564</v>
      </c>
      <c r="C472" s="21">
        <v>1</v>
      </c>
      <c r="D472" s="21">
        <v>0</v>
      </c>
      <c r="E472" s="21">
        <v>1</v>
      </c>
      <c r="F472" s="21">
        <v>15</v>
      </c>
      <c r="G472" s="21" t="b">
        <v>0</v>
      </c>
      <c r="H472" s="21">
        <v>5</v>
      </c>
      <c r="I472" s="21">
        <v>1</v>
      </c>
      <c r="J472" s="21">
        <v>0.16</v>
      </c>
      <c r="K472" s="21">
        <v>0.1212</v>
      </c>
      <c r="L472" s="21">
        <v>0.26</v>
      </c>
      <c r="M472" s="21">
        <v>0.44779999999999998</v>
      </c>
      <c r="N472" s="21">
        <v>4</v>
      </c>
      <c r="O472" s="21">
        <v>61</v>
      </c>
      <c r="P472" s="21">
        <v>65</v>
      </c>
    </row>
    <row r="473" spans="1:16" x14ac:dyDescent="0.35">
      <c r="A473" s="21">
        <v>472</v>
      </c>
      <c r="B473" s="39">
        <v>40564</v>
      </c>
      <c r="C473" s="21">
        <v>1</v>
      </c>
      <c r="D473" s="21">
        <v>0</v>
      </c>
      <c r="E473" s="21">
        <v>1</v>
      </c>
      <c r="F473" s="21">
        <v>16</v>
      </c>
      <c r="G473" s="21" t="b">
        <v>0</v>
      </c>
      <c r="H473" s="21">
        <v>5</v>
      </c>
      <c r="I473" s="21">
        <v>1</v>
      </c>
      <c r="J473" s="21">
        <v>0.16</v>
      </c>
      <c r="K473" s="21">
        <v>0.13639999999999999</v>
      </c>
      <c r="L473" s="21">
        <v>0.26</v>
      </c>
      <c r="M473" s="21">
        <v>0.35820000000000002</v>
      </c>
      <c r="N473" s="21">
        <v>0</v>
      </c>
      <c r="O473" s="21">
        <v>97</v>
      </c>
      <c r="P473" s="21">
        <v>97</v>
      </c>
    </row>
    <row r="474" spans="1:16" x14ac:dyDescent="0.35">
      <c r="A474" s="21">
        <v>473</v>
      </c>
      <c r="B474" s="39">
        <v>40564</v>
      </c>
      <c r="C474" s="21">
        <v>1</v>
      </c>
      <c r="D474" s="21">
        <v>0</v>
      </c>
      <c r="E474" s="21">
        <v>1</v>
      </c>
      <c r="F474" s="21">
        <v>17</v>
      </c>
      <c r="G474" s="21" t="b">
        <v>0</v>
      </c>
      <c r="H474" s="21">
        <v>5</v>
      </c>
      <c r="I474" s="21">
        <v>1</v>
      </c>
      <c r="J474" s="21">
        <v>0.14000000000000001</v>
      </c>
      <c r="K474" s="21">
        <v>0.1212</v>
      </c>
      <c r="L474" s="21">
        <v>0.28000000000000003</v>
      </c>
      <c r="M474" s="21">
        <v>0.35820000000000002</v>
      </c>
      <c r="N474" s="21">
        <v>10</v>
      </c>
      <c r="O474" s="21">
        <v>151</v>
      </c>
      <c r="P474" s="21">
        <v>161</v>
      </c>
    </row>
    <row r="475" spans="1:16" x14ac:dyDescent="0.35">
      <c r="A475" s="21">
        <v>474</v>
      </c>
      <c r="B475" s="39">
        <v>40564</v>
      </c>
      <c r="C475" s="21">
        <v>1</v>
      </c>
      <c r="D475" s="21">
        <v>0</v>
      </c>
      <c r="E475" s="21">
        <v>1</v>
      </c>
      <c r="F475" s="21">
        <v>18</v>
      </c>
      <c r="G475" s="21" t="b">
        <v>0</v>
      </c>
      <c r="H475" s="21">
        <v>5</v>
      </c>
      <c r="I475" s="21">
        <v>1</v>
      </c>
      <c r="J475" s="21">
        <v>0.12</v>
      </c>
      <c r="K475" s="21">
        <v>0.1212</v>
      </c>
      <c r="L475" s="21">
        <v>0.3</v>
      </c>
      <c r="M475" s="21">
        <v>0.25369999999999998</v>
      </c>
      <c r="N475" s="21">
        <v>1</v>
      </c>
      <c r="O475" s="21">
        <v>119</v>
      </c>
      <c r="P475" s="21">
        <v>120</v>
      </c>
    </row>
    <row r="476" spans="1:16" x14ac:dyDescent="0.35">
      <c r="A476" s="21">
        <v>475</v>
      </c>
      <c r="B476" s="39">
        <v>40564</v>
      </c>
      <c r="C476" s="21">
        <v>1</v>
      </c>
      <c r="D476" s="21">
        <v>0</v>
      </c>
      <c r="E476" s="21">
        <v>1</v>
      </c>
      <c r="F476" s="21">
        <v>19</v>
      </c>
      <c r="G476" s="21" t="b">
        <v>0</v>
      </c>
      <c r="H476" s="21">
        <v>5</v>
      </c>
      <c r="I476" s="21">
        <v>1</v>
      </c>
      <c r="J476" s="21">
        <v>0.12</v>
      </c>
      <c r="K476" s="21">
        <v>0.1061</v>
      </c>
      <c r="L476" s="21">
        <v>0.3</v>
      </c>
      <c r="M476" s="21">
        <v>0.32840000000000003</v>
      </c>
      <c r="N476" s="21">
        <v>3</v>
      </c>
      <c r="O476" s="21">
        <v>93</v>
      </c>
      <c r="P476" s="21">
        <v>96</v>
      </c>
    </row>
    <row r="477" spans="1:16" x14ac:dyDescent="0.35">
      <c r="A477" s="21">
        <v>476</v>
      </c>
      <c r="B477" s="39">
        <v>40564</v>
      </c>
      <c r="C477" s="21">
        <v>1</v>
      </c>
      <c r="D477" s="21">
        <v>0</v>
      </c>
      <c r="E477" s="21">
        <v>1</v>
      </c>
      <c r="F477" s="21">
        <v>20</v>
      </c>
      <c r="G477" s="21" t="b">
        <v>0</v>
      </c>
      <c r="H477" s="21">
        <v>5</v>
      </c>
      <c r="I477" s="21">
        <v>1</v>
      </c>
      <c r="J477" s="21">
        <v>0.1</v>
      </c>
      <c r="K477" s="21">
        <v>7.5800000000000006E-2</v>
      </c>
      <c r="L477" s="21">
        <v>0.33</v>
      </c>
      <c r="M477" s="21">
        <v>0.41789999999999999</v>
      </c>
      <c r="N477" s="21">
        <v>1</v>
      </c>
      <c r="O477" s="21">
        <v>52</v>
      </c>
      <c r="P477" s="21">
        <v>53</v>
      </c>
    </row>
    <row r="478" spans="1:16" x14ac:dyDescent="0.35">
      <c r="A478" s="21">
        <v>477</v>
      </c>
      <c r="B478" s="39">
        <v>40564</v>
      </c>
      <c r="C478" s="21">
        <v>1</v>
      </c>
      <c r="D478" s="21">
        <v>0</v>
      </c>
      <c r="E478" s="21">
        <v>1</v>
      </c>
      <c r="F478" s="21">
        <v>21</v>
      </c>
      <c r="G478" s="21" t="b">
        <v>0</v>
      </c>
      <c r="H478" s="21">
        <v>5</v>
      </c>
      <c r="I478" s="21">
        <v>1</v>
      </c>
      <c r="J478" s="21">
        <v>0.08</v>
      </c>
      <c r="K478" s="21">
        <v>7.5800000000000006E-2</v>
      </c>
      <c r="L478" s="21">
        <v>0.38</v>
      </c>
      <c r="M478" s="21">
        <v>0.28360000000000002</v>
      </c>
      <c r="N478" s="21">
        <v>0</v>
      </c>
      <c r="O478" s="21">
        <v>41</v>
      </c>
      <c r="P478" s="21">
        <v>41</v>
      </c>
    </row>
    <row r="479" spans="1:16" x14ac:dyDescent="0.35">
      <c r="A479" s="21">
        <v>478</v>
      </c>
      <c r="B479" s="39">
        <v>40564</v>
      </c>
      <c r="C479" s="21">
        <v>1</v>
      </c>
      <c r="D479" s="21">
        <v>0</v>
      </c>
      <c r="E479" s="21">
        <v>1</v>
      </c>
      <c r="F479" s="21">
        <v>22</v>
      </c>
      <c r="G479" s="21" t="b">
        <v>0</v>
      </c>
      <c r="H479" s="21">
        <v>5</v>
      </c>
      <c r="I479" s="21">
        <v>1</v>
      </c>
      <c r="J479" s="21">
        <v>0.06</v>
      </c>
      <c r="K479" s="21">
        <v>3.0300000000000001E-2</v>
      </c>
      <c r="L479" s="21">
        <v>0.41</v>
      </c>
      <c r="M479" s="21">
        <v>0.3881</v>
      </c>
      <c r="N479" s="21">
        <v>1</v>
      </c>
      <c r="O479" s="21">
        <v>33</v>
      </c>
      <c r="P479" s="21">
        <v>34</v>
      </c>
    </row>
    <row r="480" spans="1:16" x14ac:dyDescent="0.35">
      <c r="A480" s="21">
        <v>479</v>
      </c>
      <c r="B480" s="39">
        <v>40564</v>
      </c>
      <c r="C480" s="21">
        <v>1</v>
      </c>
      <c r="D480" s="21">
        <v>0</v>
      </c>
      <c r="E480" s="21">
        <v>1</v>
      </c>
      <c r="F480" s="21">
        <v>23</v>
      </c>
      <c r="G480" s="21" t="b">
        <v>0</v>
      </c>
      <c r="H480" s="21">
        <v>5</v>
      </c>
      <c r="I480" s="21">
        <v>1</v>
      </c>
      <c r="J480" s="21">
        <v>0.06</v>
      </c>
      <c r="K480" s="21">
        <v>4.5499999999999999E-2</v>
      </c>
      <c r="L480" s="21">
        <v>0.38</v>
      </c>
      <c r="M480" s="21">
        <v>0.32840000000000003</v>
      </c>
      <c r="N480" s="21">
        <v>0</v>
      </c>
      <c r="O480" s="21">
        <v>27</v>
      </c>
      <c r="P480" s="21">
        <v>27</v>
      </c>
    </row>
    <row r="481" spans="1:16" x14ac:dyDescent="0.35">
      <c r="A481" s="21">
        <v>480</v>
      </c>
      <c r="B481" s="39">
        <v>40565</v>
      </c>
      <c r="C481" s="21">
        <v>1</v>
      </c>
      <c r="D481" s="21">
        <v>0</v>
      </c>
      <c r="E481" s="21">
        <v>1</v>
      </c>
      <c r="F481" s="21">
        <v>0</v>
      </c>
      <c r="G481" s="21" t="b">
        <v>0</v>
      </c>
      <c r="H481" s="21">
        <v>6</v>
      </c>
      <c r="I481" s="21">
        <v>1</v>
      </c>
      <c r="J481" s="21">
        <v>0.04</v>
      </c>
      <c r="K481" s="21">
        <v>3.0300000000000001E-2</v>
      </c>
      <c r="L481" s="21">
        <v>0.45</v>
      </c>
      <c r="M481" s="21">
        <v>0.25369999999999998</v>
      </c>
      <c r="N481" s="21">
        <v>0</v>
      </c>
      <c r="O481" s="21">
        <v>13</v>
      </c>
      <c r="P481" s="21">
        <v>13</v>
      </c>
    </row>
    <row r="482" spans="1:16" x14ac:dyDescent="0.35">
      <c r="A482" s="21">
        <v>481</v>
      </c>
      <c r="B482" s="39">
        <v>40565</v>
      </c>
      <c r="C482" s="21">
        <v>1</v>
      </c>
      <c r="D482" s="21">
        <v>0</v>
      </c>
      <c r="E482" s="21">
        <v>1</v>
      </c>
      <c r="F482" s="21">
        <v>1</v>
      </c>
      <c r="G482" s="21" t="b">
        <v>0</v>
      </c>
      <c r="H482" s="21">
        <v>6</v>
      </c>
      <c r="I482" s="21">
        <v>2</v>
      </c>
      <c r="J482" s="21">
        <v>0.04</v>
      </c>
      <c r="K482" s="21">
        <v>0</v>
      </c>
      <c r="L482" s="21">
        <v>0.41</v>
      </c>
      <c r="M482" s="21">
        <v>0.3881</v>
      </c>
      <c r="N482" s="21">
        <v>3</v>
      </c>
      <c r="O482" s="21">
        <v>9</v>
      </c>
      <c r="P482" s="21">
        <v>12</v>
      </c>
    </row>
    <row r="483" spans="1:16" x14ac:dyDescent="0.35">
      <c r="A483" s="21">
        <v>482</v>
      </c>
      <c r="B483" s="39">
        <v>40565</v>
      </c>
      <c r="C483" s="21">
        <v>1</v>
      </c>
      <c r="D483" s="21">
        <v>0</v>
      </c>
      <c r="E483" s="21">
        <v>1</v>
      </c>
      <c r="F483" s="21">
        <v>2</v>
      </c>
      <c r="G483" s="21" t="b">
        <v>0</v>
      </c>
      <c r="H483" s="21">
        <v>6</v>
      </c>
      <c r="I483" s="21">
        <v>2</v>
      </c>
      <c r="J483" s="21">
        <v>0.04</v>
      </c>
      <c r="K483" s="21">
        <v>3.0300000000000001E-2</v>
      </c>
      <c r="L483" s="21">
        <v>0.41</v>
      </c>
      <c r="M483" s="21">
        <v>0.25369999999999998</v>
      </c>
      <c r="N483" s="21">
        <v>0</v>
      </c>
      <c r="O483" s="21">
        <v>11</v>
      </c>
      <c r="P483" s="21">
        <v>11</v>
      </c>
    </row>
    <row r="484" spans="1:16" x14ac:dyDescent="0.35">
      <c r="A484" s="21">
        <v>483</v>
      </c>
      <c r="B484" s="39">
        <v>40565</v>
      </c>
      <c r="C484" s="21">
        <v>1</v>
      </c>
      <c r="D484" s="21">
        <v>0</v>
      </c>
      <c r="E484" s="21">
        <v>1</v>
      </c>
      <c r="F484" s="21">
        <v>3</v>
      </c>
      <c r="G484" s="21" t="b">
        <v>0</v>
      </c>
      <c r="H484" s="21">
        <v>6</v>
      </c>
      <c r="I484" s="21">
        <v>2</v>
      </c>
      <c r="J484" s="21">
        <v>0.04</v>
      </c>
      <c r="K484" s="21">
        <v>3.0300000000000001E-2</v>
      </c>
      <c r="L484" s="21">
        <v>0.41</v>
      </c>
      <c r="M484" s="21">
        <v>0.28360000000000002</v>
      </c>
      <c r="N484" s="21">
        <v>1</v>
      </c>
      <c r="O484" s="21">
        <v>6</v>
      </c>
      <c r="P484" s="21">
        <v>7</v>
      </c>
    </row>
    <row r="485" spans="1:16" x14ac:dyDescent="0.35">
      <c r="A485" s="21">
        <v>484</v>
      </c>
      <c r="B485" s="39">
        <v>40565</v>
      </c>
      <c r="C485" s="21">
        <v>1</v>
      </c>
      <c r="D485" s="21">
        <v>0</v>
      </c>
      <c r="E485" s="21">
        <v>1</v>
      </c>
      <c r="F485" s="21">
        <v>4</v>
      </c>
      <c r="G485" s="21" t="b">
        <v>0</v>
      </c>
      <c r="H485" s="21">
        <v>6</v>
      </c>
      <c r="I485" s="21">
        <v>2</v>
      </c>
      <c r="J485" s="21">
        <v>0.02</v>
      </c>
      <c r="K485" s="21">
        <v>1.52E-2</v>
      </c>
      <c r="L485" s="21">
        <v>0.48</v>
      </c>
      <c r="M485" s="21">
        <v>0.29849999999999999</v>
      </c>
      <c r="N485" s="21">
        <v>0</v>
      </c>
      <c r="O485" s="21">
        <v>3</v>
      </c>
      <c r="P485" s="21">
        <v>3</v>
      </c>
    </row>
    <row r="486" spans="1:16" x14ac:dyDescent="0.35">
      <c r="A486" s="21">
        <v>485</v>
      </c>
      <c r="B486" s="39">
        <v>40565</v>
      </c>
      <c r="C486" s="21">
        <v>1</v>
      </c>
      <c r="D486" s="21">
        <v>0</v>
      </c>
      <c r="E486" s="21">
        <v>1</v>
      </c>
      <c r="F486" s="21">
        <v>6</v>
      </c>
      <c r="G486" s="21" t="b">
        <v>0</v>
      </c>
      <c r="H486" s="21">
        <v>6</v>
      </c>
      <c r="I486" s="21">
        <v>2</v>
      </c>
      <c r="J486" s="21">
        <v>0.02</v>
      </c>
      <c r="K486" s="21">
        <v>3.0300000000000001E-2</v>
      </c>
      <c r="L486" s="21">
        <v>0.44</v>
      </c>
      <c r="M486" s="21">
        <v>0.22389999999999999</v>
      </c>
      <c r="N486" s="21">
        <v>0</v>
      </c>
      <c r="O486" s="21">
        <v>2</v>
      </c>
      <c r="P486" s="21">
        <v>2</v>
      </c>
    </row>
    <row r="487" spans="1:16" x14ac:dyDescent="0.35">
      <c r="A487" s="21">
        <v>486</v>
      </c>
      <c r="B487" s="39">
        <v>40565</v>
      </c>
      <c r="C487" s="21">
        <v>1</v>
      </c>
      <c r="D487" s="21">
        <v>0</v>
      </c>
      <c r="E487" s="21">
        <v>1</v>
      </c>
      <c r="F487" s="21">
        <v>7</v>
      </c>
      <c r="G487" s="21" t="b">
        <v>0</v>
      </c>
      <c r="H487" s="21">
        <v>6</v>
      </c>
      <c r="I487" s="21">
        <v>1</v>
      </c>
      <c r="J487" s="21">
        <v>0.02</v>
      </c>
      <c r="K487" s="21">
        <v>1.52E-2</v>
      </c>
      <c r="L487" s="21">
        <v>0.44</v>
      </c>
      <c r="M487" s="21">
        <v>0.28360000000000002</v>
      </c>
      <c r="N487" s="21">
        <v>0</v>
      </c>
      <c r="O487" s="21">
        <v>8</v>
      </c>
      <c r="P487" s="21">
        <v>8</v>
      </c>
    </row>
    <row r="488" spans="1:16" x14ac:dyDescent="0.35">
      <c r="A488" s="21">
        <v>487</v>
      </c>
      <c r="B488" s="39">
        <v>40565</v>
      </c>
      <c r="C488" s="21">
        <v>1</v>
      </c>
      <c r="D488" s="21">
        <v>0</v>
      </c>
      <c r="E488" s="21">
        <v>1</v>
      </c>
      <c r="F488" s="21">
        <v>8</v>
      </c>
      <c r="G488" s="21" t="b">
        <v>0</v>
      </c>
      <c r="H488" s="21">
        <v>6</v>
      </c>
      <c r="I488" s="21">
        <v>1</v>
      </c>
      <c r="J488" s="21">
        <v>0.02</v>
      </c>
      <c r="K488" s="21">
        <v>0</v>
      </c>
      <c r="L488" s="21">
        <v>0.44</v>
      </c>
      <c r="M488" s="21">
        <v>0.32840000000000003</v>
      </c>
      <c r="N488" s="21">
        <v>1</v>
      </c>
      <c r="O488" s="21">
        <v>26</v>
      </c>
      <c r="P488" s="21">
        <v>27</v>
      </c>
    </row>
    <row r="489" spans="1:16" x14ac:dyDescent="0.35">
      <c r="A489" s="21">
        <v>488</v>
      </c>
      <c r="B489" s="39">
        <v>40565</v>
      </c>
      <c r="C489" s="21">
        <v>1</v>
      </c>
      <c r="D489" s="21">
        <v>0</v>
      </c>
      <c r="E489" s="21">
        <v>1</v>
      </c>
      <c r="F489" s="21">
        <v>9</v>
      </c>
      <c r="G489" s="21" t="b">
        <v>0</v>
      </c>
      <c r="H489" s="21">
        <v>6</v>
      </c>
      <c r="I489" s="21">
        <v>1</v>
      </c>
      <c r="J489" s="21">
        <v>0.04</v>
      </c>
      <c r="K489" s="21">
        <v>3.0300000000000001E-2</v>
      </c>
      <c r="L489" s="21">
        <v>0.41</v>
      </c>
      <c r="M489" s="21">
        <v>0.25369999999999998</v>
      </c>
      <c r="N489" s="21">
        <v>3</v>
      </c>
      <c r="O489" s="21">
        <v>37</v>
      </c>
      <c r="P489" s="21">
        <v>40</v>
      </c>
    </row>
    <row r="490" spans="1:16" x14ac:dyDescent="0.35">
      <c r="A490" s="21">
        <v>489</v>
      </c>
      <c r="B490" s="39">
        <v>40565</v>
      </c>
      <c r="C490" s="21">
        <v>1</v>
      </c>
      <c r="D490" s="21">
        <v>0</v>
      </c>
      <c r="E490" s="21">
        <v>1</v>
      </c>
      <c r="F490" s="21">
        <v>10</v>
      </c>
      <c r="G490" s="21" t="b">
        <v>0</v>
      </c>
      <c r="H490" s="21">
        <v>6</v>
      </c>
      <c r="I490" s="21">
        <v>2</v>
      </c>
      <c r="J490" s="21">
        <v>0.04</v>
      </c>
      <c r="K490" s="21">
        <v>6.0600000000000001E-2</v>
      </c>
      <c r="L490" s="21">
        <v>0.41</v>
      </c>
      <c r="M490" s="21">
        <v>0.16420000000000001</v>
      </c>
      <c r="N490" s="21">
        <v>3</v>
      </c>
      <c r="O490" s="21">
        <v>50</v>
      </c>
      <c r="P490" s="21">
        <v>53</v>
      </c>
    </row>
    <row r="491" spans="1:16" x14ac:dyDescent="0.35">
      <c r="A491" s="21">
        <v>490</v>
      </c>
      <c r="B491" s="39">
        <v>40565</v>
      </c>
      <c r="C491" s="21">
        <v>1</v>
      </c>
      <c r="D491" s="21">
        <v>0</v>
      </c>
      <c r="E491" s="21">
        <v>1</v>
      </c>
      <c r="F491" s="21">
        <v>11</v>
      </c>
      <c r="G491" s="21" t="b">
        <v>0</v>
      </c>
      <c r="H491" s="21">
        <v>6</v>
      </c>
      <c r="I491" s="21">
        <v>2</v>
      </c>
      <c r="J491" s="21">
        <v>0.06</v>
      </c>
      <c r="K491" s="21">
        <v>7.5800000000000006E-2</v>
      </c>
      <c r="L491" s="21">
        <v>0.38</v>
      </c>
      <c r="M491" s="21">
        <v>0.1343</v>
      </c>
      <c r="N491" s="21">
        <v>4</v>
      </c>
      <c r="O491" s="21">
        <v>59</v>
      </c>
      <c r="P491" s="21">
        <v>63</v>
      </c>
    </row>
    <row r="492" spans="1:16" x14ac:dyDescent="0.35">
      <c r="A492" s="21">
        <v>491</v>
      </c>
      <c r="B492" s="39">
        <v>40565</v>
      </c>
      <c r="C492" s="21">
        <v>1</v>
      </c>
      <c r="D492" s="21">
        <v>0</v>
      </c>
      <c r="E492" s="21">
        <v>1</v>
      </c>
      <c r="F492" s="21">
        <v>12</v>
      </c>
      <c r="G492" s="21" t="b">
        <v>0</v>
      </c>
      <c r="H492" s="21">
        <v>6</v>
      </c>
      <c r="I492" s="21">
        <v>2</v>
      </c>
      <c r="J492" s="21">
        <v>0.06</v>
      </c>
      <c r="K492" s="21">
        <v>0.1061</v>
      </c>
      <c r="L492" s="21">
        <v>0.38</v>
      </c>
      <c r="M492" s="21">
        <v>0.1045</v>
      </c>
      <c r="N492" s="21">
        <v>10</v>
      </c>
      <c r="O492" s="21">
        <v>60</v>
      </c>
      <c r="P492" s="21">
        <v>70</v>
      </c>
    </row>
    <row r="493" spans="1:16" x14ac:dyDescent="0.35">
      <c r="A493" s="21">
        <v>492</v>
      </c>
      <c r="B493" s="39">
        <v>40565</v>
      </c>
      <c r="C493" s="21">
        <v>1</v>
      </c>
      <c r="D493" s="21">
        <v>0</v>
      </c>
      <c r="E493" s="21">
        <v>1</v>
      </c>
      <c r="F493" s="21">
        <v>13</v>
      </c>
      <c r="G493" s="21" t="b">
        <v>0</v>
      </c>
      <c r="H493" s="21">
        <v>6</v>
      </c>
      <c r="I493" s="21">
        <v>1</v>
      </c>
      <c r="J493" s="21">
        <v>0.08</v>
      </c>
      <c r="K493" s="21">
        <v>0.16669999999999999</v>
      </c>
      <c r="L493" s="21">
        <v>0.35</v>
      </c>
      <c r="M493" s="21">
        <v>0</v>
      </c>
      <c r="N493" s="21">
        <v>12</v>
      </c>
      <c r="O493" s="21">
        <v>72</v>
      </c>
      <c r="P493" s="21">
        <v>84</v>
      </c>
    </row>
    <row r="494" spans="1:16" x14ac:dyDescent="0.35">
      <c r="A494" s="21">
        <v>493</v>
      </c>
      <c r="B494" s="39">
        <v>40565</v>
      </c>
      <c r="C494" s="21">
        <v>1</v>
      </c>
      <c r="D494" s="21">
        <v>0</v>
      </c>
      <c r="E494" s="21">
        <v>1</v>
      </c>
      <c r="F494" s="21">
        <v>14</v>
      </c>
      <c r="G494" s="21" t="b">
        <v>0</v>
      </c>
      <c r="H494" s="21">
        <v>6</v>
      </c>
      <c r="I494" s="21">
        <v>1</v>
      </c>
      <c r="J494" s="21">
        <v>0.1</v>
      </c>
      <c r="K494" s="21">
        <v>0.13639999999999999</v>
      </c>
      <c r="L494" s="21">
        <v>0.33</v>
      </c>
      <c r="M494" s="21">
        <v>0.1045</v>
      </c>
      <c r="N494" s="21">
        <v>11</v>
      </c>
      <c r="O494" s="21">
        <v>64</v>
      </c>
      <c r="P494" s="21">
        <v>75</v>
      </c>
    </row>
    <row r="495" spans="1:16" x14ac:dyDescent="0.35">
      <c r="A495" s="21">
        <v>494</v>
      </c>
      <c r="B495" s="39">
        <v>40565</v>
      </c>
      <c r="C495" s="21">
        <v>1</v>
      </c>
      <c r="D495" s="21">
        <v>0</v>
      </c>
      <c r="E495" s="21">
        <v>1</v>
      </c>
      <c r="F495" s="21">
        <v>15</v>
      </c>
      <c r="G495" s="21" t="b">
        <v>0</v>
      </c>
      <c r="H495" s="21">
        <v>6</v>
      </c>
      <c r="I495" s="21">
        <v>1</v>
      </c>
      <c r="J495" s="21">
        <v>0.12</v>
      </c>
      <c r="K495" s="21">
        <v>0.1515</v>
      </c>
      <c r="L495" s="21">
        <v>0.28000000000000003</v>
      </c>
      <c r="M495" s="21">
        <v>0</v>
      </c>
      <c r="N495" s="21">
        <v>10</v>
      </c>
      <c r="O495" s="21">
        <v>93</v>
      </c>
      <c r="P495" s="21">
        <v>103</v>
      </c>
    </row>
    <row r="496" spans="1:16" x14ac:dyDescent="0.35">
      <c r="A496" s="21">
        <v>495</v>
      </c>
      <c r="B496" s="39">
        <v>40565</v>
      </c>
      <c r="C496" s="21">
        <v>1</v>
      </c>
      <c r="D496" s="21">
        <v>0</v>
      </c>
      <c r="E496" s="21">
        <v>1</v>
      </c>
      <c r="F496" s="21">
        <v>16</v>
      </c>
      <c r="G496" s="21" t="b">
        <v>0</v>
      </c>
      <c r="H496" s="21">
        <v>6</v>
      </c>
      <c r="I496" s="21">
        <v>1</v>
      </c>
      <c r="J496" s="21">
        <v>0.12</v>
      </c>
      <c r="K496" s="21">
        <v>0.13639999999999999</v>
      </c>
      <c r="L496" s="21">
        <v>0.28000000000000003</v>
      </c>
      <c r="M496" s="21">
        <v>0.19400000000000001</v>
      </c>
      <c r="N496" s="21">
        <v>11</v>
      </c>
      <c r="O496" s="21">
        <v>72</v>
      </c>
      <c r="P496" s="21">
        <v>83</v>
      </c>
    </row>
    <row r="497" spans="1:16" x14ac:dyDescent="0.35">
      <c r="A497" s="21">
        <v>496</v>
      </c>
      <c r="B497" s="39">
        <v>40565</v>
      </c>
      <c r="C497" s="21">
        <v>1</v>
      </c>
      <c r="D497" s="21">
        <v>0</v>
      </c>
      <c r="E497" s="21">
        <v>1</v>
      </c>
      <c r="F497" s="21">
        <v>17</v>
      </c>
      <c r="G497" s="21" t="b">
        <v>0</v>
      </c>
      <c r="H497" s="21">
        <v>6</v>
      </c>
      <c r="I497" s="21">
        <v>1</v>
      </c>
      <c r="J497" s="21">
        <v>0.12</v>
      </c>
      <c r="K497" s="21">
        <v>0.19700000000000001</v>
      </c>
      <c r="L497" s="21">
        <v>0.28000000000000003</v>
      </c>
      <c r="M497" s="21">
        <v>0</v>
      </c>
      <c r="N497" s="21">
        <v>8</v>
      </c>
      <c r="O497" s="21">
        <v>59</v>
      </c>
      <c r="P497" s="21">
        <v>67</v>
      </c>
    </row>
    <row r="498" spans="1:16" x14ac:dyDescent="0.35">
      <c r="A498" s="21">
        <v>497</v>
      </c>
      <c r="B498" s="39">
        <v>40565</v>
      </c>
      <c r="C498" s="21">
        <v>1</v>
      </c>
      <c r="D498" s="21">
        <v>0</v>
      </c>
      <c r="E498" s="21">
        <v>1</v>
      </c>
      <c r="F498" s="21">
        <v>18</v>
      </c>
      <c r="G498" s="21" t="b">
        <v>0</v>
      </c>
      <c r="H498" s="21">
        <v>6</v>
      </c>
      <c r="I498" s="21">
        <v>1</v>
      </c>
      <c r="J498" s="21">
        <v>0.08</v>
      </c>
      <c r="K498" s="21">
        <v>9.0899999999999995E-2</v>
      </c>
      <c r="L498" s="21">
        <v>0.35</v>
      </c>
      <c r="M498" s="21">
        <v>0.19400000000000001</v>
      </c>
      <c r="N498" s="21">
        <v>0</v>
      </c>
      <c r="O498" s="21">
        <v>54</v>
      </c>
      <c r="P498" s="21">
        <v>54</v>
      </c>
    </row>
    <row r="499" spans="1:16" x14ac:dyDescent="0.35">
      <c r="A499" s="21">
        <v>498</v>
      </c>
      <c r="B499" s="39">
        <v>40565</v>
      </c>
      <c r="C499" s="21">
        <v>1</v>
      </c>
      <c r="D499" s="21">
        <v>0</v>
      </c>
      <c r="E499" s="21">
        <v>1</v>
      </c>
      <c r="F499" s="21">
        <v>19</v>
      </c>
      <c r="G499" s="21" t="b">
        <v>0</v>
      </c>
      <c r="H499" s="21">
        <v>6</v>
      </c>
      <c r="I499" s="21">
        <v>1</v>
      </c>
      <c r="J499" s="21">
        <v>0.08</v>
      </c>
      <c r="K499" s="21">
        <v>0.1061</v>
      </c>
      <c r="L499" s="21">
        <v>0.35</v>
      </c>
      <c r="M499" s="21">
        <v>0.1343</v>
      </c>
      <c r="N499" s="21">
        <v>6</v>
      </c>
      <c r="O499" s="21">
        <v>53</v>
      </c>
      <c r="P499" s="21">
        <v>59</v>
      </c>
    </row>
    <row r="500" spans="1:16" x14ac:dyDescent="0.35">
      <c r="A500" s="21">
        <v>499</v>
      </c>
      <c r="B500" s="39">
        <v>40565</v>
      </c>
      <c r="C500" s="21">
        <v>1</v>
      </c>
      <c r="D500" s="21">
        <v>0</v>
      </c>
      <c r="E500" s="21">
        <v>1</v>
      </c>
      <c r="F500" s="21">
        <v>20</v>
      </c>
      <c r="G500" s="21" t="b">
        <v>0</v>
      </c>
      <c r="H500" s="21">
        <v>6</v>
      </c>
      <c r="I500" s="21">
        <v>1</v>
      </c>
      <c r="J500" s="21">
        <v>0.06</v>
      </c>
      <c r="K500" s="21">
        <v>7.5800000000000006E-2</v>
      </c>
      <c r="L500" s="21">
        <v>0.45</v>
      </c>
      <c r="M500" s="21">
        <v>0.16420000000000001</v>
      </c>
      <c r="N500" s="21">
        <v>1</v>
      </c>
      <c r="O500" s="21">
        <v>44</v>
      </c>
      <c r="P500" s="21">
        <v>45</v>
      </c>
    </row>
    <row r="501" spans="1:16" x14ac:dyDescent="0.35">
      <c r="A501" s="21">
        <v>500</v>
      </c>
      <c r="B501" s="39">
        <v>40565</v>
      </c>
      <c r="C501" s="21">
        <v>1</v>
      </c>
      <c r="D501" s="21">
        <v>0</v>
      </c>
      <c r="E501" s="21">
        <v>1</v>
      </c>
      <c r="F501" s="21">
        <v>21</v>
      </c>
      <c r="G501" s="21" t="b">
        <v>0</v>
      </c>
      <c r="H501" s="21">
        <v>6</v>
      </c>
      <c r="I501" s="21">
        <v>1</v>
      </c>
      <c r="J501" s="21">
        <v>0.06</v>
      </c>
      <c r="K501" s="21">
        <v>0.1061</v>
      </c>
      <c r="L501" s="21">
        <v>0.41</v>
      </c>
      <c r="M501" s="21">
        <v>8.9599999999999999E-2</v>
      </c>
      <c r="N501" s="21">
        <v>0</v>
      </c>
      <c r="O501" s="21">
        <v>39</v>
      </c>
      <c r="P501" s="21">
        <v>39</v>
      </c>
    </row>
    <row r="502" spans="1:16" x14ac:dyDescent="0.35">
      <c r="A502" s="21">
        <v>501</v>
      </c>
      <c r="B502" s="39">
        <v>40565</v>
      </c>
      <c r="C502" s="21">
        <v>1</v>
      </c>
      <c r="D502" s="21">
        <v>0</v>
      </c>
      <c r="E502" s="21">
        <v>1</v>
      </c>
      <c r="F502" s="21">
        <v>22</v>
      </c>
      <c r="G502" s="21" t="b">
        <v>0</v>
      </c>
      <c r="H502" s="21">
        <v>6</v>
      </c>
      <c r="I502" s="21">
        <v>1</v>
      </c>
      <c r="J502" s="21">
        <v>0.06</v>
      </c>
      <c r="K502" s="21">
        <v>0.1515</v>
      </c>
      <c r="L502" s="21">
        <v>0.49</v>
      </c>
      <c r="M502" s="21">
        <v>0</v>
      </c>
      <c r="N502" s="21">
        <v>7</v>
      </c>
      <c r="O502" s="21">
        <v>23</v>
      </c>
      <c r="P502" s="21">
        <v>30</v>
      </c>
    </row>
    <row r="503" spans="1:16" x14ac:dyDescent="0.35">
      <c r="A503" s="21">
        <v>502</v>
      </c>
      <c r="B503" s="39">
        <v>40565</v>
      </c>
      <c r="C503" s="21">
        <v>1</v>
      </c>
      <c r="D503" s="21">
        <v>0</v>
      </c>
      <c r="E503" s="21">
        <v>1</v>
      </c>
      <c r="F503" s="21">
        <v>23</v>
      </c>
      <c r="G503" s="21" t="b">
        <v>0</v>
      </c>
      <c r="H503" s="21">
        <v>6</v>
      </c>
      <c r="I503" s="21">
        <v>1</v>
      </c>
      <c r="J503" s="21">
        <v>0.04</v>
      </c>
      <c r="K503" s="21">
        <v>7.5800000000000006E-2</v>
      </c>
      <c r="L503" s="21">
        <v>0.56999999999999995</v>
      </c>
      <c r="M503" s="21">
        <v>0.1045</v>
      </c>
      <c r="N503" s="21">
        <v>2</v>
      </c>
      <c r="O503" s="21">
        <v>31</v>
      </c>
      <c r="P503" s="21">
        <v>33</v>
      </c>
    </row>
    <row r="504" spans="1:16" x14ac:dyDescent="0.35">
      <c r="A504" s="21">
        <v>503</v>
      </c>
      <c r="B504" s="39">
        <v>40566</v>
      </c>
      <c r="C504" s="21">
        <v>1</v>
      </c>
      <c r="D504" s="21">
        <v>0</v>
      </c>
      <c r="E504" s="21">
        <v>1</v>
      </c>
      <c r="F504" s="21">
        <v>0</v>
      </c>
      <c r="G504" s="21" t="b">
        <v>0</v>
      </c>
      <c r="H504" s="21">
        <v>0</v>
      </c>
      <c r="I504" s="21">
        <v>1</v>
      </c>
      <c r="J504" s="21">
        <v>0.04</v>
      </c>
      <c r="K504" s="21">
        <v>7.5800000000000006E-2</v>
      </c>
      <c r="L504" s="21">
        <v>0.56999999999999995</v>
      </c>
      <c r="M504" s="21">
        <v>0.1045</v>
      </c>
      <c r="N504" s="21">
        <v>2</v>
      </c>
      <c r="O504" s="21">
        <v>20</v>
      </c>
      <c r="P504" s="21">
        <v>22</v>
      </c>
    </row>
    <row r="505" spans="1:16" x14ac:dyDescent="0.35">
      <c r="A505" s="21">
        <v>504</v>
      </c>
      <c r="B505" s="39">
        <v>40566</v>
      </c>
      <c r="C505" s="21">
        <v>1</v>
      </c>
      <c r="D505" s="21">
        <v>0</v>
      </c>
      <c r="E505" s="21">
        <v>1</v>
      </c>
      <c r="F505" s="21">
        <v>1</v>
      </c>
      <c r="G505" s="21" t="b">
        <v>0</v>
      </c>
      <c r="H505" s="21">
        <v>0</v>
      </c>
      <c r="I505" s="21">
        <v>1</v>
      </c>
      <c r="J505" s="21">
        <v>0.04</v>
      </c>
      <c r="K505" s="21">
        <v>7.5800000000000006E-2</v>
      </c>
      <c r="L505" s="21">
        <v>0.56999999999999995</v>
      </c>
      <c r="M505" s="21">
        <v>0.1045</v>
      </c>
      <c r="N505" s="21">
        <v>1</v>
      </c>
      <c r="O505" s="21">
        <v>12</v>
      </c>
      <c r="P505" s="21">
        <v>13</v>
      </c>
    </row>
    <row r="506" spans="1:16" x14ac:dyDescent="0.35">
      <c r="A506" s="21">
        <v>505</v>
      </c>
      <c r="B506" s="39">
        <v>40566</v>
      </c>
      <c r="C506" s="21">
        <v>1</v>
      </c>
      <c r="D506" s="21">
        <v>0</v>
      </c>
      <c r="E506" s="21">
        <v>1</v>
      </c>
      <c r="F506" s="21">
        <v>2</v>
      </c>
      <c r="G506" s="21" t="b">
        <v>0</v>
      </c>
      <c r="H506" s="21">
        <v>0</v>
      </c>
      <c r="I506" s="21">
        <v>1</v>
      </c>
      <c r="J506" s="21">
        <v>0.02</v>
      </c>
      <c r="K506" s="21">
        <v>6.0600000000000001E-2</v>
      </c>
      <c r="L506" s="21">
        <v>0.62</v>
      </c>
      <c r="M506" s="21">
        <v>0.1343</v>
      </c>
      <c r="N506" s="21">
        <v>3</v>
      </c>
      <c r="O506" s="21">
        <v>15</v>
      </c>
      <c r="P506" s="21">
        <v>18</v>
      </c>
    </row>
    <row r="507" spans="1:16" x14ac:dyDescent="0.35">
      <c r="A507" s="21">
        <v>506</v>
      </c>
      <c r="B507" s="39">
        <v>40566</v>
      </c>
      <c r="C507" s="21">
        <v>1</v>
      </c>
      <c r="D507" s="21">
        <v>0</v>
      </c>
      <c r="E507" s="21">
        <v>1</v>
      </c>
      <c r="F507" s="21">
        <v>3</v>
      </c>
      <c r="G507" s="21" t="b">
        <v>0</v>
      </c>
      <c r="H507" s="21">
        <v>0</v>
      </c>
      <c r="I507" s="21">
        <v>1</v>
      </c>
      <c r="J507" s="21">
        <v>0.02</v>
      </c>
      <c r="K507" s="21">
        <v>6.0600000000000001E-2</v>
      </c>
      <c r="L507" s="21">
        <v>0.62</v>
      </c>
      <c r="M507" s="21">
        <v>0.1343</v>
      </c>
      <c r="N507" s="21">
        <v>1</v>
      </c>
      <c r="O507" s="21">
        <v>4</v>
      </c>
      <c r="P507" s="21">
        <v>5</v>
      </c>
    </row>
    <row r="508" spans="1:16" x14ac:dyDescent="0.35">
      <c r="A508" s="21">
        <v>507</v>
      </c>
      <c r="B508" s="39">
        <v>40566</v>
      </c>
      <c r="C508" s="21">
        <v>1</v>
      </c>
      <c r="D508" s="21">
        <v>0</v>
      </c>
      <c r="E508" s="21">
        <v>1</v>
      </c>
      <c r="F508" s="21">
        <v>5</v>
      </c>
      <c r="G508" s="21" t="b">
        <v>0</v>
      </c>
      <c r="H508" s="21">
        <v>0</v>
      </c>
      <c r="I508" s="21">
        <v>2</v>
      </c>
      <c r="J508" s="21">
        <v>0.04</v>
      </c>
      <c r="K508" s="21">
        <v>7.5800000000000006E-2</v>
      </c>
      <c r="L508" s="21">
        <v>0.56999999999999995</v>
      </c>
      <c r="M508" s="21">
        <v>0.1045</v>
      </c>
      <c r="N508" s="21">
        <v>0</v>
      </c>
      <c r="O508" s="21">
        <v>3</v>
      </c>
      <c r="P508" s="21">
        <v>3</v>
      </c>
    </row>
    <row r="509" spans="1:16" x14ac:dyDescent="0.35">
      <c r="A509" s="21">
        <v>508</v>
      </c>
      <c r="B509" s="39">
        <v>40566</v>
      </c>
      <c r="C509" s="21">
        <v>1</v>
      </c>
      <c r="D509" s="21">
        <v>0</v>
      </c>
      <c r="E509" s="21">
        <v>1</v>
      </c>
      <c r="F509" s="21">
        <v>6</v>
      </c>
      <c r="G509" s="21" t="b">
        <v>0</v>
      </c>
      <c r="H509" s="21">
        <v>0</v>
      </c>
      <c r="I509" s="21">
        <v>2</v>
      </c>
      <c r="J509" s="21">
        <v>0.04</v>
      </c>
      <c r="K509" s="21">
        <v>7.5800000000000006E-2</v>
      </c>
      <c r="L509" s="21">
        <v>0.56999999999999995</v>
      </c>
      <c r="M509" s="21">
        <v>0.1045</v>
      </c>
      <c r="N509" s="21">
        <v>0</v>
      </c>
      <c r="O509" s="21">
        <v>1</v>
      </c>
      <c r="P509" s="21">
        <v>1</v>
      </c>
    </row>
    <row r="510" spans="1:16" x14ac:dyDescent="0.35">
      <c r="A510" s="21">
        <v>509</v>
      </c>
      <c r="B510" s="39">
        <v>40566</v>
      </c>
      <c r="C510" s="21">
        <v>1</v>
      </c>
      <c r="D510" s="21">
        <v>0</v>
      </c>
      <c r="E510" s="21">
        <v>1</v>
      </c>
      <c r="F510" s="21">
        <v>7</v>
      </c>
      <c r="G510" s="21" t="b">
        <v>0</v>
      </c>
      <c r="H510" s="21">
        <v>0</v>
      </c>
      <c r="I510" s="21">
        <v>1</v>
      </c>
      <c r="J510" s="21">
        <v>0.08</v>
      </c>
      <c r="K510" s="21">
        <v>0.1061</v>
      </c>
      <c r="L510" s="21">
        <v>0.57999999999999996</v>
      </c>
      <c r="M510" s="21">
        <v>0.16420000000000001</v>
      </c>
      <c r="N510" s="21">
        <v>1</v>
      </c>
      <c r="O510" s="21">
        <v>1</v>
      </c>
      <c r="P510" s="21">
        <v>2</v>
      </c>
    </row>
    <row r="511" spans="1:16" x14ac:dyDescent="0.35">
      <c r="A511" s="21">
        <v>510</v>
      </c>
      <c r="B511" s="39">
        <v>40566</v>
      </c>
      <c r="C511" s="21">
        <v>1</v>
      </c>
      <c r="D511" s="21">
        <v>0</v>
      </c>
      <c r="E511" s="21">
        <v>1</v>
      </c>
      <c r="F511" s="21">
        <v>8</v>
      </c>
      <c r="G511" s="21" t="b">
        <v>0</v>
      </c>
      <c r="H511" s="21">
        <v>0</v>
      </c>
      <c r="I511" s="21">
        <v>1</v>
      </c>
      <c r="J511" s="21">
        <v>0.06</v>
      </c>
      <c r="K511" s="21">
        <v>7.5800000000000006E-2</v>
      </c>
      <c r="L511" s="21">
        <v>0.62</v>
      </c>
      <c r="M511" s="21">
        <v>0.16420000000000001</v>
      </c>
      <c r="N511" s="21">
        <v>2</v>
      </c>
      <c r="O511" s="21">
        <v>17</v>
      </c>
      <c r="P511" s="21">
        <v>19</v>
      </c>
    </row>
    <row r="512" spans="1:16" x14ac:dyDescent="0.35">
      <c r="A512" s="21">
        <v>511</v>
      </c>
      <c r="B512" s="39">
        <v>40566</v>
      </c>
      <c r="C512" s="21">
        <v>1</v>
      </c>
      <c r="D512" s="21">
        <v>0</v>
      </c>
      <c r="E512" s="21">
        <v>1</v>
      </c>
      <c r="F512" s="21">
        <v>9</v>
      </c>
      <c r="G512" s="21" t="b">
        <v>0</v>
      </c>
      <c r="H512" s="21">
        <v>0</v>
      </c>
      <c r="I512" s="21">
        <v>1</v>
      </c>
      <c r="J512" s="21">
        <v>0.1</v>
      </c>
      <c r="K512" s="21">
        <v>7.5800000000000006E-2</v>
      </c>
      <c r="L512" s="21">
        <v>0.54</v>
      </c>
      <c r="M512" s="21">
        <v>0.35820000000000002</v>
      </c>
      <c r="N512" s="21">
        <v>3</v>
      </c>
      <c r="O512" s="21">
        <v>25</v>
      </c>
      <c r="P512" s="21">
        <v>28</v>
      </c>
    </row>
    <row r="513" spans="1:16" x14ac:dyDescent="0.35">
      <c r="A513" s="21">
        <v>512</v>
      </c>
      <c r="B513" s="39">
        <v>40566</v>
      </c>
      <c r="C513" s="21">
        <v>1</v>
      </c>
      <c r="D513" s="21">
        <v>0</v>
      </c>
      <c r="E513" s="21">
        <v>1</v>
      </c>
      <c r="F513" s="21">
        <v>10</v>
      </c>
      <c r="G513" s="21" t="b">
        <v>0</v>
      </c>
      <c r="H513" s="21">
        <v>0</v>
      </c>
      <c r="I513" s="21">
        <v>1</v>
      </c>
      <c r="J513" s="21">
        <v>0.14000000000000001</v>
      </c>
      <c r="K513" s="21">
        <v>0.1061</v>
      </c>
      <c r="L513" s="21">
        <v>0.46</v>
      </c>
      <c r="M513" s="21">
        <v>0.3881</v>
      </c>
      <c r="N513" s="21">
        <v>7</v>
      </c>
      <c r="O513" s="21">
        <v>51</v>
      </c>
      <c r="P513" s="21">
        <v>58</v>
      </c>
    </row>
    <row r="514" spans="1:16" x14ac:dyDescent="0.35">
      <c r="A514" s="21">
        <v>513</v>
      </c>
      <c r="B514" s="39">
        <v>40566</v>
      </c>
      <c r="C514" s="21">
        <v>1</v>
      </c>
      <c r="D514" s="21">
        <v>0</v>
      </c>
      <c r="E514" s="21">
        <v>1</v>
      </c>
      <c r="F514" s="21">
        <v>11</v>
      </c>
      <c r="G514" s="21" t="b">
        <v>0</v>
      </c>
      <c r="H514" s="21">
        <v>0</v>
      </c>
      <c r="I514" s="21">
        <v>1</v>
      </c>
      <c r="J514" s="21">
        <v>0.14000000000000001</v>
      </c>
      <c r="K514" s="21">
        <v>0.13639999999999999</v>
      </c>
      <c r="L514" s="21">
        <v>0.43</v>
      </c>
      <c r="M514" s="21">
        <v>0.22389999999999999</v>
      </c>
      <c r="N514" s="21">
        <v>22</v>
      </c>
      <c r="O514" s="21">
        <v>77</v>
      </c>
      <c r="P514" s="21">
        <v>99</v>
      </c>
    </row>
    <row r="515" spans="1:16" x14ac:dyDescent="0.35">
      <c r="A515" s="21">
        <v>514</v>
      </c>
      <c r="B515" s="39">
        <v>40566</v>
      </c>
      <c r="C515" s="21">
        <v>1</v>
      </c>
      <c r="D515" s="21">
        <v>0</v>
      </c>
      <c r="E515" s="21">
        <v>1</v>
      </c>
      <c r="F515" s="21">
        <v>12</v>
      </c>
      <c r="G515" s="21" t="b">
        <v>0</v>
      </c>
      <c r="H515" s="21">
        <v>0</v>
      </c>
      <c r="I515" s="21">
        <v>1</v>
      </c>
      <c r="J515" s="21">
        <v>0.16</v>
      </c>
      <c r="K515" s="21">
        <v>0.1212</v>
      </c>
      <c r="L515" s="21">
        <v>0.37</v>
      </c>
      <c r="M515" s="21">
        <v>0.4627</v>
      </c>
      <c r="N515" s="21">
        <v>24</v>
      </c>
      <c r="O515" s="21">
        <v>92</v>
      </c>
      <c r="P515" s="21">
        <v>116</v>
      </c>
    </row>
    <row r="516" spans="1:16" x14ac:dyDescent="0.35">
      <c r="A516" s="21">
        <v>515</v>
      </c>
      <c r="B516" s="39">
        <v>40566</v>
      </c>
      <c r="C516" s="21">
        <v>1</v>
      </c>
      <c r="D516" s="21">
        <v>0</v>
      </c>
      <c r="E516" s="21">
        <v>1</v>
      </c>
      <c r="F516" s="21">
        <v>13</v>
      </c>
      <c r="G516" s="21" t="b">
        <v>0</v>
      </c>
      <c r="H516" s="21">
        <v>0</v>
      </c>
      <c r="I516" s="21">
        <v>1</v>
      </c>
      <c r="J516" s="21">
        <v>0.14000000000000001</v>
      </c>
      <c r="K516" s="21">
        <v>0.1061</v>
      </c>
      <c r="L516" s="21">
        <v>0.33</v>
      </c>
      <c r="M516" s="21">
        <v>0.3881</v>
      </c>
      <c r="N516" s="21">
        <v>12</v>
      </c>
      <c r="O516" s="21">
        <v>75</v>
      </c>
      <c r="P516" s="21">
        <v>87</v>
      </c>
    </row>
    <row r="517" spans="1:16" x14ac:dyDescent="0.35">
      <c r="A517" s="21">
        <v>516</v>
      </c>
      <c r="B517" s="39">
        <v>40566</v>
      </c>
      <c r="C517" s="21">
        <v>1</v>
      </c>
      <c r="D517" s="21">
        <v>0</v>
      </c>
      <c r="E517" s="21">
        <v>1</v>
      </c>
      <c r="F517" s="21">
        <v>14</v>
      </c>
      <c r="G517" s="21" t="b">
        <v>0</v>
      </c>
      <c r="H517" s="21">
        <v>0</v>
      </c>
      <c r="I517" s="21">
        <v>1</v>
      </c>
      <c r="J517" s="21">
        <v>0.16</v>
      </c>
      <c r="K517" s="21">
        <v>0.13639999999999999</v>
      </c>
      <c r="L517" s="21">
        <v>0.28000000000000003</v>
      </c>
      <c r="M517" s="21">
        <v>0.35820000000000002</v>
      </c>
      <c r="N517" s="21">
        <v>17</v>
      </c>
      <c r="O517" s="21">
        <v>93</v>
      </c>
      <c r="P517" s="21">
        <v>110</v>
      </c>
    </row>
    <row r="518" spans="1:16" x14ac:dyDescent="0.35">
      <c r="A518" s="21">
        <v>517</v>
      </c>
      <c r="B518" s="39">
        <v>40566</v>
      </c>
      <c r="C518" s="21">
        <v>1</v>
      </c>
      <c r="D518" s="21">
        <v>0</v>
      </c>
      <c r="E518" s="21">
        <v>1</v>
      </c>
      <c r="F518" s="21">
        <v>15</v>
      </c>
      <c r="G518" s="21" t="b">
        <v>0</v>
      </c>
      <c r="H518" s="21">
        <v>0</v>
      </c>
      <c r="I518" s="21">
        <v>1</v>
      </c>
      <c r="J518" s="21">
        <v>0.16</v>
      </c>
      <c r="K518" s="21">
        <v>0.13639999999999999</v>
      </c>
      <c r="L518" s="21">
        <v>0.28000000000000003</v>
      </c>
      <c r="M518" s="21">
        <v>0.35820000000000002</v>
      </c>
      <c r="N518" s="21">
        <v>13</v>
      </c>
      <c r="O518" s="21">
        <v>64</v>
      </c>
      <c r="P518" s="21">
        <v>77</v>
      </c>
    </row>
    <row r="519" spans="1:16" x14ac:dyDescent="0.35">
      <c r="A519" s="21">
        <v>518</v>
      </c>
      <c r="B519" s="39">
        <v>40566</v>
      </c>
      <c r="C519" s="21">
        <v>1</v>
      </c>
      <c r="D519" s="21">
        <v>0</v>
      </c>
      <c r="E519" s="21">
        <v>1</v>
      </c>
      <c r="F519" s="21">
        <v>16</v>
      </c>
      <c r="G519" s="21" t="b">
        <v>0</v>
      </c>
      <c r="H519" s="21">
        <v>0</v>
      </c>
      <c r="I519" s="21">
        <v>1</v>
      </c>
      <c r="J519" s="21">
        <v>0.16</v>
      </c>
      <c r="K519" s="21">
        <v>0.13639999999999999</v>
      </c>
      <c r="L519" s="21">
        <v>0.26</v>
      </c>
      <c r="M519" s="21">
        <v>0.32840000000000003</v>
      </c>
      <c r="N519" s="21">
        <v>9</v>
      </c>
      <c r="O519" s="21">
        <v>56</v>
      </c>
      <c r="P519" s="21">
        <v>65</v>
      </c>
    </row>
    <row r="520" spans="1:16" x14ac:dyDescent="0.35">
      <c r="A520" s="21">
        <v>519</v>
      </c>
      <c r="B520" s="39">
        <v>40566</v>
      </c>
      <c r="C520" s="21">
        <v>1</v>
      </c>
      <c r="D520" s="21">
        <v>0</v>
      </c>
      <c r="E520" s="21">
        <v>1</v>
      </c>
      <c r="F520" s="21">
        <v>17</v>
      </c>
      <c r="G520" s="21" t="b">
        <v>0</v>
      </c>
      <c r="H520" s="21">
        <v>0</v>
      </c>
      <c r="I520" s="21">
        <v>1</v>
      </c>
      <c r="J520" s="21">
        <v>0.14000000000000001</v>
      </c>
      <c r="K520" s="21">
        <v>0.1061</v>
      </c>
      <c r="L520" s="21">
        <v>0.26</v>
      </c>
      <c r="M520" s="21">
        <v>0.3881</v>
      </c>
      <c r="N520" s="21">
        <v>5</v>
      </c>
      <c r="O520" s="21">
        <v>50</v>
      </c>
      <c r="P520" s="21">
        <v>55</v>
      </c>
    </row>
    <row r="521" spans="1:16" x14ac:dyDescent="0.35">
      <c r="A521" s="21">
        <v>520</v>
      </c>
      <c r="B521" s="39">
        <v>40566</v>
      </c>
      <c r="C521" s="21">
        <v>1</v>
      </c>
      <c r="D521" s="21">
        <v>0</v>
      </c>
      <c r="E521" s="21">
        <v>1</v>
      </c>
      <c r="F521" s="21">
        <v>18</v>
      </c>
      <c r="G521" s="21" t="b">
        <v>0</v>
      </c>
      <c r="H521" s="21">
        <v>0</v>
      </c>
      <c r="I521" s="21">
        <v>1</v>
      </c>
      <c r="J521" s="21">
        <v>0.12</v>
      </c>
      <c r="K521" s="21">
        <v>0.1212</v>
      </c>
      <c r="L521" s="21">
        <v>0.3</v>
      </c>
      <c r="M521" s="21">
        <v>0.25369999999999998</v>
      </c>
      <c r="N521" s="21">
        <v>5</v>
      </c>
      <c r="O521" s="21">
        <v>44</v>
      </c>
      <c r="P521" s="21">
        <v>49</v>
      </c>
    </row>
    <row r="522" spans="1:16" x14ac:dyDescent="0.35">
      <c r="A522" s="21">
        <v>521</v>
      </c>
      <c r="B522" s="39">
        <v>40566</v>
      </c>
      <c r="C522" s="21">
        <v>1</v>
      </c>
      <c r="D522" s="21">
        <v>0</v>
      </c>
      <c r="E522" s="21">
        <v>1</v>
      </c>
      <c r="F522" s="21">
        <v>19</v>
      </c>
      <c r="G522" s="21" t="b">
        <v>0</v>
      </c>
      <c r="H522" s="21">
        <v>0</v>
      </c>
      <c r="I522" s="21">
        <v>1</v>
      </c>
      <c r="J522" s="21">
        <v>0.12</v>
      </c>
      <c r="K522" s="21">
        <v>0.1212</v>
      </c>
      <c r="L522" s="21">
        <v>0.3</v>
      </c>
      <c r="M522" s="21">
        <v>0.28360000000000002</v>
      </c>
      <c r="N522" s="21">
        <v>5</v>
      </c>
      <c r="O522" s="21">
        <v>45</v>
      </c>
      <c r="P522" s="21">
        <v>50</v>
      </c>
    </row>
    <row r="523" spans="1:16" x14ac:dyDescent="0.35">
      <c r="A523" s="21">
        <v>522</v>
      </c>
      <c r="B523" s="39">
        <v>40566</v>
      </c>
      <c r="C523" s="21">
        <v>1</v>
      </c>
      <c r="D523" s="21">
        <v>0</v>
      </c>
      <c r="E523" s="21">
        <v>1</v>
      </c>
      <c r="F523" s="21">
        <v>20</v>
      </c>
      <c r="G523" s="21" t="b">
        <v>0</v>
      </c>
      <c r="H523" s="21">
        <v>0</v>
      </c>
      <c r="I523" s="21">
        <v>1</v>
      </c>
      <c r="J523" s="21">
        <v>0.1</v>
      </c>
      <c r="K523" s="21">
        <v>0.1061</v>
      </c>
      <c r="L523" s="21">
        <v>0.36</v>
      </c>
      <c r="M523" s="21">
        <v>0.25369999999999998</v>
      </c>
      <c r="N523" s="21">
        <v>4</v>
      </c>
      <c r="O523" s="21">
        <v>31</v>
      </c>
      <c r="P523" s="21">
        <v>35</v>
      </c>
    </row>
    <row r="524" spans="1:16" x14ac:dyDescent="0.35">
      <c r="A524" s="21">
        <v>523</v>
      </c>
      <c r="B524" s="39">
        <v>40566</v>
      </c>
      <c r="C524" s="21">
        <v>1</v>
      </c>
      <c r="D524" s="21">
        <v>0</v>
      </c>
      <c r="E524" s="21">
        <v>1</v>
      </c>
      <c r="F524" s="21">
        <v>21</v>
      </c>
      <c r="G524" s="21" t="b">
        <v>0</v>
      </c>
      <c r="H524" s="21">
        <v>0</v>
      </c>
      <c r="I524" s="21">
        <v>1</v>
      </c>
      <c r="J524" s="21">
        <v>0.1</v>
      </c>
      <c r="K524" s="21">
        <v>0.1061</v>
      </c>
      <c r="L524" s="21">
        <v>0.36</v>
      </c>
      <c r="M524" s="21">
        <v>0.19400000000000001</v>
      </c>
      <c r="N524" s="21">
        <v>5</v>
      </c>
      <c r="O524" s="21">
        <v>20</v>
      </c>
      <c r="P524" s="21">
        <v>25</v>
      </c>
    </row>
    <row r="525" spans="1:16" x14ac:dyDescent="0.35">
      <c r="A525" s="21">
        <v>524</v>
      </c>
      <c r="B525" s="39">
        <v>40566</v>
      </c>
      <c r="C525" s="21">
        <v>1</v>
      </c>
      <c r="D525" s="21">
        <v>0</v>
      </c>
      <c r="E525" s="21">
        <v>1</v>
      </c>
      <c r="F525" s="21">
        <v>22</v>
      </c>
      <c r="G525" s="21" t="b">
        <v>0</v>
      </c>
      <c r="H525" s="21">
        <v>0</v>
      </c>
      <c r="I525" s="21">
        <v>1</v>
      </c>
      <c r="J525" s="21">
        <v>0.08</v>
      </c>
      <c r="K525" s="21">
        <v>9.0899999999999995E-2</v>
      </c>
      <c r="L525" s="21">
        <v>0.38</v>
      </c>
      <c r="M525" s="21">
        <v>0.19400000000000001</v>
      </c>
      <c r="N525" s="21">
        <v>5</v>
      </c>
      <c r="O525" s="21">
        <v>23</v>
      </c>
      <c r="P525" s="21">
        <v>28</v>
      </c>
    </row>
    <row r="526" spans="1:16" x14ac:dyDescent="0.35">
      <c r="A526" s="21">
        <v>525</v>
      </c>
      <c r="B526" s="39">
        <v>40566</v>
      </c>
      <c r="C526" s="21">
        <v>1</v>
      </c>
      <c r="D526" s="21">
        <v>0</v>
      </c>
      <c r="E526" s="21">
        <v>1</v>
      </c>
      <c r="F526" s="21">
        <v>23</v>
      </c>
      <c r="G526" s="21" t="b">
        <v>0</v>
      </c>
      <c r="H526" s="21">
        <v>0</v>
      </c>
      <c r="I526" s="21">
        <v>1</v>
      </c>
      <c r="J526" s="21">
        <v>0.06</v>
      </c>
      <c r="K526" s="21">
        <v>6.0600000000000001E-2</v>
      </c>
      <c r="L526" s="21">
        <v>0.41</v>
      </c>
      <c r="M526" s="21">
        <v>0.22389999999999999</v>
      </c>
      <c r="N526" s="21">
        <v>4</v>
      </c>
      <c r="O526" s="21">
        <v>17</v>
      </c>
      <c r="P526" s="21">
        <v>21</v>
      </c>
    </row>
    <row r="527" spans="1:16" x14ac:dyDescent="0.35">
      <c r="A527" s="21">
        <v>526</v>
      </c>
      <c r="B527" s="39">
        <v>40567</v>
      </c>
      <c r="C527" s="21">
        <v>1</v>
      </c>
      <c r="D527" s="21">
        <v>0</v>
      </c>
      <c r="E527" s="21">
        <v>1</v>
      </c>
      <c r="F527" s="21">
        <v>0</v>
      </c>
      <c r="G527" s="21" t="b">
        <v>0</v>
      </c>
      <c r="H527" s="21">
        <v>1</v>
      </c>
      <c r="I527" s="21">
        <v>1</v>
      </c>
      <c r="J527" s="21">
        <v>0.06</v>
      </c>
      <c r="K527" s="21">
        <v>6.0600000000000001E-2</v>
      </c>
      <c r="L527" s="21">
        <v>0.41</v>
      </c>
      <c r="M527" s="21">
        <v>0.19400000000000001</v>
      </c>
      <c r="N527" s="21">
        <v>0</v>
      </c>
      <c r="O527" s="21">
        <v>7</v>
      </c>
      <c r="P527" s="21">
        <v>7</v>
      </c>
    </row>
    <row r="528" spans="1:16" x14ac:dyDescent="0.35">
      <c r="A528" s="21">
        <v>527</v>
      </c>
      <c r="B528" s="39">
        <v>40567</v>
      </c>
      <c r="C528" s="21">
        <v>1</v>
      </c>
      <c r="D528" s="21">
        <v>0</v>
      </c>
      <c r="E528" s="21">
        <v>1</v>
      </c>
      <c r="F528" s="21">
        <v>1</v>
      </c>
      <c r="G528" s="21" t="b">
        <v>0</v>
      </c>
      <c r="H528" s="21">
        <v>1</v>
      </c>
      <c r="I528" s="21">
        <v>1</v>
      </c>
      <c r="J528" s="21">
        <v>0.04</v>
      </c>
      <c r="K528" s="21">
        <v>4.5499999999999999E-2</v>
      </c>
      <c r="L528" s="21">
        <v>0.45</v>
      </c>
      <c r="M528" s="21">
        <v>0.19400000000000001</v>
      </c>
      <c r="N528" s="21">
        <v>0</v>
      </c>
      <c r="O528" s="21">
        <v>1</v>
      </c>
      <c r="P528" s="21">
        <v>1</v>
      </c>
    </row>
    <row r="529" spans="1:16" x14ac:dyDescent="0.35">
      <c r="A529" s="21">
        <v>528</v>
      </c>
      <c r="B529" s="39">
        <v>40567</v>
      </c>
      <c r="C529" s="21">
        <v>1</v>
      </c>
      <c r="D529" s="21">
        <v>0</v>
      </c>
      <c r="E529" s="21">
        <v>1</v>
      </c>
      <c r="F529" s="21">
        <v>3</v>
      </c>
      <c r="G529" s="21" t="b">
        <v>0</v>
      </c>
      <c r="H529" s="21">
        <v>1</v>
      </c>
      <c r="I529" s="21">
        <v>1</v>
      </c>
      <c r="J529" s="21">
        <v>0.04</v>
      </c>
      <c r="K529" s="21">
        <v>3.0300000000000001E-2</v>
      </c>
      <c r="L529" s="21">
        <v>0.45</v>
      </c>
      <c r="M529" s="21">
        <v>0.25369999999999998</v>
      </c>
      <c r="N529" s="21">
        <v>0</v>
      </c>
      <c r="O529" s="21">
        <v>1</v>
      </c>
      <c r="P529" s="21">
        <v>1</v>
      </c>
    </row>
    <row r="530" spans="1:16" x14ac:dyDescent="0.35">
      <c r="A530" s="21">
        <v>529</v>
      </c>
      <c r="B530" s="39">
        <v>40567</v>
      </c>
      <c r="C530" s="21">
        <v>1</v>
      </c>
      <c r="D530" s="21">
        <v>0</v>
      </c>
      <c r="E530" s="21">
        <v>1</v>
      </c>
      <c r="F530" s="21">
        <v>4</v>
      </c>
      <c r="G530" s="21" t="b">
        <v>0</v>
      </c>
      <c r="H530" s="21">
        <v>1</v>
      </c>
      <c r="I530" s="21">
        <v>1</v>
      </c>
      <c r="J530" s="21">
        <v>0.02</v>
      </c>
      <c r="K530" s="21">
        <v>6.0600000000000001E-2</v>
      </c>
      <c r="L530" s="21">
        <v>0.48</v>
      </c>
      <c r="M530" s="21">
        <v>0.1343</v>
      </c>
      <c r="N530" s="21">
        <v>0</v>
      </c>
      <c r="O530" s="21">
        <v>1</v>
      </c>
      <c r="P530" s="21">
        <v>1</v>
      </c>
    </row>
    <row r="531" spans="1:16" x14ac:dyDescent="0.35">
      <c r="A531" s="21">
        <v>530</v>
      </c>
      <c r="B531" s="39">
        <v>40567</v>
      </c>
      <c r="C531" s="21">
        <v>1</v>
      </c>
      <c r="D531" s="21">
        <v>0</v>
      </c>
      <c r="E531" s="21">
        <v>1</v>
      </c>
      <c r="F531" s="21">
        <v>5</v>
      </c>
      <c r="G531" s="21" t="b">
        <v>0</v>
      </c>
      <c r="H531" s="21">
        <v>1</v>
      </c>
      <c r="I531" s="21">
        <v>1</v>
      </c>
      <c r="J531" s="21">
        <v>0.02</v>
      </c>
      <c r="K531" s="21">
        <v>6.0600000000000001E-2</v>
      </c>
      <c r="L531" s="21">
        <v>0.48</v>
      </c>
      <c r="M531" s="21">
        <v>0.1343</v>
      </c>
      <c r="N531" s="21">
        <v>0</v>
      </c>
      <c r="O531" s="21">
        <v>5</v>
      </c>
      <c r="P531" s="21">
        <v>5</v>
      </c>
    </row>
    <row r="532" spans="1:16" x14ac:dyDescent="0.35">
      <c r="A532" s="21">
        <v>531</v>
      </c>
      <c r="B532" s="39">
        <v>40567</v>
      </c>
      <c r="C532" s="21">
        <v>1</v>
      </c>
      <c r="D532" s="21">
        <v>0</v>
      </c>
      <c r="E532" s="21">
        <v>1</v>
      </c>
      <c r="F532" s="21">
        <v>6</v>
      </c>
      <c r="G532" s="21" t="b">
        <v>0</v>
      </c>
      <c r="H532" s="21">
        <v>1</v>
      </c>
      <c r="I532" s="21">
        <v>1</v>
      </c>
      <c r="J532" s="21">
        <v>0.02</v>
      </c>
      <c r="K532" s="21">
        <v>7.5800000000000006E-2</v>
      </c>
      <c r="L532" s="21">
        <v>0.48</v>
      </c>
      <c r="M532" s="21">
        <v>8.9599999999999999E-2</v>
      </c>
      <c r="N532" s="21">
        <v>0</v>
      </c>
      <c r="O532" s="21">
        <v>15</v>
      </c>
      <c r="P532" s="21">
        <v>15</v>
      </c>
    </row>
    <row r="533" spans="1:16" x14ac:dyDescent="0.35">
      <c r="A533" s="21">
        <v>532</v>
      </c>
      <c r="B533" s="39">
        <v>40567</v>
      </c>
      <c r="C533" s="21">
        <v>1</v>
      </c>
      <c r="D533" s="21">
        <v>0</v>
      </c>
      <c r="E533" s="21">
        <v>1</v>
      </c>
      <c r="F533" s="21">
        <v>7</v>
      </c>
      <c r="G533" s="21" t="b">
        <v>0</v>
      </c>
      <c r="H533" s="21">
        <v>1</v>
      </c>
      <c r="I533" s="21">
        <v>1</v>
      </c>
      <c r="J533" s="21">
        <v>0.02</v>
      </c>
      <c r="K533" s="21">
        <v>0.1212</v>
      </c>
      <c r="L533" s="21">
        <v>0.48</v>
      </c>
      <c r="M533" s="21">
        <v>0</v>
      </c>
      <c r="N533" s="21">
        <v>5</v>
      </c>
      <c r="O533" s="21">
        <v>79</v>
      </c>
      <c r="P533" s="21">
        <v>84</v>
      </c>
    </row>
    <row r="534" spans="1:16" x14ac:dyDescent="0.35">
      <c r="A534" s="21">
        <v>533</v>
      </c>
      <c r="B534" s="39">
        <v>40567</v>
      </c>
      <c r="C534" s="21">
        <v>1</v>
      </c>
      <c r="D534" s="21">
        <v>0</v>
      </c>
      <c r="E534" s="21">
        <v>1</v>
      </c>
      <c r="F534" s="21">
        <v>8</v>
      </c>
      <c r="G534" s="21" t="b">
        <v>0</v>
      </c>
      <c r="H534" s="21">
        <v>1</v>
      </c>
      <c r="I534" s="21">
        <v>1</v>
      </c>
      <c r="J534" s="21">
        <v>0.04</v>
      </c>
      <c r="K534" s="21">
        <v>0.13639999999999999</v>
      </c>
      <c r="L534" s="21">
        <v>0.49</v>
      </c>
      <c r="M534" s="21">
        <v>0</v>
      </c>
      <c r="N534" s="21">
        <v>6</v>
      </c>
      <c r="O534" s="21">
        <v>171</v>
      </c>
      <c r="P534" s="21">
        <v>177</v>
      </c>
    </row>
    <row r="535" spans="1:16" x14ac:dyDescent="0.35">
      <c r="A535" s="21">
        <v>534</v>
      </c>
      <c r="B535" s="39">
        <v>40567</v>
      </c>
      <c r="C535" s="21">
        <v>1</v>
      </c>
      <c r="D535" s="21">
        <v>0</v>
      </c>
      <c r="E535" s="21">
        <v>1</v>
      </c>
      <c r="F535" s="21">
        <v>9</v>
      </c>
      <c r="G535" s="21" t="b">
        <v>0</v>
      </c>
      <c r="H535" s="21">
        <v>1</v>
      </c>
      <c r="I535" s="21">
        <v>1</v>
      </c>
      <c r="J535" s="21">
        <v>0.06</v>
      </c>
      <c r="K535" s="21">
        <v>0.1515</v>
      </c>
      <c r="L535" s="21">
        <v>0.41</v>
      </c>
      <c r="M535" s="21">
        <v>0</v>
      </c>
      <c r="N535" s="21">
        <v>4</v>
      </c>
      <c r="O535" s="21">
        <v>98</v>
      </c>
      <c r="P535" s="21">
        <v>102</v>
      </c>
    </row>
    <row r="536" spans="1:16" x14ac:dyDescent="0.35">
      <c r="A536" s="21">
        <v>535</v>
      </c>
      <c r="B536" s="39">
        <v>40567</v>
      </c>
      <c r="C536" s="21">
        <v>1</v>
      </c>
      <c r="D536" s="21">
        <v>0</v>
      </c>
      <c r="E536" s="21">
        <v>1</v>
      </c>
      <c r="F536" s="21">
        <v>10</v>
      </c>
      <c r="G536" s="21" t="b">
        <v>0</v>
      </c>
      <c r="H536" s="21">
        <v>1</v>
      </c>
      <c r="I536" s="21">
        <v>1</v>
      </c>
      <c r="J536" s="21">
        <v>0.1</v>
      </c>
      <c r="K536" s="21">
        <v>0.13639999999999999</v>
      </c>
      <c r="L536" s="21">
        <v>0.42</v>
      </c>
      <c r="M536" s="21">
        <v>0</v>
      </c>
      <c r="N536" s="21">
        <v>6</v>
      </c>
      <c r="O536" s="21">
        <v>34</v>
      </c>
      <c r="P536" s="21">
        <v>40</v>
      </c>
    </row>
    <row r="537" spans="1:16" x14ac:dyDescent="0.35">
      <c r="A537" s="21">
        <v>536</v>
      </c>
      <c r="B537" s="39">
        <v>40567</v>
      </c>
      <c r="C537" s="21">
        <v>1</v>
      </c>
      <c r="D537" s="21">
        <v>0</v>
      </c>
      <c r="E537" s="21">
        <v>1</v>
      </c>
      <c r="F537" s="21">
        <v>11</v>
      </c>
      <c r="G537" s="21" t="b">
        <v>0</v>
      </c>
      <c r="H537" s="21">
        <v>1</v>
      </c>
      <c r="I537" s="21">
        <v>1</v>
      </c>
      <c r="J537" s="21">
        <v>0.1</v>
      </c>
      <c r="K537" s="21">
        <v>0.1212</v>
      </c>
      <c r="L537" s="21">
        <v>0.46</v>
      </c>
      <c r="M537" s="21">
        <v>0.1343</v>
      </c>
      <c r="N537" s="21">
        <v>3</v>
      </c>
      <c r="O537" s="21">
        <v>43</v>
      </c>
      <c r="P537" s="21">
        <v>46</v>
      </c>
    </row>
    <row r="538" spans="1:16" x14ac:dyDescent="0.35">
      <c r="A538" s="21">
        <v>537</v>
      </c>
      <c r="B538" s="39">
        <v>40567</v>
      </c>
      <c r="C538" s="21">
        <v>1</v>
      </c>
      <c r="D538" s="21">
        <v>0</v>
      </c>
      <c r="E538" s="21">
        <v>1</v>
      </c>
      <c r="F538" s="21">
        <v>12</v>
      </c>
      <c r="G538" s="21" t="b">
        <v>0</v>
      </c>
      <c r="H538" s="21">
        <v>1</v>
      </c>
      <c r="I538" s="21">
        <v>2</v>
      </c>
      <c r="J538" s="21">
        <v>0.12</v>
      </c>
      <c r="K538" s="21">
        <v>0.13639999999999999</v>
      </c>
      <c r="L538" s="21">
        <v>0.42</v>
      </c>
      <c r="M538" s="21">
        <v>0.19400000000000001</v>
      </c>
      <c r="N538" s="21">
        <v>11</v>
      </c>
      <c r="O538" s="21">
        <v>52</v>
      </c>
      <c r="P538" s="21">
        <v>63</v>
      </c>
    </row>
    <row r="539" spans="1:16" x14ac:dyDescent="0.35">
      <c r="A539" s="21">
        <v>538</v>
      </c>
      <c r="B539" s="39">
        <v>40567</v>
      </c>
      <c r="C539" s="21">
        <v>1</v>
      </c>
      <c r="D539" s="21">
        <v>0</v>
      </c>
      <c r="E539" s="21">
        <v>1</v>
      </c>
      <c r="F539" s="21">
        <v>13</v>
      </c>
      <c r="G539" s="21" t="b">
        <v>0</v>
      </c>
      <c r="H539" s="21">
        <v>1</v>
      </c>
      <c r="I539" s="21">
        <v>2</v>
      </c>
      <c r="J539" s="21">
        <v>0.14000000000000001</v>
      </c>
      <c r="K539" s="21">
        <v>0.13639999999999999</v>
      </c>
      <c r="L539" s="21">
        <v>0.43</v>
      </c>
      <c r="M539" s="21">
        <v>0.22389999999999999</v>
      </c>
      <c r="N539" s="21">
        <v>6</v>
      </c>
      <c r="O539" s="21">
        <v>54</v>
      </c>
      <c r="P539" s="21">
        <v>60</v>
      </c>
    </row>
    <row r="540" spans="1:16" x14ac:dyDescent="0.35">
      <c r="A540" s="21">
        <v>539</v>
      </c>
      <c r="B540" s="39">
        <v>40567</v>
      </c>
      <c r="C540" s="21">
        <v>1</v>
      </c>
      <c r="D540" s="21">
        <v>0</v>
      </c>
      <c r="E540" s="21">
        <v>1</v>
      </c>
      <c r="F540" s="21">
        <v>14</v>
      </c>
      <c r="G540" s="21" t="b">
        <v>0</v>
      </c>
      <c r="H540" s="21">
        <v>1</v>
      </c>
      <c r="I540" s="21">
        <v>2</v>
      </c>
      <c r="J540" s="21">
        <v>0.14000000000000001</v>
      </c>
      <c r="K540" s="21">
        <v>0.13639999999999999</v>
      </c>
      <c r="L540" s="21">
        <v>0.46</v>
      </c>
      <c r="M540" s="21">
        <v>0.22389999999999999</v>
      </c>
      <c r="N540" s="21">
        <v>2</v>
      </c>
      <c r="O540" s="21">
        <v>43</v>
      </c>
      <c r="P540" s="21">
        <v>45</v>
      </c>
    </row>
    <row r="541" spans="1:16" x14ac:dyDescent="0.35">
      <c r="A541" s="21">
        <v>540</v>
      </c>
      <c r="B541" s="39">
        <v>40567</v>
      </c>
      <c r="C541" s="21">
        <v>1</v>
      </c>
      <c r="D541" s="21">
        <v>0</v>
      </c>
      <c r="E541" s="21">
        <v>1</v>
      </c>
      <c r="F541" s="21">
        <v>15</v>
      </c>
      <c r="G541" s="21" t="b">
        <v>0</v>
      </c>
      <c r="H541" s="21">
        <v>1</v>
      </c>
      <c r="I541" s="21">
        <v>1</v>
      </c>
      <c r="J541" s="21">
        <v>0.16</v>
      </c>
      <c r="K541" s="21">
        <v>0.16669999999999999</v>
      </c>
      <c r="L541" s="21">
        <v>0.4</v>
      </c>
      <c r="M541" s="21">
        <v>0.16420000000000001</v>
      </c>
      <c r="N541" s="21">
        <v>7</v>
      </c>
      <c r="O541" s="21">
        <v>50</v>
      </c>
      <c r="P541" s="21">
        <v>57</v>
      </c>
    </row>
    <row r="542" spans="1:16" x14ac:dyDescent="0.35">
      <c r="A542" s="21">
        <v>541</v>
      </c>
      <c r="B542" s="39">
        <v>40567</v>
      </c>
      <c r="C542" s="21">
        <v>1</v>
      </c>
      <c r="D542" s="21">
        <v>0</v>
      </c>
      <c r="E542" s="21">
        <v>1</v>
      </c>
      <c r="F542" s="21">
        <v>16</v>
      </c>
      <c r="G542" s="21" t="b">
        <v>0</v>
      </c>
      <c r="H542" s="21">
        <v>1</v>
      </c>
      <c r="I542" s="21">
        <v>1</v>
      </c>
      <c r="J542" s="21">
        <v>0.16</v>
      </c>
      <c r="K542" s="21">
        <v>0.1515</v>
      </c>
      <c r="L542" s="21">
        <v>0.47</v>
      </c>
      <c r="M542" s="21">
        <v>0.25369999999999998</v>
      </c>
      <c r="N542" s="21">
        <v>4</v>
      </c>
      <c r="O542" s="21">
        <v>66</v>
      </c>
      <c r="P542" s="21">
        <v>70</v>
      </c>
    </row>
    <row r="543" spans="1:16" x14ac:dyDescent="0.35">
      <c r="A543" s="21">
        <v>542</v>
      </c>
      <c r="B543" s="39">
        <v>40567</v>
      </c>
      <c r="C543" s="21">
        <v>1</v>
      </c>
      <c r="D543" s="21">
        <v>0</v>
      </c>
      <c r="E543" s="21">
        <v>1</v>
      </c>
      <c r="F543" s="21">
        <v>17</v>
      </c>
      <c r="G543" s="21" t="b">
        <v>0</v>
      </c>
      <c r="H543" s="21">
        <v>1</v>
      </c>
      <c r="I543" s="21">
        <v>1</v>
      </c>
      <c r="J543" s="21">
        <v>0.14000000000000001</v>
      </c>
      <c r="K543" s="21">
        <v>0.1212</v>
      </c>
      <c r="L543" s="21">
        <v>0.5</v>
      </c>
      <c r="M543" s="21">
        <v>0.25369999999999998</v>
      </c>
      <c r="N543" s="21">
        <v>6</v>
      </c>
      <c r="O543" s="21">
        <v>178</v>
      </c>
      <c r="P543" s="21">
        <v>184</v>
      </c>
    </row>
    <row r="544" spans="1:16" x14ac:dyDescent="0.35">
      <c r="A544" s="21">
        <v>543</v>
      </c>
      <c r="B544" s="39">
        <v>40567</v>
      </c>
      <c r="C544" s="21">
        <v>1</v>
      </c>
      <c r="D544" s="21">
        <v>0</v>
      </c>
      <c r="E544" s="21">
        <v>1</v>
      </c>
      <c r="F544" s="21">
        <v>18</v>
      </c>
      <c r="G544" s="21" t="b">
        <v>0</v>
      </c>
      <c r="H544" s="21">
        <v>1</v>
      </c>
      <c r="I544" s="21">
        <v>1</v>
      </c>
      <c r="J544" s="21">
        <v>0.14000000000000001</v>
      </c>
      <c r="K544" s="21">
        <v>0.13639999999999999</v>
      </c>
      <c r="L544" s="21">
        <v>0.59</v>
      </c>
      <c r="M544" s="21">
        <v>0.19400000000000001</v>
      </c>
      <c r="N544" s="21">
        <v>8</v>
      </c>
      <c r="O544" s="21">
        <v>145</v>
      </c>
      <c r="P544" s="21">
        <v>153</v>
      </c>
    </row>
    <row r="545" spans="1:16" x14ac:dyDescent="0.35">
      <c r="A545" s="21">
        <v>544</v>
      </c>
      <c r="B545" s="39">
        <v>40567</v>
      </c>
      <c r="C545" s="21">
        <v>1</v>
      </c>
      <c r="D545" s="21">
        <v>0</v>
      </c>
      <c r="E545" s="21">
        <v>1</v>
      </c>
      <c r="F545" s="21">
        <v>19</v>
      </c>
      <c r="G545" s="21" t="b">
        <v>0</v>
      </c>
      <c r="H545" s="21">
        <v>1</v>
      </c>
      <c r="I545" s="21">
        <v>1</v>
      </c>
      <c r="J545" s="21">
        <v>0.14000000000000001</v>
      </c>
      <c r="K545" s="21">
        <v>0.1515</v>
      </c>
      <c r="L545" s="21">
        <v>0.54</v>
      </c>
      <c r="M545" s="21">
        <v>0.16420000000000001</v>
      </c>
      <c r="N545" s="21">
        <v>5</v>
      </c>
      <c r="O545" s="21">
        <v>101</v>
      </c>
      <c r="P545" s="21">
        <v>106</v>
      </c>
    </row>
    <row r="546" spans="1:16" x14ac:dyDescent="0.35">
      <c r="A546" s="21">
        <v>545</v>
      </c>
      <c r="B546" s="39">
        <v>40567</v>
      </c>
      <c r="C546" s="21">
        <v>1</v>
      </c>
      <c r="D546" s="21">
        <v>0</v>
      </c>
      <c r="E546" s="21">
        <v>1</v>
      </c>
      <c r="F546" s="21">
        <v>20</v>
      </c>
      <c r="G546" s="21" t="b">
        <v>0</v>
      </c>
      <c r="H546" s="21">
        <v>1</v>
      </c>
      <c r="I546" s="21">
        <v>1</v>
      </c>
      <c r="J546" s="21">
        <v>0.14000000000000001</v>
      </c>
      <c r="K546" s="21">
        <v>0.13639999999999999</v>
      </c>
      <c r="L546" s="21">
        <v>0.59</v>
      </c>
      <c r="M546" s="21">
        <v>0.19400000000000001</v>
      </c>
      <c r="N546" s="21">
        <v>1</v>
      </c>
      <c r="O546" s="21">
        <v>80</v>
      </c>
      <c r="P546" s="21">
        <v>81</v>
      </c>
    </row>
    <row r="547" spans="1:16" x14ac:dyDescent="0.35">
      <c r="A547" s="21">
        <v>546</v>
      </c>
      <c r="B547" s="39">
        <v>40567</v>
      </c>
      <c r="C547" s="21">
        <v>1</v>
      </c>
      <c r="D547" s="21">
        <v>0</v>
      </c>
      <c r="E547" s="21">
        <v>1</v>
      </c>
      <c r="F547" s="21">
        <v>21</v>
      </c>
      <c r="G547" s="21" t="b">
        <v>0</v>
      </c>
      <c r="H547" s="21">
        <v>1</v>
      </c>
      <c r="I547" s="21">
        <v>1</v>
      </c>
      <c r="J547" s="21">
        <v>0.14000000000000001</v>
      </c>
      <c r="K547" s="21">
        <v>0.1515</v>
      </c>
      <c r="L547" s="21">
        <v>0.63</v>
      </c>
      <c r="M547" s="21">
        <v>0.16420000000000001</v>
      </c>
      <c r="N547" s="21">
        <v>6</v>
      </c>
      <c r="O547" s="21">
        <v>53</v>
      </c>
      <c r="P547" s="21">
        <v>59</v>
      </c>
    </row>
    <row r="548" spans="1:16" x14ac:dyDescent="0.35">
      <c r="A548" s="21">
        <v>547</v>
      </c>
      <c r="B548" s="39">
        <v>40567</v>
      </c>
      <c r="C548" s="21">
        <v>1</v>
      </c>
      <c r="D548" s="21">
        <v>0</v>
      </c>
      <c r="E548" s="21">
        <v>1</v>
      </c>
      <c r="F548" s="21">
        <v>22</v>
      </c>
      <c r="G548" s="21" t="b">
        <v>0</v>
      </c>
      <c r="H548" s="21">
        <v>1</v>
      </c>
      <c r="I548" s="21">
        <v>2</v>
      </c>
      <c r="J548" s="21">
        <v>0.14000000000000001</v>
      </c>
      <c r="K548" s="21">
        <v>0.13639999999999999</v>
      </c>
      <c r="L548" s="21">
        <v>0.63</v>
      </c>
      <c r="M548" s="21">
        <v>0.22389999999999999</v>
      </c>
      <c r="N548" s="21">
        <v>3</v>
      </c>
      <c r="O548" s="21">
        <v>32</v>
      </c>
      <c r="P548" s="21">
        <v>35</v>
      </c>
    </row>
    <row r="549" spans="1:16" x14ac:dyDescent="0.35">
      <c r="A549" s="21">
        <v>548</v>
      </c>
      <c r="B549" s="39">
        <v>40567</v>
      </c>
      <c r="C549" s="21">
        <v>1</v>
      </c>
      <c r="D549" s="21">
        <v>0</v>
      </c>
      <c r="E549" s="21">
        <v>1</v>
      </c>
      <c r="F549" s="21">
        <v>23</v>
      </c>
      <c r="G549" s="21" t="b">
        <v>0</v>
      </c>
      <c r="H549" s="21">
        <v>1</v>
      </c>
      <c r="I549" s="21">
        <v>2</v>
      </c>
      <c r="J549" s="21">
        <v>0.16</v>
      </c>
      <c r="K549" s="21">
        <v>0.1515</v>
      </c>
      <c r="L549" s="21">
        <v>0.64</v>
      </c>
      <c r="M549" s="21">
        <v>0.25369999999999998</v>
      </c>
      <c r="N549" s="21">
        <v>3</v>
      </c>
      <c r="O549" s="21">
        <v>21</v>
      </c>
      <c r="P549" s="21">
        <v>24</v>
      </c>
    </row>
    <row r="550" spans="1:16" x14ac:dyDescent="0.35">
      <c r="A550" s="21">
        <v>549</v>
      </c>
      <c r="B550" s="39">
        <v>40568</v>
      </c>
      <c r="C550" s="21">
        <v>1</v>
      </c>
      <c r="D550" s="21">
        <v>0</v>
      </c>
      <c r="E550" s="21">
        <v>1</v>
      </c>
      <c r="F550" s="21">
        <v>0</v>
      </c>
      <c r="G550" s="21" t="b">
        <v>0</v>
      </c>
      <c r="H550" s="21">
        <v>2</v>
      </c>
      <c r="I550" s="21">
        <v>2</v>
      </c>
      <c r="J550" s="21">
        <v>0.16</v>
      </c>
      <c r="K550" s="21">
        <v>0.13639999999999999</v>
      </c>
      <c r="L550" s="21">
        <v>0.69</v>
      </c>
      <c r="M550" s="21">
        <v>0.28360000000000002</v>
      </c>
      <c r="N550" s="21">
        <v>3</v>
      </c>
      <c r="O550" s="21">
        <v>6</v>
      </c>
      <c r="P550" s="21">
        <v>9</v>
      </c>
    </row>
    <row r="551" spans="1:16" x14ac:dyDescent="0.35">
      <c r="A551" s="21">
        <v>550</v>
      </c>
      <c r="B551" s="39">
        <v>40568</v>
      </c>
      <c r="C551" s="21">
        <v>1</v>
      </c>
      <c r="D551" s="21">
        <v>0</v>
      </c>
      <c r="E551" s="21">
        <v>1</v>
      </c>
      <c r="F551" s="21">
        <v>1</v>
      </c>
      <c r="G551" s="21" t="b">
        <v>0</v>
      </c>
      <c r="H551" s="21">
        <v>2</v>
      </c>
      <c r="I551" s="21">
        <v>2</v>
      </c>
      <c r="J551" s="21">
        <v>0.16</v>
      </c>
      <c r="K551" s="21">
        <v>0.16669999999999999</v>
      </c>
      <c r="L551" s="21">
        <v>0.69</v>
      </c>
      <c r="M551" s="21">
        <v>0.16420000000000001</v>
      </c>
      <c r="N551" s="21">
        <v>0</v>
      </c>
      <c r="O551" s="21">
        <v>5</v>
      </c>
      <c r="P551" s="21">
        <v>5</v>
      </c>
    </row>
    <row r="552" spans="1:16" x14ac:dyDescent="0.35">
      <c r="A552" s="21">
        <v>551</v>
      </c>
      <c r="B552" s="39">
        <v>40568</v>
      </c>
      <c r="C552" s="21">
        <v>1</v>
      </c>
      <c r="D552" s="21">
        <v>0</v>
      </c>
      <c r="E552" s="21">
        <v>1</v>
      </c>
      <c r="F552" s="21">
        <v>2</v>
      </c>
      <c r="G552" s="21" t="b">
        <v>0</v>
      </c>
      <c r="H552" s="21">
        <v>2</v>
      </c>
      <c r="I552" s="21">
        <v>1</v>
      </c>
      <c r="J552" s="21">
        <v>0.16</v>
      </c>
      <c r="K552" s="21">
        <v>0.1515</v>
      </c>
      <c r="L552" s="21">
        <v>0.69</v>
      </c>
      <c r="M552" s="21">
        <v>0.22389999999999999</v>
      </c>
      <c r="N552" s="21">
        <v>0</v>
      </c>
      <c r="O552" s="21">
        <v>2</v>
      </c>
      <c r="P552" s="21">
        <v>2</v>
      </c>
    </row>
    <row r="553" spans="1:16" x14ac:dyDescent="0.35">
      <c r="A553" s="21">
        <v>552</v>
      </c>
      <c r="B553" s="39">
        <v>40568</v>
      </c>
      <c r="C553" s="21">
        <v>1</v>
      </c>
      <c r="D553" s="21">
        <v>0</v>
      </c>
      <c r="E553" s="21">
        <v>1</v>
      </c>
      <c r="F553" s="21">
        <v>4</v>
      </c>
      <c r="G553" s="21" t="b">
        <v>0</v>
      </c>
      <c r="H553" s="21">
        <v>2</v>
      </c>
      <c r="I553" s="21">
        <v>1</v>
      </c>
      <c r="J553" s="21">
        <v>0.14000000000000001</v>
      </c>
      <c r="K553" s="21">
        <v>0.16669999999999999</v>
      </c>
      <c r="L553" s="21">
        <v>0.74</v>
      </c>
      <c r="M553" s="21">
        <v>0.1045</v>
      </c>
      <c r="N553" s="21">
        <v>0</v>
      </c>
      <c r="O553" s="21">
        <v>1</v>
      </c>
      <c r="P553" s="21">
        <v>1</v>
      </c>
    </row>
    <row r="554" spans="1:16" x14ac:dyDescent="0.35">
      <c r="A554" s="21">
        <v>553</v>
      </c>
      <c r="B554" s="39">
        <v>40568</v>
      </c>
      <c r="C554" s="21">
        <v>1</v>
      </c>
      <c r="D554" s="21">
        <v>0</v>
      </c>
      <c r="E554" s="21">
        <v>1</v>
      </c>
      <c r="F554" s="21">
        <v>5</v>
      </c>
      <c r="G554" s="21" t="b">
        <v>0</v>
      </c>
      <c r="H554" s="21">
        <v>2</v>
      </c>
      <c r="I554" s="21">
        <v>1</v>
      </c>
      <c r="J554" s="21">
        <v>0.14000000000000001</v>
      </c>
      <c r="K554" s="21">
        <v>0.13639999999999999</v>
      </c>
      <c r="L554" s="21">
        <v>0.74</v>
      </c>
      <c r="M554" s="21">
        <v>0.22389999999999999</v>
      </c>
      <c r="N554" s="21">
        <v>0</v>
      </c>
      <c r="O554" s="21">
        <v>9</v>
      </c>
      <c r="P554" s="21">
        <v>9</v>
      </c>
    </row>
    <row r="555" spans="1:16" x14ac:dyDescent="0.35">
      <c r="A555" s="21">
        <v>554</v>
      </c>
      <c r="B555" s="39">
        <v>40568</v>
      </c>
      <c r="C555" s="21">
        <v>1</v>
      </c>
      <c r="D555" s="21">
        <v>0</v>
      </c>
      <c r="E555" s="21">
        <v>1</v>
      </c>
      <c r="F555" s="21">
        <v>6</v>
      </c>
      <c r="G555" s="21" t="b">
        <v>0</v>
      </c>
      <c r="H555" s="21">
        <v>2</v>
      </c>
      <c r="I555" s="21">
        <v>1</v>
      </c>
      <c r="J555" s="21">
        <v>0.16</v>
      </c>
      <c r="K555" s="21">
        <v>0.18179999999999999</v>
      </c>
      <c r="L555" s="21">
        <v>0.74</v>
      </c>
      <c r="M555" s="21">
        <v>0.1045</v>
      </c>
      <c r="N555" s="21">
        <v>1</v>
      </c>
      <c r="O555" s="21">
        <v>35</v>
      </c>
      <c r="P555" s="21">
        <v>36</v>
      </c>
    </row>
    <row r="556" spans="1:16" x14ac:dyDescent="0.35">
      <c r="A556" s="21">
        <v>555</v>
      </c>
      <c r="B556" s="39">
        <v>40568</v>
      </c>
      <c r="C556" s="21">
        <v>1</v>
      </c>
      <c r="D556" s="21">
        <v>0</v>
      </c>
      <c r="E556" s="21">
        <v>1</v>
      </c>
      <c r="F556" s="21">
        <v>7</v>
      </c>
      <c r="G556" s="21" t="b">
        <v>0</v>
      </c>
      <c r="H556" s="21">
        <v>2</v>
      </c>
      <c r="I556" s="21">
        <v>1</v>
      </c>
      <c r="J556" s="21">
        <v>0.16</v>
      </c>
      <c r="K556" s="21">
        <v>0.1515</v>
      </c>
      <c r="L556" s="21">
        <v>0.74</v>
      </c>
      <c r="M556" s="21">
        <v>0.22389999999999999</v>
      </c>
      <c r="N556" s="21">
        <v>5</v>
      </c>
      <c r="O556" s="21">
        <v>103</v>
      </c>
      <c r="P556" s="21">
        <v>108</v>
      </c>
    </row>
    <row r="557" spans="1:16" x14ac:dyDescent="0.35">
      <c r="A557" s="21">
        <v>556</v>
      </c>
      <c r="B557" s="39">
        <v>40568</v>
      </c>
      <c r="C557" s="21">
        <v>1</v>
      </c>
      <c r="D557" s="21">
        <v>0</v>
      </c>
      <c r="E557" s="21">
        <v>1</v>
      </c>
      <c r="F557" s="21">
        <v>8</v>
      </c>
      <c r="G557" s="21" t="b">
        <v>0</v>
      </c>
      <c r="H557" s="21">
        <v>2</v>
      </c>
      <c r="I557" s="21">
        <v>2</v>
      </c>
      <c r="J557" s="21">
        <v>0.16</v>
      </c>
      <c r="K557" s="21">
        <v>0.18179999999999999</v>
      </c>
      <c r="L557" s="21">
        <v>0.74</v>
      </c>
      <c r="M557" s="21">
        <v>0.1343</v>
      </c>
      <c r="N557" s="21">
        <v>5</v>
      </c>
      <c r="O557" s="21">
        <v>233</v>
      </c>
      <c r="P557" s="21">
        <v>238</v>
      </c>
    </row>
    <row r="558" spans="1:16" x14ac:dyDescent="0.35">
      <c r="A558" s="21">
        <v>557</v>
      </c>
      <c r="B558" s="39">
        <v>40568</v>
      </c>
      <c r="C558" s="21">
        <v>1</v>
      </c>
      <c r="D558" s="21">
        <v>0</v>
      </c>
      <c r="E558" s="21">
        <v>1</v>
      </c>
      <c r="F558" s="21">
        <v>9</v>
      </c>
      <c r="G558" s="21" t="b">
        <v>0</v>
      </c>
      <c r="H558" s="21">
        <v>2</v>
      </c>
      <c r="I558" s="21">
        <v>2</v>
      </c>
      <c r="J558" s="21">
        <v>0.2</v>
      </c>
      <c r="K558" s="21">
        <v>0.2273</v>
      </c>
      <c r="L558" s="21">
        <v>0.64</v>
      </c>
      <c r="M558" s="21">
        <v>8.9599999999999999E-2</v>
      </c>
      <c r="N558" s="21">
        <v>10</v>
      </c>
      <c r="O558" s="21">
        <v>134</v>
      </c>
      <c r="P558" s="21">
        <v>144</v>
      </c>
    </row>
    <row r="559" spans="1:16" x14ac:dyDescent="0.35">
      <c r="A559" s="21">
        <v>558</v>
      </c>
      <c r="B559" s="39">
        <v>40568</v>
      </c>
      <c r="C559" s="21">
        <v>1</v>
      </c>
      <c r="D559" s="21">
        <v>0</v>
      </c>
      <c r="E559" s="21">
        <v>1</v>
      </c>
      <c r="F559" s="21">
        <v>10</v>
      </c>
      <c r="G559" s="21" t="b">
        <v>0</v>
      </c>
      <c r="H559" s="21">
        <v>2</v>
      </c>
      <c r="I559" s="21">
        <v>2</v>
      </c>
      <c r="J559" s="21">
        <v>0.22</v>
      </c>
      <c r="K559" s="21">
        <v>0.2424</v>
      </c>
      <c r="L559" s="21">
        <v>0.6</v>
      </c>
      <c r="M559" s="21">
        <v>0.1045</v>
      </c>
      <c r="N559" s="21">
        <v>6</v>
      </c>
      <c r="O559" s="21">
        <v>49</v>
      </c>
      <c r="P559" s="21">
        <v>55</v>
      </c>
    </row>
    <row r="560" spans="1:16" x14ac:dyDescent="0.35">
      <c r="A560" s="21">
        <v>559</v>
      </c>
      <c r="B560" s="39">
        <v>40568</v>
      </c>
      <c r="C560" s="21">
        <v>1</v>
      </c>
      <c r="D560" s="21">
        <v>0</v>
      </c>
      <c r="E560" s="21">
        <v>1</v>
      </c>
      <c r="F560" s="21">
        <v>11</v>
      </c>
      <c r="G560" s="21" t="b">
        <v>0</v>
      </c>
      <c r="H560" s="21">
        <v>2</v>
      </c>
      <c r="I560" s="21">
        <v>2</v>
      </c>
      <c r="J560" s="21">
        <v>0.24</v>
      </c>
      <c r="K560" s="21">
        <v>0.2424</v>
      </c>
      <c r="L560" s="21">
        <v>0.6</v>
      </c>
      <c r="M560" s="21">
        <v>0.1343</v>
      </c>
      <c r="N560" s="21">
        <v>6</v>
      </c>
      <c r="O560" s="21">
        <v>55</v>
      </c>
      <c r="P560" s="21">
        <v>61</v>
      </c>
    </row>
    <row r="561" spans="1:16" x14ac:dyDescent="0.35">
      <c r="A561" s="21">
        <v>560</v>
      </c>
      <c r="B561" s="39">
        <v>40568</v>
      </c>
      <c r="C561" s="21">
        <v>1</v>
      </c>
      <c r="D561" s="21">
        <v>0</v>
      </c>
      <c r="E561" s="21">
        <v>1</v>
      </c>
      <c r="F561" s="21">
        <v>12</v>
      </c>
      <c r="G561" s="21" t="b">
        <v>0</v>
      </c>
      <c r="H561" s="21">
        <v>2</v>
      </c>
      <c r="I561" s="21">
        <v>2</v>
      </c>
      <c r="J561" s="21">
        <v>0.26</v>
      </c>
      <c r="K561" s="21">
        <v>0.28789999999999999</v>
      </c>
      <c r="L561" s="21">
        <v>0.56000000000000005</v>
      </c>
      <c r="M561" s="21">
        <v>8.9599999999999999E-2</v>
      </c>
      <c r="N561" s="21">
        <v>21</v>
      </c>
      <c r="O561" s="21">
        <v>85</v>
      </c>
      <c r="P561" s="21">
        <v>106</v>
      </c>
    </row>
    <row r="562" spans="1:16" x14ac:dyDescent="0.35">
      <c r="A562" s="21">
        <v>561</v>
      </c>
      <c r="B562" s="39">
        <v>40568</v>
      </c>
      <c r="C562" s="21">
        <v>1</v>
      </c>
      <c r="D562" s="21">
        <v>0</v>
      </c>
      <c r="E562" s="21">
        <v>1</v>
      </c>
      <c r="F562" s="21">
        <v>13</v>
      </c>
      <c r="G562" s="21" t="b">
        <v>0</v>
      </c>
      <c r="H562" s="21">
        <v>2</v>
      </c>
      <c r="I562" s="21">
        <v>2</v>
      </c>
      <c r="J562" s="21">
        <v>0.26</v>
      </c>
      <c r="K562" s="21">
        <v>0.2727</v>
      </c>
      <c r="L562" s="21">
        <v>0.56000000000000005</v>
      </c>
      <c r="M562" s="21">
        <v>0.1343</v>
      </c>
      <c r="N562" s="21">
        <v>21</v>
      </c>
      <c r="O562" s="21">
        <v>72</v>
      </c>
      <c r="P562" s="21">
        <v>93</v>
      </c>
    </row>
    <row r="563" spans="1:16" x14ac:dyDescent="0.35">
      <c r="A563" s="21">
        <v>562</v>
      </c>
      <c r="B563" s="39">
        <v>40568</v>
      </c>
      <c r="C563" s="21">
        <v>1</v>
      </c>
      <c r="D563" s="21">
        <v>0</v>
      </c>
      <c r="E563" s="21">
        <v>1</v>
      </c>
      <c r="F563" s="21">
        <v>14</v>
      </c>
      <c r="G563" s="21" t="b">
        <v>0</v>
      </c>
      <c r="H563" s="21">
        <v>2</v>
      </c>
      <c r="I563" s="21">
        <v>2</v>
      </c>
      <c r="J563" s="21">
        <v>0.3</v>
      </c>
      <c r="K563" s="21">
        <v>0.33329999999999999</v>
      </c>
      <c r="L563" s="21">
        <v>0.45</v>
      </c>
      <c r="M563" s="21">
        <v>0</v>
      </c>
      <c r="N563" s="21">
        <v>11</v>
      </c>
      <c r="O563" s="21">
        <v>57</v>
      </c>
      <c r="P563" s="21">
        <v>68</v>
      </c>
    </row>
    <row r="564" spans="1:16" x14ac:dyDescent="0.35">
      <c r="A564" s="21">
        <v>563</v>
      </c>
      <c r="B564" s="39">
        <v>40568</v>
      </c>
      <c r="C564" s="21">
        <v>1</v>
      </c>
      <c r="D564" s="21">
        <v>0</v>
      </c>
      <c r="E564" s="21">
        <v>1</v>
      </c>
      <c r="F564" s="21">
        <v>15</v>
      </c>
      <c r="G564" s="21" t="b">
        <v>0</v>
      </c>
      <c r="H564" s="21">
        <v>2</v>
      </c>
      <c r="I564" s="21">
        <v>2</v>
      </c>
      <c r="J564" s="21">
        <v>0.32</v>
      </c>
      <c r="K564" s="21">
        <v>0.34849999999999998</v>
      </c>
      <c r="L564" s="21">
        <v>0.42</v>
      </c>
      <c r="M564" s="21">
        <v>0</v>
      </c>
      <c r="N564" s="21">
        <v>21</v>
      </c>
      <c r="O564" s="21">
        <v>63</v>
      </c>
      <c r="P564" s="21">
        <v>84</v>
      </c>
    </row>
    <row r="565" spans="1:16" x14ac:dyDescent="0.35">
      <c r="A565" s="21">
        <v>564</v>
      </c>
      <c r="B565" s="39">
        <v>40568</v>
      </c>
      <c r="C565" s="21">
        <v>1</v>
      </c>
      <c r="D565" s="21">
        <v>0</v>
      </c>
      <c r="E565" s="21">
        <v>1</v>
      </c>
      <c r="F565" s="21">
        <v>16</v>
      </c>
      <c r="G565" s="21" t="b">
        <v>0</v>
      </c>
      <c r="H565" s="21">
        <v>2</v>
      </c>
      <c r="I565" s="21">
        <v>2</v>
      </c>
      <c r="J565" s="21">
        <v>0.32</v>
      </c>
      <c r="K565" s="21">
        <v>0.34849999999999998</v>
      </c>
      <c r="L565" s="21">
        <v>0.42</v>
      </c>
      <c r="M565" s="21">
        <v>0</v>
      </c>
      <c r="N565" s="21">
        <v>14</v>
      </c>
      <c r="O565" s="21">
        <v>102</v>
      </c>
      <c r="P565" s="21">
        <v>116</v>
      </c>
    </row>
    <row r="566" spans="1:16" x14ac:dyDescent="0.35">
      <c r="A566" s="21">
        <v>565</v>
      </c>
      <c r="B566" s="39">
        <v>40568</v>
      </c>
      <c r="C566" s="21">
        <v>1</v>
      </c>
      <c r="D566" s="21">
        <v>0</v>
      </c>
      <c r="E566" s="21">
        <v>1</v>
      </c>
      <c r="F566" s="21">
        <v>17</v>
      </c>
      <c r="G566" s="21" t="b">
        <v>0</v>
      </c>
      <c r="H566" s="21">
        <v>2</v>
      </c>
      <c r="I566" s="21">
        <v>1</v>
      </c>
      <c r="J566" s="21">
        <v>0.3</v>
      </c>
      <c r="K566" s="21">
        <v>0.33329999999999999</v>
      </c>
      <c r="L566" s="21">
        <v>0.45</v>
      </c>
      <c r="M566" s="21">
        <v>0</v>
      </c>
      <c r="N566" s="21">
        <v>14</v>
      </c>
      <c r="O566" s="21">
        <v>208</v>
      </c>
      <c r="P566" s="21">
        <v>222</v>
      </c>
    </row>
    <row r="567" spans="1:16" x14ac:dyDescent="0.35">
      <c r="A567" s="21">
        <v>566</v>
      </c>
      <c r="B567" s="39">
        <v>40568</v>
      </c>
      <c r="C567" s="21">
        <v>1</v>
      </c>
      <c r="D567" s="21">
        <v>0</v>
      </c>
      <c r="E567" s="21">
        <v>1</v>
      </c>
      <c r="F567" s="21">
        <v>18</v>
      </c>
      <c r="G567" s="21" t="b">
        <v>0</v>
      </c>
      <c r="H567" s="21">
        <v>2</v>
      </c>
      <c r="I567" s="21">
        <v>2</v>
      </c>
      <c r="J567" s="21">
        <v>0.3</v>
      </c>
      <c r="K567" s="21">
        <v>0.31819999999999998</v>
      </c>
      <c r="L567" s="21">
        <v>0.49</v>
      </c>
      <c r="M567" s="21">
        <v>8.9599999999999999E-2</v>
      </c>
      <c r="N567" s="21">
        <v>7</v>
      </c>
      <c r="O567" s="21">
        <v>218</v>
      </c>
      <c r="P567" s="21">
        <v>225</v>
      </c>
    </row>
    <row r="568" spans="1:16" x14ac:dyDescent="0.35">
      <c r="A568" s="21">
        <v>567</v>
      </c>
      <c r="B568" s="39">
        <v>40568</v>
      </c>
      <c r="C568" s="21">
        <v>1</v>
      </c>
      <c r="D568" s="21">
        <v>0</v>
      </c>
      <c r="E568" s="21">
        <v>1</v>
      </c>
      <c r="F568" s="21">
        <v>19</v>
      </c>
      <c r="G568" s="21" t="b">
        <v>0</v>
      </c>
      <c r="H568" s="21">
        <v>2</v>
      </c>
      <c r="I568" s="21">
        <v>2</v>
      </c>
      <c r="J568" s="21">
        <v>0.26</v>
      </c>
      <c r="K568" s="21">
        <v>0.2576</v>
      </c>
      <c r="L568" s="21">
        <v>0.65</v>
      </c>
      <c r="M568" s="21">
        <v>0.16420000000000001</v>
      </c>
      <c r="N568" s="21">
        <v>13</v>
      </c>
      <c r="O568" s="21">
        <v>133</v>
      </c>
      <c r="P568" s="21">
        <v>146</v>
      </c>
    </row>
    <row r="569" spans="1:16" x14ac:dyDescent="0.35">
      <c r="A569" s="21">
        <v>568</v>
      </c>
      <c r="B569" s="39">
        <v>40568</v>
      </c>
      <c r="C569" s="21">
        <v>1</v>
      </c>
      <c r="D569" s="21">
        <v>0</v>
      </c>
      <c r="E569" s="21">
        <v>1</v>
      </c>
      <c r="F569" s="21">
        <v>20</v>
      </c>
      <c r="G569" s="21" t="b">
        <v>0</v>
      </c>
      <c r="H569" s="21">
        <v>2</v>
      </c>
      <c r="I569" s="21">
        <v>1</v>
      </c>
      <c r="J569" s="21">
        <v>0.24</v>
      </c>
      <c r="K569" s="21">
        <v>0.2273</v>
      </c>
      <c r="L569" s="21">
        <v>0.65</v>
      </c>
      <c r="M569" s="21">
        <v>0.19400000000000001</v>
      </c>
      <c r="N569" s="21">
        <v>16</v>
      </c>
      <c r="O569" s="21">
        <v>103</v>
      </c>
      <c r="P569" s="21">
        <v>119</v>
      </c>
    </row>
    <row r="570" spans="1:16" x14ac:dyDescent="0.35">
      <c r="A570" s="21">
        <v>569</v>
      </c>
      <c r="B570" s="39">
        <v>40568</v>
      </c>
      <c r="C570" s="21">
        <v>1</v>
      </c>
      <c r="D570" s="21">
        <v>0</v>
      </c>
      <c r="E570" s="21">
        <v>1</v>
      </c>
      <c r="F570" s="21">
        <v>21</v>
      </c>
      <c r="G570" s="21" t="b">
        <v>0</v>
      </c>
      <c r="H570" s="21">
        <v>2</v>
      </c>
      <c r="I570" s="21">
        <v>1</v>
      </c>
      <c r="J570" s="21">
        <v>0.24</v>
      </c>
      <c r="K570" s="21">
        <v>0.2273</v>
      </c>
      <c r="L570" s="21">
        <v>0.65</v>
      </c>
      <c r="M570" s="21">
        <v>0.19400000000000001</v>
      </c>
      <c r="N570" s="21">
        <v>5</v>
      </c>
      <c r="O570" s="21">
        <v>40</v>
      </c>
      <c r="P570" s="21">
        <v>45</v>
      </c>
    </row>
    <row r="571" spans="1:16" x14ac:dyDescent="0.35">
      <c r="A571" s="21">
        <v>570</v>
      </c>
      <c r="B571" s="39">
        <v>40568</v>
      </c>
      <c r="C571" s="21">
        <v>1</v>
      </c>
      <c r="D571" s="21">
        <v>0</v>
      </c>
      <c r="E571" s="21">
        <v>1</v>
      </c>
      <c r="F571" s="21">
        <v>22</v>
      </c>
      <c r="G571" s="21" t="b">
        <v>0</v>
      </c>
      <c r="H571" s="21">
        <v>2</v>
      </c>
      <c r="I571" s="21">
        <v>1</v>
      </c>
      <c r="J571" s="21">
        <v>0.22</v>
      </c>
      <c r="K571" s="21">
        <v>0.2273</v>
      </c>
      <c r="L571" s="21">
        <v>0.64</v>
      </c>
      <c r="M571" s="21">
        <v>0.16420000000000001</v>
      </c>
      <c r="N571" s="21">
        <v>4</v>
      </c>
      <c r="O571" s="21">
        <v>49</v>
      </c>
      <c r="P571" s="21">
        <v>53</v>
      </c>
    </row>
    <row r="572" spans="1:16" x14ac:dyDescent="0.35">
      <c r="A572" s="21">
        <v>571</v>
      </c>
      <c r="B572" s="39">
        <v>40568</v>
      </c>
      <c r="C572" s="21">
        <v>1</v>
      </c>
      <c r="D572" s="21">
        <v>0</v>
      </c>
      <c r="E572" s="21">
        <v>1</v>
      </c>
      <c r="F572" s="21">
        <v>23</v>
      </c>
      <c r="G572" s="21" t="b">
        <v>0</v>
      </c>
      <c r="H572" s="21">
        <v>2</v>
      </c>
      <c r="I572" s="21">
        <v>2</v>
      </c>
      <c r="J572" s="21">
        <v>0.22</v>
      </c>
      <c r="K572" s="21">
        <v>0.2273</v>
      </c>
      <c r="L572" s="21">
        <v>0.64</v>
      </c>
      <c r="M572" s="21">
        <v>0.16420000000000001</v>
      </c>
      <c r="N572" s="21">
        <v>3</v>
      </c>
      <c r="O572" s="21">
        <v>37</v>
      </c>
      <c r="P572" s="21">
        <v>40</v>
      </c>
    </row>
    <row r="573" spans="1:16" x14ac:dyDescent="0.35">
      <c r="A573" s="21">
        <v>572</v>
      </c>
      <c r="B573" s="39">
        <v>40569</v>
      </c>
      <c r="C573" s="21">
        <v>1</v>
      </c>
      <c r="D573" s="21">
        <v>0</v>
      </c>
      <c r="E573" s="21">
        <v>1</v>
      </c>
      <c r="F573" s="21">
        <v>0</v>
      </c>
      <c r="G573" s="21" t="b">
        <v>0</v>
      </c>
      <c r="H573" s="21">
        <v>3</v>
      </c>
      <c r="I573" s="21">
        <v>2</v>
      </c>
      <c r="J573" s="21">
        <v>0.22</v>
      </c>
      <c r="K573" s="21">
        <v>0.2273</v>
      </c>
      <c r="L573" s="21">
        <v>0.69</v>
      </c>
      <c r="M573" s="21">
        <v>0.1343</v>
      </c>
      <c r="N573" s="21">
        <v>3</v>
      </c>
      <c r="O573" s="21">
        <v>14</v>
      </c>
      <c r="P573" s="21">
        <v>17</v>
      </c>
    </row>
    <row r="574" spans="1:16" x14ac:dyDescent="0.35">
      <c r="A574" s="21">
        <v>573</v>
      </c>
      <c r="B574" s="39">
        <v>40569</v>
      </c>
      <c r="C574" s="21">
        <v>1</v>
      </c>
      <c r="D574" s="21">
        <v>0</v>
      </c>
      <c r="E574" s="21">
        <v>1</v>
      </c>
      <c r="F574" s="21">
        <v>1</v>
      </c>
      <c r="G574" s="21" t="b">
        <v>0</v>
      </c>
      <c r="H574" s="21">
        <v>3</v>
      </c>
      <c r="I574" s="21">
        <v>2</v>
      </c>
      <c r="J574" s="21">
        <v>0.24</v>
      </c>
      <c r="K574" s="21">
        <v>0.2424</v>
      </c>
      <c r="L574" s="21">
        <v>0.65</v>
      </c>
      <c r="M574" s="21">
        <v>0.1343</v>
      </c>
      <c r="N574" s="21">
        <v>0</v>
      </c>
      <c r="O574" s="21">
        <v>5</v>
      </c>
      <c r="P574" s="21">
        <v>5</v>
      </c>
    </row>
    <row r="575" spans="1:16" x14ac:dyDescent="0.35">
      <c r="A575" s="21">
        <v>574</v>
      </c>
      <c r="B575" s="39">
        <v>40569</v>
      </c>
      <c r="C575" s="21">
        <v>1</v>
      </c>
      <c r="D575" s="21">
        <v>0</v>
      </c>
      <c r="E575" s="21">
        <v>1</v>
      </c>
      <c r="F575" s="21">
        <v>2</v>
      </c>
      <c r="G575" s="21" t="b">
        <v>0</v>
      </c>
      <c r="H575" s="21">
        <v>3</v>
      </c>
      <c r="I575" s="21">
        <v>3</v>
      </c>
      <c r="J575" s="21">
        <v>0.22</v>
      </c>
      <c r="K575" s="21">
        <v>0.2273</v>
      </c>
      <c r="L575" s="21">
        <v>0.69</v>
      </c>
      <c r="M575" s="21">
        <v>0.19400000000000001</v>
      </c>
      <c r="N575" s="21">
        <v>3</v>
      </c>
      <c r="O575" s="21">
        <v>7</v>
      </c>
      <c r="P575" s="21">
        <v>10</v>
      </c>
    </row>
    <row r="576" spans="1:16" x14ac:dyDescent="0.35">
      <c r="A576" s="21">
        <v>575</v>
      </c>
      <c r="B576" s="39">
        <v>40569</v>
      </c>
      <c r="C576" s="21">
        <v>1</v>
      </c>
      <c r="D576" s="21">
        <v>0</v>
      </c>
      <c r="E576" s="21">
        <v>1</v>
      </c>
      <c r="F576" s="21">
        <v>5</v>
      </c>
      <c r="G576" s="21" t="b">
        <v>0</v>
      </c>
      <c r="H576" s="21">
        <v>3</v>
      </c>
      <c r="I576" s="21">
        <v>3</v>
      </c>
      <c r="J576" s="21">
        <v>0.2</v>
      </c>
      <c r="K576" s="21">
        <v>0.18179999999999999</v>
      </c>
      <c r="L576" s="21">
        <v>0.86</v>
      </c>
      <c r="M576" s="21">
        <v>0.28360000000000002</v>
      </c>
      <c r="N576" s="21">
        <v>0</v>
      </c>
      <c r="O576" s="21">
        <v>1</v>
      </c>
      <c r="P576" s="21">
        <v>1</v>
      </c>
    </row>
    <row r="577" spans="1:16" x14ac:dyDescent="0.35">
      <c r="A577" s="21">
        <v>576</v>
      </c>
      <c r="B577" s="39">
        <v>40569</v>
      </c>
      <c r="C577" s="21">
        <v>1</v>
      </c>
      <c r="D577" s="21">
        <v>0</v>
      </c>
      <c r="E577" s="21">
        <v>1</v>
      </c>
      <c r="F577" s="21">
        <v>6</v>
      </c>
      <c r="G577" s="21" t="b">
        <v>0</v>
      </c>
      <c r="H577" s="21">
        <v>3</v>
      </c>
      <c r="I577" s="21">
        <v>3</v>
      </c>
      <c r="J577" s="21">
        <v>0.2</v>
      </c>
      <c r="K577" s="21">
        <v>0.18179999999999999</v>
      </c>
      <c r="L577" s="21">
        <v>0.86</v>
      </c>
      <c r="M577" s="21">
        <v>0.28360000000000002</v>
      </c>
      <c r="N577" s="21">
        <v>0</v>
      </c>
      <c r="O577" s="21">
        <v>8</v>
      </c>
      <c r="P577" s="21">
        <v>8</v>
      </c>
    </row>
    <row r="578" spans="1:16" x14ac:dyDescent="0.35">
      <c r="A578" s="21">
        <v>577</v>
      </c>
      <c r="B578" s="39">
        <v>40569</v>
      </c>
      <c r="C578" s="21">
        <v>1</v>
      </c>
      <c r="D578" s="21">
        <v>0</v>
      </c>
      <c r="E578" s="21">
        <v>1</v>
      </c>
      <c r="F578" s="21">
        <v>7</v>
      </c>
      <c r="G578" s="21" t="b">
        <v>0</v>
      </c>
      <c r="H578" s="21">
        <v>3</v>
      </c>
      <c r="I578" s="21">
        <v>3</v>
      </c>
      <c r="J578" s="21">
        <v>0.22</v>
      </c>
      <c r="K578" s="21">
        <v>0.21210000000000001</v>
      </c>
      <c r="L578" s="21">
        <v>0.87</v>
      </c>
      <c r="M578" s="21">
        <v>0.29849999999999999</v>
      </c>
      <c r="N578" s="21">
        <v>1</v>
      </c>
      <c r="O578" s="21">
        <v>29</v>
      </c>
      <c r="P578" s="21">
        <v>30</v>
      </c>
    </row>
    <row r="579" spans="1:16" x14ac:dyDescent="0.35">
      <c r="A579" s="21">
        <v>578</v>
      </c>
      <c r="B579" s="39">
        <v>40569</v>
      </c>
      <c r="C579" s="21">
        <v>1</v>
      </c>
      <c r="D579" s="21">
        <v>0</v>
      </c>
      <c r="E579" s="21">
        <v>1</v>
      </c>
      <c r="F579" s="21">
        <v>8</v>
      </c>
      <c r="G579" s="21" t="b">
        <v>0</v>
      </c>
      <c r="H579" s="21">
        <v>3</v>
      </c>
      <c r="I579" s="21">
        <v>3</v>
      </c>
      <c r="J579" s="21">
        <v>0.22</v>
      </c>
      <c r="K579" s="21">
        <v>0.21210000000000001</v>
      </c>
      <c r="L579" s="21">
        <v>0.87</v>
      </c>
      <c r="M579" s="21">
        <v>0.29849999999999999</v>
      </c>
      <c r="N579" s="21">
        <v>3</v>
      </c>
      <c r="O579" s="21">
        <v>69</v>
      </c>
      <c r="P579" s="21">
        <v>72</v>
      </c>
    </row>
    <row r="580" spans="1:16" x14ac:dyDescent="0.35">
      <c r="A580" s="21">
        <v>579</v>
      </c>
      <c r="B580" s="39">
        <v>40569</v>
      </c>
      <c r="C580" s="21">
        <v>1</v>
      </c>
      <c r="D580" s="21">
        <v>0</v>
      </c>
      <c r="E580" s="21">
        <v>1</v>
      </c>
      <c r="F580" s="21">
        <v>9</v>
      </c>
      <c r="G580" s="21" t="b">
        <v>0</v>
      </c>
      <c r="H580" s="21">
        <v>3</v>
      </c>
      <c r="I580" s="21">
        <v>3</v>
      </c>
      <c r="J580" s="21">
        <v>0.22</v>
      </c>
      <c r="K580" s="21">
        <v>0.21210000000000001</v>
      </c>
      <c r="L580" s="21">
        <v>0.87</v>
      </c>
      <c r="M580" s="21">
        <v>0.29849999999999999</v>
      </c>
      <c r="N580" s="21">
        <v>3</v>
      </c>
      <c r="O580" s="21">
        <v>55</v>
      </c>
      <c r="P580" s="21">
        <v>58</v>
      </c>
    </row>
    <row r="581" spans="1:16" x14ac:dyDescent="0.35">
      <c r="A581" s="21">
        <v>580</v>
      </c>
      <c r="B581" s="39">
        <v>40569</v>
      </c>
      <c r="C581" s="21">
        <v>1</v>
      </c>
      <c r="D581" s="21">
        <v>0</v>
      </c>
      <c r="E581" s="21">
        <v>1</v>
      </c>
      <c r="F581" s="21">
        <v>10</v>
      </c>
      <c r="G581" s="21" t="b">
        <v>0</v>
      </c>
      <c r="H581" s="21">
        <v>3</v>
      </c>
      <c r="I581" s="21">
        <v>3</v>
      </c>
      <c r="J581" s="21">
        <v>0.22</v>
      </c>
      <c r="K581" s="21">
        <v>0.21210000000000001</v>
      </c>
      <c r="L581" s="21">
        <v>0.93</v>
      </c>
      <c r="M581" s="21">
        <v>0.28360000000000002</v>
      </c>
      <c r="N581" s="21">
        <v>2</v>
      </c>
      <c r="O581" s="21">
        <v>26</v>
      </c>
      <c r="P581" s="21">
        <v>28</v>
      </c>
    </row>
    <row r="582" spans="1:16" x14ac:dyDescent="0.35">
      <c r="A582" s="21">
        <v>581</v>
      </c>
      <c r="B582" s="39">
        <v>40569</v>
      </c>
      <c r="C582" s="21">
        <v>1</v>
      </c>
      <c r="D582" s="21">
        <v>0</v>
      </c>
      <c r="E582" s="21">
        <v>1</v>
      </c>
      <c r="F582" s="21">
        <v>11</v>
      </c>
      <c r="G582" s="21" t="b">
        <v>0</v>
      </c>
      <c r="H582" s="21">
        <v>3</v>
      </c>
      <c r="I582" s="21">
        <v>3</v>
      </c>
      <c r="J582" s="21">
        <v>0.22</v>
      </c>
      <c r="K582" s="21">
        <v>0.19700000000000001</v>
      </c>
      <c r="L582" s="21">
        <v>0.93</v>
      </c>
      <c r="M582" s="21">
        <v>0.32840000000000003</v>
      </c>
      <c r="N582" s="21">
        <v>6</v>
      </c>
      <c r="O582" s="21">
        <v>35</v>
      </c>
      <c r="P582" s="21">
        <v>41</v>
      </c>
    </row>
    <row r="583" spans="1:16" x14ac:dyDescent="0.35">
      <c r="A583" s="21">
        <v>582</v>
      </c>
      <c r="B583" s="39">
        <v>40569</v>
      </c>
      <c r="C583" s="21">
        <v>1</v>
      </c>
      <c r="D583" s="21">
        <v>0</v>
      </c>
      <c r="E583" s="21">
        <v>1</v>
      </c>
      <c r="F583" s="21">
        <v>12</v>
      </c>
      <c r="G583" s="21" t="b">
        <v>0</v>
      </c>
      <c r="H583" s="21">
        <v>3</v>
      </c>
      <c r="I583" s="21">
        <v>3</v>
      </c>
      <c r="J583" s="21">
        <v>0.22</v>
      </c>
      <c r="K583" s="21">
        <v>0.19700000000000001</v>
      </c>
      <c r="L583" s="21">
        <v>0.93</v>
      </c>
      <c r="M583" s="21">
        <v>0.32840000000000003</v>
      </c>
      <c r="N583" s="21">
        <v>7</v>
      </c>
      <c r="O583" s="21">
        <v>41</v>
      </c>
      <c r="P583" s="21">
        <v>48</v>
      </c>
    </row>
    <row r="584" spans="1:16" x14ac:dyDescent="0.35">
      <c r="A584" s="21">
        <v>583</v>
      </c>
      <c r="B584" s="39">
        <v>40569</v>
      </c>
      <c r="C584" s="21">
        <v>1</v>
      </c>
      <c r="D584" s="21">
        <v>0</v>
      </c>
      <c r="E584" s="21">
        <v>1</v>
      </c>
      <c r="F584" s="21">
        <v>13</v>
      </c>
      <c r="G584" s="21" t="b">
        <v>0</v>
      </c>
      <c r="H584" s="21">
        <v>3</v>
      </c>
      <c r="I584" s="21">
        <v>3</v>
      </c>
      <c r="J584" s="21">
        <v>0.22</v>
      </c>
      <c r="K584" s="21">
        <v>0.19700000000000001</v>
      </c>
      <c r="L584" s="21">
        <v>0.93</v>
      </c>
      <c r="M584" s="21">
        <v>0.32840000000000003</v>
      </c>
      <c r="N584" s="21">
        <v>4</v>
      </c>
      <c r="O584" s="21">
        <v>43</v>
      </c>
      <c r="P584" s="21">
        <v>47</v>
      </c>
    </row>
    <row r="585" spans="1:16" x14ac:dyDescent="0.35">
      <c r="A585" s="21">
        <v>584</v>
      </c>
      <c r="B585" s="39">
        <v>40569</v>
      </c>
      <c r="C585" s="21">
        <v>1</v>
      </c>
      <c r="D585" s="21">
        <v>0</v>
      </c>
      <c r="E585" s="21">
        <v>1</v>
      </c>
      <c r="F585" s="21">
        <v>14</v>
      </c>
      <c r="G585" s="21" t="b">
        <v>0</v>
      </c>
      <c r="H585" s="21">
        <v>3</v>
      </c>
      <c r="I585" s="21">
        <v>3</v>
      </c>
      <c r="J585" s="21">
        <v>0.22</v>
      </c>
      <c r="K585" s="21">
        <v>0.19700000000000001</v>
      </c>
      <c r="L585" s="21">
        <v>0.93</v>
      </c>
      <c r="M585" s="21">
        <v>0.35820000000000002</v>
      </c>
      <c r="N585" s="21">
        <v>0</v>
      </c>
      <c r="O585" s="21">
        <v>36</v>
      </c>
      <c r="P585" s="21">
        <v>36</v>
      </c>
    </row>
    <row r="586" spans="1:16" x14ac:dyDescent="0.35">
      <c r="A586" s="21">
        <v>585</v>
      </c>
      <c r="B586" s="39">
        <v>40569</v>
      </c>
      <c r="C586" s="21">
        <v>1</v>
      </c>
      <c r="D586" s="21">
        <v>0</v>
      </c>
      <c r="E586" s="21">
        <v>1</v>
      </c>
      <c r="F586" s="21">
        <v>15</v>
      </c>
      <c r="G586" s="21" t="b">
        <v>0</v>
      </c>
      <c r="H586" s="21">
        <v>3</v>
      </c>
      <c r="I586" s="21">
        <v>3</v>
      </c>
      <c r="J586" s="21">
        <v>0.22</v>
      </c>
      <c r="K586" s="21">
        <v>0.18179999999999999</v>
      </c>
      <c r="L586" s="21">
        <v>0.93</v>
      </c>
      <c r="M586" s="21">
        <v>0.4627</v>
      </c>
      <c r="N586" s="21">
        <v>1</v>
      </c>
      <c r="O586" s="21">
        <v>42</v>
      </c>
      <c r="P586" s="21">
        <v>43</v>
      </c>
    </row>
    <row r="587" spans="1:16" x14ac:dyDescent="0.35">
      <c r="A587" s="21">
        <v>586</v>
      </c>
      <c r="B587" s="39">
        <v>40569</v>
      </c>
      <c r="C587" s="21">
        <v>1</v>
      </c>
      <c r="D587" s="21">
        <v>0</v>
      </c>
      <c r="E587" s="21">
        <v>1</v>
      </c>
      <c r="F587" s="21">
        <v>16</v>
      </c>
      <c r="G587" s="21" t="b">
        <v>0</v>
      </c>
      <c r="H587" s="21">
        <v>3</v>
      </c>
      <c r="I587" s="21">
        <v>4</v>
      </c>
      <c r="J587" s="21">
        <v>0.22</v>
      </c>
      <c r="K587" s="21">
        <v>0.19700000000000001</v>
      </c>
      <c r="L587" s="21">
        <v>0.93</v>
      </c>
      <c r="M587" s="21">
        <v>0.32840000000000003</v>
      </c>
      <c r="N587" s="21">
        <v>1</v>
      </c>
      <c r="O587" s="21">
        <v>35</v>
      </c>
      <c r="P587" s="21">
        <v>36</v>
      </c>
    </row>
    <row r="588" spans="1:16" x14ac:dyDescent="0.35">
      <c r="A588" s="21">
        <v>587</v>
      </c>
      <c r="B588" s="39">
        <v>40569</v>
      </c>
      <c r="C588" s="21">
        <v>1</v>
      </c>
      <c r="D588" s="21">
        <v>0</v>
      </c>
      <c r="E588" s="21">
        <v>1</v>
      </c>
      <c r="F588" s="21">
        <v>17</v>
      </c>
      <c r="G588" s="21" t="b">
        <v>0</v>
      </c>
      <c r="H588" s="21">
        <v>3</v>
      </c>
      <c r="I588" s="21">
        <v>3</v>
      </c>
      <c r="J588" s="21">
        <v>0.2</v>
      </c>
      <c r="K588" s="21">
        <v>0.18179999999999999</v>
      </c>
      <c r="L588" s="21">
        <v>0.93</v>
      </c>
      <c r="M588" s="21">
        <v>0.35820000000000002</v>
      </c>
      <c r="N588" s="21">
        <v>0</v>
      </c>
      <c r="O588" s="21">
        <v>26</v>
      </c>
      <c r="P588" s="21">
        <v>26</v>
      </c>
    </row>
    <row r="589" spans="1:16" x14ac:dyDescent="0.35">
      <c r="A589" s="21">
        <v>588</v>
      </c>
      <c r="B589" s="39">
        <v>40570</v>
      </c>
      <c r="C589" s="21">
        <v>1</v>
      </c>
      <c r="D589" s="21">
        <v>0</v>
      </c>
      <c r="E589" s="21">
        <v>1</v>
      </c>
      <c r="F589" s="21">
        <v>16</v>
      </c>
      <c r="G589" s="21" t="b">
        <v>0</v>
      </c>
      <c r="H589" s="21">
        <v>4</v>
      </c>
      <c r="I589" s="21">
        <v>1</v>
      </c>
      <c r="J589" s="21">
        <v>0.22</v>
      </c>
      <c r="K589" s="21">
        <v>0.2273</v>
      </c>
      <c r="L589" s="21">
        <v>0.55000000000000004</v>
      </c>
      <c r="M589" s="21">
        <v>0.19400000000000001</v>
      </c>
      <c r="N589" s="21">
        <v>1</v>
      </c>
      <c r="O589" s="21">
        <v>23</v>
      </c>
      <c r="P589" s="21">
        <v>24</v>
      </c>
    </row>
    <row r="590" spans="1:16" x14ac:dyDescent="0.35">
      <c r="A590" s="21">
        <v>589</v>
      </c>
      <c r="B590" s="39">
        <v>40570</v>
      </c>
      <c r="C590" s="21">
        <v>1</v>
      </c>
      <c r="D590" s="21">
        <v>0</v>
      </c>
      <c r="E590" s="21">
        <v>1</v>
      </c>
      <c r="F590" s="21">
        <v>17</v>
      </c>
      <c r="G590" s="21" t="b">
        <v>0</v>
      </c>
      <c r="H590" s="21">
        <v>4</v>
      </c>
      <c r="I590" s="21">
        <v>1</v>
      </c>
      <c r="J590" s="21">
        <v>0.22</v>
      </c>
      <c r="K590" s="21">
        <v>0.2424</v>
      </c>
      <c r="L590" s="21">
        <v>0.55000000000000004</v>
      </c>
      <c r="M590" s="21">
        <v>0.1045</v>
      </c>
      <c r="N590" s="21">
        <v>2</v>
      </c>
      <c r="O590" s="21">
        <v>82</v>
      </c>
      <c r="P590" s="21">
        <v>84</v>
      </c>
    </row>
    <row r="591" spans="1:16" x14ac:dyDescent="0.35">
      <c r="A591" s="21">
        <v>590</v>
      </c>
      <c r="B591" s="39">
        <v>40570</v>
      </c>
      <c r="C591" s="21">
        <v>1</v>
      </c>
      <c r="D591" s="21">
        <v>0</v>
      </c>
      <c r="E591" s="21">
        <v>1</v>
      </c>
      <c r="F591" s="21">
        <v>18</v>
      </c>
      <c r="G591" s="21" t="b">
        <v>0</v>
      </c>
      <c r="H591" s="21">
        <v>4</v>
      </c>
      <c r="I591" s="21">
        <v>1</v>
      </c>
      <c r="J591" s="21">
        <v>0.2</v>
      </c>
      <c r="K591" s="21">
        <v>0.2273</v>
      </c>
      <c r="L591" s="21">
        <v>0.69</v>
      </c>
      <c r="M591" s="21">
        <v>8.9599999999999999E-2</v>
      </c>
      <c r="N591" s="21">
        <v>3</v>
      </c>
      <c r="O591" s="21">
        <v>101</v>
      </c>
      <c r="P591" s="21">
        <v>104</v>
      </c>
    </row>
    <row r="592" spans="1:16" x14ac:dyDescent="0.35">
      <c r="A592" s="21">
        <v>591</v>
      </c>
      <c r="B592" s="39">
        <v>40570</v>
      </c>
      <c r="C592" s="21">
        <v>1</v>
      </c>
      <c r="D592" s="21">
        <v>0</v>
      </c>
      <c r="E592" s="21">
        <v>1</v>
      </c>
      <c r="F592" s="21">
        <v>19</v>
      </c>
      <c r="G592" s="21" t="b">
        <v>0</v>
      </c>
      <c r="H592" s="21">
        <v>4</v>
      </c>
      <c r="I592" s="21">
        <v>1</v>
      </c>
      <c r="J592" s="21">
        <v>0.2</v>
      </c>
      <c r="K592" s="21">
        <v>0.2273</v>
      </c>
      <c r="L592" s="21">
        <v>0.69</v>
      </c>
      <c r="M592" s="21">
        <v>8.9599999999999999E-2</v>
      </c>
      <c r="N592" s="21">
        <v>3</v>
      </c>
      <c r="O592" s="21">
        <v>76</v>
      </c>
      <c r="P592" s="21">
        <v>79</v>
      </c>
    </row>
    <row r="593" spans="1:16" x14ac:dyDescent="0.35">
      <c r="A593" s="21">
        <v>592</v>
      </c>
      <c r="B593" s="39">
        <v>40570</v>
      </c>
      <c r="C593" s="21">
        <v>1</v>
      </c>
      <c r="D593" s="21">
        <v>0</v>
      </c>
      <c r="E593" s="21">
        <v>1</v>
      </c>
      <c r="F593" s="21">
        <v>20</v>
      </c>
      <c r="G593" s="21" t="b">
        <v>0</v>
      </c>
      <c r="H593" s="21">
        <v>4</v>
      </c>
      <c r="I593" s="21">
        <v>1</v>
      </c>
      <c r="J593" s="21">
        <v>0.18</v>
      </c>
      <c r="K593" s="21">
        <v>0.21210000000000001</v>
      </c>
      <c r="L593" s="21">
        <v>0.74</v>
      </c>
      <c r="M593" s="21">
        <v>8.9599999999999999E-2</v>
      </c>
      <c r="N593" s="21">
        <v>4</v>
      </c>
      <c r="O593" s="21">
        <v>55</v>
      </c>
      <c r="P593" s="21">
        <v>59</v>
      </c>
    </row>
    <row r="594" spans="1:16" x14ac:dyDescent="0.35">
      <c r="A594" s="21">
        <v>593</v>
      </c>
      <c r="B594" s="39">
        <v>40570</v>
      </c>
      <c r="C594" s="21">
        <v>1</v>
      </c>
      <c r="D594" s="21">
        <v>0</v>
      </c>
      <c r="E594" s="21">
        <v>1</v>
      </c>
      <c r="F594" s="21">
        <v>21</v>
      </c>
      <c r="G594" s="21" t="b">
        <v>0</v>
      </c>
      <c r="H594" s="21">
        <v>4</v>
      </c>
      <c r="I594" s="21">
        <v>1</v>
      </c>
      <c r="J594" s="21">
        <v>0.18</v>
      </c>
      <c r="K594" s="21">
        <v>0.21210000000000001</v>
      </c>
      <c r="L594" s="21">
        <v>0.74</v>
      </c>
      <c r="M594" s="21">
        <v>8.9599999999999999E-2</v>
      </c>
      <c r="N594" s="21">
        <v>2</v>
      </c>
      <c r="O594" s="21">
        <v>36</v>
      </c>
      <c r="P594" s="21">
        <v>38</v>
      </c>
    </row>
    <row r="595" spans="1:16" x14ac:dyDescent="0.35">
      <c r="A595" s="21">
        <v>594</v>
      </c>
      <c r="B595" s="39">
        <v>40570</v>
      </c>
      <c r="C595" s="21">
        <v>1</v>
      </c>
      <c r="D595" s="21">
        <v>0</v>
      </c>
      <c r="E595" s="21">
        <v>1</v>
      </c>
      <c r="F595" s="21">
        <v>22</v>
      </c>
      <c r="G595" s="21" t="b">
        <v>0</v>
      </c>
      <c r="H595" s="21">
        <v>4</v>
      </c>
      <c r="I595" s="21">
        <v>1</v>
      </c>
      <c r="J595" s="21">
        <v>0.18</v>
      </c>
      <c r="K595" s="21">
        <v>0.21210000000000001</v>
      </c>
      <c r="L595" s="21">
        <v>0.74</v>
      </c>
      <c r="M595" s="21">
        <v>8.9599999999999999E-2</v>
      </c>
      <c r="N595" s="21">
        <v>0</v>
      </c>
      <c r="O595" s="21">
        <v>27</v>
      </c>
      <c r="P595" s="21">
        <v>27</v>
      </c>
    </row>
    <row r="596" spans="1:16" x14ac:dyDescent="0.35">
      <c r="A596" s="21">
        <v>595</v>
      </c>
      <c r="B596" s="39">
        <v>40570</v>
      </c>
      <c r="C596" s="21">
        <v>1</v>
      </c>
      <c r="D596" s="21">
        <v>0</v>
      </c>
      <c r="E596" s="21">
        <v>1</v>
      </c>
      <c r="F596" s="21">
        <v>23</v>
      </c>
      <c r="G596" s="21" t="b">
        <v>0</v>
      </c>
      <c r="H596" s="21">
        <v>4</v>
      </c>
      <c r="I596" s="21">
        <v>1</v>
      </c>
      <c r="J596" s="21">
        <v>0.18</v>
      </c>
      <c r="K596" s="21">
        <v>0.19700000000000001</v>
      </c>
      <c r="L596" s="21">
        <v>0.8</v>
      </c>
      <c r="M596" s="21">
        <v>0.16420000000000001</v>
      </c>
      <c r="N596" s="21">
        <v>0</v>
      </c>
      <c r="O596" s="21">
        <v>16</v>
      </c>
      <c r="P596" s="21">
        <v>16</v>
      </c>
    </row>
    <row r="597" spans="1:16" x14ac:dyDescent="0.35">
      <c r="A597" s="21">
        <v>596</v>
      </c>
      <c r="B597" s="39">
        <v>40571</v>
      </c>
      <c r="C597" s="21">
        <v>1</v>
      </c>
      <c r="D597" s="21">
        <v>0</v>
      </c>
      <c r="E597" s="21">
        <v>1</v>
      </c>
      <c r="F597" s="21">
        <v>0</v>
      </c>
      <c r="G597" s="21" t="b">
        <v>0</v>
      </c>
      <c r="H597" s="21">
        <v>5</v>
      </c>
      <c r="I597" s="21">
        <v>2</v>
      </c>
      <c r="J597" s="21">
        <v>0.2</v>
      </c>
      <c r="K597" s="21">
        <v>0.21210000000000001</v>
      </c>
      <c r="L597" s="21">
        <v>0.75</v>
      </c>
      <c r="M597" s="21">
        <v>0.1343</v>
      </c>
      <c r="N597" s="21">
        <v>0</v>
      </c>
      <c r="O597" s="21">
        <v>9</v>
      </c>
      <c r="P597" s="21">
        <v>9</v>
      </c>
    </row>
    <row r="598" spans="1:16" x14ac:dyDescent="0.35">
      <c r="A598" s="21">
        <v>597</v>
      </c>
      <c r="B598" s="39">
        <v>40571</v>
      </c>
      <c r="C598" s="21">
        <v>1</v>
      </c>
      <c r="D598" s="21">
        <v>0</v>
      </c>
      <c r="E598" s="21">
        <v>1</v>
      </c>
      <c r="F598" s="21">
        <v>1</v>
      </c>
      <c r="G598" s="21" t="b">
        <v>0</v>
      </c>
      <c r="H598" s="21">
        <v>5</v>
      </c>
      <c r="I598" s="21">
        <v>2</v>
      </c>
      <c r="J598" s="21">
        <v>0.2</v>
      </c>
      <c r="K598" s="21">
        <v>0.21210000000000001</v>
      </c>
      <c r="L598" s="21">
        <v>0.75</v>
      </c>
      <c r="M598" s="21">
        <v>0.1343</v>
      </c>
      <c r="N598" s="21">
        <v>1</v>
      </c>
      <c r="O598" s="21">
        <v>2</v>
      </c>
      <c r="P598" s="21">
        <v>3</v>
      </c>
    </row>
    <row r="599" spans="1:16" x14ac:dyDescent="0.35">
      <c r="A599" s="21">
        <v>598</v>
      </c>
      <c r="B599" s="39">
        <v>40571</v>
      </c>
      <c r="C599" s="21">
        <v>1</v>
      </c>
      <c r="D599" s="21">
        <v>0</v>
      </c>
      <c r="E599" s="21">
        <v>1</v>
      </c>
      <c r="F599" s="21">
        <v>2</v>
      </c>
      <c r="G599" s="21" t="b">
        <v>0</v>
      </c>
      <c r="H599" s="21">
        <v>5</v>
      </c>
      <c r="I599" s="21">
        <v>2</v>
      </c>
      <c r="J599" s="21">
        <v>0.2</v>
      </c>
      <c r="K599" s="21">
        <v>0.21210000000000001</v>
      </c>
      <c r="L599" s="21">
        <v>0.75</v>
      </c>
      <c r="M599" s="21">
        <v>0.16420000000000001</v>
      </c>
      <c r="N599" s="21">
        <v>0</v>
      </c>
      <c r="O599" s="21">
        <v>2</v>
      </c>
      <c r="P599" s="21">
        <v>2</v>
      </c>
    </row>
    <row r="600" spans="1:16" x14ac:dyDescent="0.35">
      <c r="A600" s="21">
        <v>599</v>
      </c>
      <c r="B600" s="39">
        <v>40571</v>
      </c>
      <c r="C600" s="21">
        <v>1</v>
      </c>
      <c r="D600" s="21">
        <v>0</v>
      </c>
      <c r="E600" s="21">
        <v>1</v>
      </c>
      <c r="F600" s="21">
        <v>3</v>
      </c>
      <c r="G600" s="21" t="b">
        <v>0</v>
      </c>
      <c r="H600" s="21">
        <v>5</v>
      </c>
      <c r="I600" s="21">
        <v>2</v>
      </c>
      <c r="J600" s="21">
        <v>0.2</v>
      </c>
      <c r="K600" s="21">
        <v>0.2273</v>
      </c>
      <c r="L600" s="21">
        <v>0.75</v>
      </c>
      <c r="M600" s="21">
        <v>0.1045</v>
      </c>
      <c r="N600" s="21">
        <v>1</v>
      </c>
      <c r="O600" s="21">
        <v>0</v>
      </c>
      <c r="P600" s="21">
        <v>1</v>
      </c>
    </row>
    <row r="601" spans="1:16" x14ac:dyDescent="0.35">
      <c r="A601" s="21">
        <v>600</v>
      </c>
      <c r="B601" s="39">
        <v>40571</v>
      </c>
      <c r="C601" s="21">
        <v>1</v>
      </c>
      <c r="D601" s="21">
        <v>0</v>
      </c>
      <c r="E601" s="21">
        <v>1</v>
      </c>
      <c r="F601" s="21">
        <v>5</v>
      </c>
      <c r="G601" s="21" t="b">
        <v>0</v>
      </c>
      <c r="H601" s="21">
        <v>5</v>
      </c>
      <c r="I601" s="21">
        <v>2</v>
      </c>
      <c r="J601" s="21">
        <v>0.18</v>
      </c>
      <c r="K601" s="21">
        <v>0.21210000000000001</v>
      </c>
      <c r="L601" s="21">
        <v>0.8</v>
      </c>
      <c r="M601" s="21">
        <v>0.1045</v>
      </c>
      <c r="N601" s="21">
        <v>0</v>
      </c>
      <c r="O601" s="21">
        <v>4</v>
      </c>
      <c r="P601" s="21">
        <v>4</v>
      </c>
    </row>
    <row r="602" spans="1:16" x14ac:dyDescent="0.35">
      <c r="A602" s="21">
        <v>601</v>
      </c>
      <c r="B602" s="39">
        <v>40571</v>
      </c>
      <c r="C602" s="21">
        <v>1</v>
      </c>
      <c r="D602" s="21">
        <v>0</v>
      </c>
      <c r="E602" s="21">
        <v>1</v>
      </c>
      <c r="F602" s="21">
        <v>6</v>
      </c>
      <c r="G602" s="21" t="b">
        <v>0</v>
      </c>
      <c r="H602" s="21">
        <v>5</v>
      </c>
      <c r="I602" s="21">
        <v>2</v>
      </c>
      <c r="J602" s="21">
        <v>0.18</v>
      </c>
      <c r="K602" s="21">
        <v>0.19700000000000001</v>
      </c>
      <c r="L602" s="21">
        <v>0.8</v>
      </c>
      <c r="M602" s="21">
        <v>0.1343</v>
      </c>
      <c r="N602" s="21">
        <v>0</v>
      </c>
      <c r="O602" s="21">
        <v>16</v>
      </c>
      <c r="P602" s="21">
        <v>16</v>
      </c>
    </row>
    <row r="603" spans="1:16" x14ac:dyDescent="0.35">
      <c r="A603" s="21">
        <v>602</v>
      </c>
      <c r="B603" s="39">
        <v>40571</v>
      </c>
      <c r="C603" s="21">
        <v>1</v>
      </c>
      <c r="D603" s="21">
        <v>0</v>
      </c>
      <c r="E603" s="21">
        <v>1</v>
      </c>
      <c r="F603" s="21">
        <v>7</v>
      </c>
      <c r="G603" s="21" t="b">
        <v>0</v>
      </c>
      <c r="H603" s="21">
        <v>5</v>
      </c>
      <c r="I603" s="21">
        <v>2</v>
      </c>
      <c r="J603" s="21">
        <v>0.16</v>
      </c>
      <c r="K603" s="21">
        <v>0.19700000000000001</v>
      </c>
      <c r="L603" s="21">
        <v>0.86</v>
      </c>
      <c r="M603" s="21">
        <v>8.9599999999999999E-2</v>
      </c>
      <c r="N603" s="21">
        <v>2</v>
      </c>
      <c r="O603" s="21">
        <v>58</v>
      </c>
      <c r="P603" s="21">
        <v>60</v>
      </c>
    </row>
    <row r="604" spans="1:16" x14ac:dyDescent="0.35">
      <c r="A604" s="21">
        <v>603</v>
      </c>
      <c r="B604" s="39">
        <v>40571</v>
      </c>
      <c r="C604" s="21">
        <v>1</v>
      </c>
      <c r="D604" s="21">
        <v>0</v>
      </c>
      <c r="E604" s="21">
        <v>1</v>
      </c>
      <c r="F604" s="21">
        <v>8</v>
      </c>
      <c r="G604" s="21" t="b">
        <v>0</v>
      </c>
      <c r="H604" s="21">
        <v>5</v>
      </c>
      <c r="I604" s="21">
        <v>2</v>
      </c>
      <c r="J604" s="21">
        <v>0.16</v>
      </c>
      <c r="K604" s="21">
        <v>0.19700000000000001</v>
      </c>
      <c r="L604" s="21">
        <v>0.86</v>
      </c>
      <c r="M604" s="21">
        <v>8.9599999999999999E-2</v>
      </c>
      <c r="N604" s="21">
        <v>2</v>
      </c>
      <c r="O604" s="21">
        <v>155</v>
      </c>
      <c r="P604" s="21">
        <v>157</v>
      </c>
    </row>
    <row r="605" spans="1:16" x14ac:dyDescent="0.35">
      <c r="A605" s="21">
        <v>604</v>
      </c>
      <c r="B605" s="39">
        <v>40571</v>
      </c>
      <c r="C605" s="21">
        <v>1</v>
      </c>
      <c r="D605" s="21">
        <v>0</v>
      </c>
      <c r="E605" s="21">
        <v>1</v>
      </c>
      <c r="F605" s="21">
        <v>9</v>
      </c>
      <c r="G605" s="21" t="b">
        <v>0</v>
      </c>
      <c r="H605" s="21">
        <v>5</v>
      </c>
      <c r="I605" s="21">
        <v>3</v>
      </c>
      <c r="J605" s="21">
        <v>0.18</v>
      </c>
      <c r="K605" s="21">
        <v>0.21210000000000001</v>
      </c>
      <c r="L605" s="21">
        <v>0.86</v>
      </c>
      <c r="M605" s="21">
        <v>8.9599999999999999E-2</v>
      </c>
      <c r="N605" s="21">
        <v>6</v>
      </c>
      <c r="O605" s="21">
        <v>95</v>
      </c>
      <c r="P605" s="21">
        <v>101</v>
      </c>
    </row>
    <row r="606" spans="1:16" x14ac:dyDescent="0.35">
      <c r="A606" s="21">
        <v>605</v>
      </c>
      <c r="B606" s="39">
        <v>40571</v>
      </c>
      <c r="C606" s="21">
        <v>1</v>
      </c>
      <c r="D606" s="21">
        <v>0</v>
      </c>
      <c r="E606" s="21">
        <v>1</v>
      </c>
      <c r="F606" s="21">
        <v>10</v>
      </c>
      <c r="G606" s="21" t="b">
        <v>0</v>
      </c>
      <c r="H606" s="21">
        <v>5</v>
      </c>
      <c r="I606" s="21">
        <v>3</v>
      </c>
      <c r="J606" s="21">
        <v>0.18</v>
      </c>
      <c r="K606" s="21">
        <v>0.21210000000000001</v>
      </c>
      <c r="L606" s="21">
        <v>0.86</v>
      </c>
      <c r="M606" s="21">
        <v>0.1045</v>
      </c>
      <c r="N606" s="21">
        <v>0</v>
      </c>
      <c r="O606" s="21">
        <v>49</v>
      </c>
      <c r="P606" s="21">
        <v>49</v>
      </c>
    </row>
    <row r="607" spans="1:16" x14ac:dyDescent="0.35">
      <c r="A607" s="21">
        <v>606</v>
      </c>
      <c r="B607" s="39">
        <v>40571</v>
      </c>
      <c r="C607" s="21">
        <v>1</v>
      </c>
      <c r="D607" s="21">
        <v>0</v>
      </c>
      <c r="E607" s="21">
        <v>1</v>
      </c>
      <c r="F607" s="21">
        <v>11</v>
      </c>
      <c r="G607" s="21" t="b">
        <v>0</v>
      </c>
      <c r="H607" s="21">
        <v>5</v>
      </c>
      <c r="I607" s="21">
        <v>3</v>
      </c>
      <c r="J607" s="21">
        <v>0.18</v>
      </c>
      <c r="K607" s="21">
        <v>0.21210000000000001</v>
      </c>
      <c r="L607" s="21">
        <v>0.93</v>
      </c>
      <c r="M607" s="21">
        <v>0.1045</v>
      </c>
      <c r="N607" s="21">
        <v>0</v>
      </c>
      <c r="O607" s="21">
        <v>30</v>
      </c>
      <c r="P607" s="21">
        <v>30</v>
      </c>
    </row>
    <row r="608" spans="1:16" x14ac:dyDescent="0.35">
      <c r="A608" s="21">
        <v>607</v>
      </c>
      <c r="B608" s="39">
        <v>40571</v>
      </c>
      <c r="C608" s="21">
        <v>1</v>
      </c>
      <c r="D608" s="21">
        <v>0</v>
      </c>
      <c r="E608" s="21">
        <v>1</v>
      </c>
      <c r="F608" s="21">
        <v>12</v>
      </c>
      <c r="G608" s="21" t="b">
        <v>0</v>
      </c>
      <c r="H608" s="21">
        <v>5</v>
      </c>
      <c r="I608" s="21">
        <v>3</v>
      </c>
      <c r="J608" s="21">
        <v>0.18</v>
      </c>
      <c r="K608" s="21">
        <v>0.21210000000000001</v>
      </c>
      <c r="L608" s="21">
        <v>0.93</v>
      </c>
      <c r="M608" s="21">
        <v>0.1045</v>
      </c>
      <c r="N608" s="21">
        <v>1</v>
      </c>
      <c r="O608" s="21">
        <v>28</v>
      </c>
      <c r="P608" s="21">
        <v>29</v>
      </c>
    </row>
    <row r="609" spans="1:16" x14ac:dyDescent="0.35">
      <c r="A609" s="21">
        <v>608</v>
      </c>
      <c r="B609" s="39">
        <v>40571</v>
      </c>
      <c r="C609" s="21">
        <v>1</v>
      </c>
      <c r="D609" s="21">
        <v>0</v>
      </c>
      <c r="E609" s="21">
        <v>1</v>
      </c>
      <c r="F609" s="21">
        <v>13</v>
      </c>
      <c r="G609" s="21" t="b">
        <v>0</v>
      </c>
      <c r="H609" s="21">
        <v>5</v>
      </c>
      <c r="I609" s="21">
        <v>3</v>
      </c>
      <c r="J609" s="21">
        <v>0.18</v>
      </c>
      <c r="K609" s="21">
        <v>0.21210000000000001</v>
      </c>
      <c r="L609" s="21">
        <v>0.93</v>
      </c>
      <c r="M609" s="21">
        <v>0.1045</v>
      </c>
      <c r="N609" s="21">
        <v>0</v>
      </c>
      <c r="O609" s="21">
        <v>31</v>
      </c>
      <c r="P609" s="21">
        <v>31</v>
      </c>
    </row>
    <row r="610" spans="1:16" x14ac:dyDescent="0.35">
      <c r="A610" s="21">
        <v>609</v>
      </c>
      <c r="B610" s="39">
        <v>40571</v>
      </c>
      <c r="C610" s="21">
        <v>1</v>
      </c>
      <c r="D610" s="21">
        <v>0</v>
      </c>
      <c r="E610" s="21">
        <v>1</v>
      </c>
      <c r="F610" s="21">
        <v>14</v>
      </c>
      <c r="G610" s="21" t="b">
        <v>0</v>
      </c>
      <c r="H610" s="21">
        <v>5</v>
      </c>
      <c r="I610" s="21">
        <v>3</v>
      </c>
      <c r="J610" s="21">
        <v>0.22</v>
      </c>
      <c r="K610" s="21">
        <v>0.2727</v>
      </c>
      <c r="L610" s="21">
        <v>0.8</v>
      </c>
      <c r="M610" s="21">
        <v>0</v>
      </c>
      <c r="N610" s="21">
        <v>2</v>
      </c>
      <c r="O610" s="21">
        <v>36</v>
      </c>
      <c r="P610" s="21">
        <v>38</v>
      </c>
    </row>
    <row r="611" spans="1:16" x14ac:dyDescent="0.35">
      <c r="A611" s="21">
        <v>610</v>
      </c>
      <c r="B611" s="39">
        <v>40571</v>
      </c>
      <c r="C611" s="21">
        <v>1</v>
      </c>
      <c r="D611" s="21">
        <v>0</v>
      </c>
      <c r="E611" s="21">
        <v>1</v>
      </c>
      <c r="F611" s="21">
        <v>15</v>
      </c>
      <c r="G611" s="21" t="b">
        <v>0</v>
      </c>
      <c r="H611" s="21">
        <v>5</v>
      </c>
      <c r="I611" s="21">
        <v>2</v>
      </c>
      <c r="J611" s="21">
        <v>0.2</v>
      </c>
      <c r="K611" s="21">
        <v>0.2576</v>
      </c>
      <c r="L611" s="21">
        <v>0.86</v>
      </c>
      <c r="M611" s="21">
        <v>0</v>
      </c>
      <c r="N611" s="21">
        <v>1</v>
      </c>
      <c r="O611" s="21">
        <v>40</v>
      </c>
      <c r="P611" s="21">
        <v>41</v>
      </c>
    </row>
  </sheetData>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30B6-0E8A-464A-B466-338FC95FA002}">
  <dimension ref="A1:V1001"/>
  <sheetViews>
    <sheetView topLeftCell="B948" zoomScale="55" zoomScaleNormal="55" workbookViewId="0">
      <selection activeCell="S961" sqref="S961"/>
    </sheetView>
  </sheetViews>
  <sheetFormatPr defaultRowHeight="14.5" x14ac:dyDescent="0.35"/>
  <cols>
    <col min="1" max="1" width="9" bestFit="1" customWidth="1"/>
    <col min="2" max="2" width="13.54296875" bestFit="1" customWidth="1"/>
    <col min="3" max="3" width="8.90625" bestFit="1" customWidth="1"/>
    <col min="4" max="4" width="6.81640625" bestFit="1" customWidth="1"/>
    <col min="5" max="5" width="8.81640625" bestFit="1" customWidth="1"/>
    <col min="6" max="6" width="8.08984375" bestFit="1" customWidth="1"/>
    <col min="7" max="7" width="9.36328125" bestFit="1" customWidth="1"/>
    <col min="8" max="8" width="10.90625" bestFit="1" customWidth="1"/>
    <col min="9" max="9" width="10.26953125" bestFit="1" customWidth="1"/>
    <col min="10" max="10" width="7.81640625" bestFit="1" customWidth="1"/>
    <col min="11" max="11" width="8.54296875" bestFit="1" customWidth="1"/>
    <col min="12" max="12" width="6.90625" bestFit="1" customWidth="1"/>
    <col min="13" max="13" width="12.1796875" bestFit="1" customWidth="1"/>
    <col min="14" max="14" width="8.26953125" bestFit="1" customWidth="1"/>
    <col min="15" max="15" width="11.54296875" bestFit="1" customWidth="1"/>
    <col min="16" max="16" width="5.7265625" bestFit="1" customWidth="1"/>
    <col min="18" max="18" width="14.453125" bestFit="1" customWidth="1"/>
    <col min="19" max="19" width="12.1796875" bestFit="1" customWidth="1"/>
    <col min="20" max="20" width="12.453125" bestFit="1" customWidth="1"/>
    <col min="21" max="21" width="9.81640625" bestFit="1" customWidth="1"/>
    <col min="22" max="22" width="15.816406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22" x14ac:dyDescent="0.35">
      <c r="A2">
        <v>1</v>
      </c>
      <c r="B2" s="37">
        <v>40544</v>
      </c>
      <c r="C2">
        <v>1</v>
      </c>
      <c r="D2">
        <v>0</v>
      </c>
      <c r="E2" t="s">
        <v>104</v>
      </c>
      <c r="F2">
        <v>0</v>
      </c>
      <c r="G2" t="b">
        <v>0</v>
      </c>
      <c r="H2" t="s">
        <v>106</v>
      </c>
      <c r="I2" t="s">
        <v>113</v>
      </c>
      <c r="J2">
        <v>0.24</v>
      </c>
      <c r="K2">
        <v>0.28789999999999999</v>
      </c>
      <c r="L2">
        <v>0.81</v>
      </c>
      <c r="M2">
        <v>0</v>
      </c>
      <c r="N2">
        <v>3</v>
      </c>
      <c r="O2">
        <v>13</v>
      </c>
      <c r="P2">
        <v>16</v>
      </c>
      <c r="R2" s="41" t="s">
        <v>4</v>
      </c>
      <c r="S2" s="42" t="s">
        <v>55</v>
      </c>
    </row>
    <row r="3" spans="1:22" x14ac:dyDescent="0.35">
      <c r="A3">
        <v>2</v>
      </c>
      <c r="B3" s="37">
        <v>40544</v>
      </c>
      <c r="C3">
        <v>1</v>
      </c>
      <c r="D3">
        <v>0</v>
      </c>
      <c r="E3" t="s">
        <v>104</v>
      </c>
      <c r="F3">
        <v>1</v>
      </c>
      <c r="G3" t="b">
        <v>0</v>
      </c>
      <c r="H3" t="s">
        <v>106</v>
      </c>
      <c r="I3" t="s">
        <v>113</v>
      </c>
      <c r="J3">
        <v>0.22</v>
      </c>
      <c r="K3">
        <v>0.2727</v>
      </c>
      <c r="L3">
        <v>0.8</v>
      </c>
      <c r="M3">
        <v>0</v>
      </c>
      <c r="N3">
        <v>8</v>
      </c>
      <c r="O3">
        <v>32</v>
      </c>
      <c r="P3">
        <v>40</v>
      </c>
      <c r="R3" s="41" t="s">
        <v>0</v>
      </c>
      <c r="S3" s="42" t="s">
        <v>55</v>
      </c>
    </row>
    <row r="4" spans="1:22" x14ac:dyDescent="0.35">
      <c r="A4">
        <v>3</v>
      </c>
      <c r="B4" s="37">
        <v>40544</v>
      </c>
      <c r="C4">
        <v>1</v>
      </c>
      <c r="D4">
        <v>0</v>
      </c>
      <c r="E4" t="s">
        <v>104</v>
      </c>
      <c r="F4">
        <v>2</v>
      </c>
      <c r="G4" t="b">
        <v>0</v>
      </c>
      <c r="H4" t="s">
        <v>106</v>
      </c>
      <c r="I4" t="s">
        <v>113</v>
      </c>
      <c r="J4">
        <v>0.22</v>
      </c>
      <c r="K4">
        <v>0.2727</v>
      </c>
      <c r="L4">
        <v>0.8</v>
      </c>
      <c r="M4">
        <v>0</v>
      </c>
      <c r="N4">
        <v>5</v>
      </c>
      <c r="O4">
        <v>27</v>
      </c>
      <c r="P4">
        <v>32</v>
      </c>
    </row>
    <row r="5" spans="1:22" x14ac:dyDescent="0.35">
      <c r="A5">
        <v>4</v>
      </c>
      <c r="B5" s="37">
        <v>40544</v>
      </c>
      <c r="C5">
        <v>1</v>
      </c>
      <c r="D5">
        <v>0</v>
      </c>
      <c r="E5" t="s">
        <v>104</v>
      </c>
      <c r="F5">
        <v>3</v>
      </c>
      <c r="G5" t="b">
        <v>0</v>
      </c>
      <c r="H5" t="s">
        <v>106</v>
      </c>
      <c r="I5" t="s">
        <v>113</v>
      </c>
      <c r="J5">
        <v>0.24</v>
      </c>
      <c r="K5">
        <v>0.28789999999999999</v>
      </c>
      <c r="L5">
        <v>0.75</v>
      </c>
      <c r="M5">
        <v>0</v>
      </c>
      <c r="N5">
        <v>3</v>
      </c>
      <c r="O5">
        <v>10</v>
      </c>
      <c r="P5">
        <v>13</v>
      </c>
      <c r="R5" s="41" t="s">
        <v>53</v>
      </c>
      <c r="S5" s="42" t="s">
        <v>177</v>
      </c>
      <c r="T5" s="42" t="s">
        <v>58</v>
      </c>
      <c r="U5" s="42" t="s">
        <v>57</v>
      </c>
      <c r="V5" s="42" t="s">
        <v>56</v>
      </c>
    </row>
    <row r="6" spans="1:22" x14ac:dyDescent="0.35">
      <c r="A6">
        <v>5</v>
      </c>
      <c r="B6" s="37">
        <v>40544</v>
      </c>
      <c r="C6">
        <v>1</v>
      </c>
      <c r="D6">
        <v>0</v>
      </c>
      <c r="E6" t="s">
        <v>104</v>
      </c>
      <c r="F6">
        <v>4</v>
      </c>
      <c r="G6" t="b">
        <v>0</v>
      </c>
      <c r="H6" t="s">
        <v>106</v>
      </c>
      <c r="I6" t="s">
        <v>113</v>
      </c>
      <c r="J6">
        <v>0.24</v>
      </c>
      <c r="K6">
        <v>0.28789999999999999</v>
      </c>
      <c r="L6">
        <v>0.75</v>
      </c>
      <c r="M6">
        <v>0</v>
      </c>
      <c r="N6">
        <v>0</v>
      </c>
      <c r="O6">
        <v>1</v>
      </c>
      <c r="P6">
        <v>1</v>
      </c>
      <c r="R6" s="45" t="s">
        <v>59</v>
      </c>
      <c r="S6" s="44">
        <v>276</v>
      </c>
      <c r="T6" s="44">
        <v>331</v>
      </c>
      <c r="U6" s="44">
        <v>985</v>
      </c>
      <c r="V6" s="44">
        <v>654</v>
      </c>
    </row>
    <row r="7" spans="1:22" x14ac:dyDescent="0.35">
      <c r="A7">
        <v>6</v>
      </c>
      <c r="B7" s="37">
        <v>40544</v>
      </c>
      <c r="C7">
        <v>1</v>
      </c>
      <c r="D7">
        <v>0</v>
      </c>
      <c r="E7" t="s">
        <v>104</v>
      </c>
      <c r="F7">
        <v>5</v>
      </c>
      <c r="G7" t="b">
        <v>0</v>
      </c>
      <c r="H7" t="s">
        <v>106</v>
      </c>
      <c r="I7" t="s">
        <v>114</v>
      </c>
      <c r="J7">
        <v>0.24</v>
      </c>
      <c r="K7">
        <v>0.2576</v>
      </c>
      <c r="L7">
        <v>0.75</v>
      </c>
      <c r="M7">
        <v>8.9599999999999999E-2</v>
      </c>
      <c r="N7">
        <v>0</v>
      </c>
      <c r="O7">
        <v>1</v>
      </c>
      <c r="P7">
        <v>1</v>
      </c>
      <c r="R7" s="45" t="s">
        <v>60</v>
      </c>
      <c r="S7" s="44">
        <v>271</v>
      </c>
      <c r="T7" s="44">
        <v>131</v>
      </c>
      <c r="U7" s="44">
        <v>801</v>
      </c>
      <c r="V7" s="44">
        <v>670</v>
      </c>
    </row>
    <row r="8" spans="1:22" x14ac:dyDescent="0.35">
      <c r="A8">
        <v>7</v>
      </c>
      <c r="B8" s="37">
        <v>40544</v>
      </c>
      <c r="C8">
        <v>1</v>
      </c>
      <c r="D8">
        <v>0</v>
      </c>
      <c r="E8" t="s">
        <v>104</v>
      </c>
      <c r="F8">
        <v>6</v>
      </c>
      <c r="G8" t="b">
        <v>0</v>
      </c>
      <c r="H8" t="s">
        <v>106</v>
      </c>
      <c r="I8" t="s">
        <v>113</v>
      </c>
      <c r="J8">
        <v>0.22</v>
      </c>
      <c r="K8">
        <v>0.2727</v>
      </c>
      <c r="L8">
        <v>0.8</v>
      </c>
      <c r="M8">
        <v>0</v>
      </c>
      <c r="N8">
        <v>2</v>
      </c>
      <c r="O8">
        <v>0</v>
      </c>
      <c r="P8">
        <v>2</v>
      </c>
      <c r="R8" s="45" t="s">
        <v>61</v>
      </c>
      <c r="S8" s="44">
        <v>271</v>
      </c>
      <c r="T8" s="44">
        <v>120</v>
      </c>
      <c r="U8" s="44">
        <v>1349</v>
      </c>
      <c r="V8" s="44">
        <v>1229</v>
      </c>
    </row>
    <row r="9" spans="1:22" x14ac:dyDescent="0.35">
      <c r="A9">
        <v>8</v>
      </c>
      <c r="B9" s="37">
        <v>40544</v>
      </c>
      <c r="C9">
        <v>1</v>
      </c>
      <c r="D9">
        <v>0</v>
      </c>
      <c r="E9" t="s">
        <v>104</v>
      </c>
      <c r="F9">
        <v>7</v>
      </c>
      <c r="G9" t="b">
        <v>0</v>
      </c>
      <c r="H9" t="s">
        <v>106</v>
      </c>
      <c r="I9" t="s">
        <v>113</v>
      </c>
      <c r="J9">
        <v>0.2</v>
      </c>
      <c r="K9">
        <v>0.2576</v>
      </c>
      <c r="L9">
        <v>0.86</v>
      </c>
      <c r="M9">
        <v>0</v>
      </c>
      <c r="N9">
        <v>1</v>
      </c>
      <c r="O9">
        <v>2</v>
      </c>
      <c r="P9">
        <v>3</v>
      </c>
      <c r="R9" s="45" t="s">
        <v>62</v>
      </c>
      <c r="S9" s="44">
        <v>273</v>
      </c>
      <c r="T9" s="44">
        <v>108</v>
      </c>
      <c r="U9" s="44">
        <v>1562</v>
      </c>
      <c r="V9" s="44">
        <v>1454</v>
      </c>
    </row>
    <row r="10" spans="1:22" x14ac:dyDescent="0.35">
      <c r="A10">
        <v>9</v>
      </c>
      <c r="B10" s="37">
        <v>40544</v>
      </c>
      <c r="C10">
        <v>1</v>
      </c>
      <c r="D10">
        <v>0</v>
      </c>
      <c r="E10" t="s">
        <v>104</v>
      </c>
      <c r="F10">
        <v>8</v>
      </c>
      <c r="G10" t="b">
        <v>0</v>
      </c>
      <c r="H10" t="s">
        <v>106</v>
      </c>
      <c r="I10" t="s">
        <v>113</v>
      </c>
      <c r="J10">
        <v>0.24</v>
      </c>
      <c r="K10">
        <v>0</v>
      </c>
      <c r="L10">
        <v>0.75</v>
      </c>
      <c r="M10">
        <v>0</v>
      </c>
      <c r="N10">
        <v>1</v>
      </c>
      <c r="O10">
        <v>7</v>
      </c>
      <c r="P10">
        <v>8</v>
      </c>
      <c r="R10" s="45" t="s">
        <v>63</v>
      </c>
      <c r="S10" s="44">
        <v>273</v>
      </c>
      <c r="T10" s="44">
        <v>82</v>
      </c>
      <c r="U10" s="44">
        <v>1600</v>
      </c>
      <c r="V10" s="44">
        <v>1518</v>
      </c>
    </row>
    <row r="11" spans="1:22" x14ac:dyDescent="0.35">
      <c r="A11">
        <v>10</v>
      </c>
      <c r="B11" s="37">
        <v>40544</v>
      </c>
      <c r="C11">
        <v>1</v>
      </c>
      <c r="D11">
        <v>0</v>
      </c>
      <c r="E11" t="s">
        <v>104</v>
      </c>
      <c r="F11">
        <v>9</v>
      </c>
      <c r="G11" t="b">
        <v>0</v>
      </c>
      <c r="H11" t="s">
        <v>106</v>
      </c>
      <c r="I11" t="s">
        <v>113</v>
      </c>
      <c r="J11">
        <v>0.32</v>
      </c>
      <c r="K11">
        <v>0.34849999999999998</v>
      </c>
      <c r="L11">
        <v>0.76</v>
      </c>
      <c r="M11">
        <v>0</v>
      </c>
      <c r="N11">
        <v>8</v>
      </c>
      <c r="O11">
        <v>6</v>
      </c>
      <c r="P11">
        <v>14</v>
      </c>
      <c r="R11" s="45" t="s">
        <v>64</v>
      </c>
      <c r="S11" s="44">
        <v>273</v>
      </c>
      <c r="T11" s="44">
        <v>88</v>
      </c>
      <c r="U11" s="44">
        <v>1606</v>
      </c>
      <c r="V11" s="44">
        <v>1518</v>
      </c>
    </row>
    <row r="12" spans="1:22" x14ac:dyDescent="0.35">
      <c r="A12">
        <v>11</v>
      </c>
      <c r="B12" s="37">
        <v>40544</v>
      </c>
      <c r="C12">
        <v>1</v>
      </c>
      <c r="D12">
        <v>0</v>
      </c>
      <c r="E12" t="s">
        <v>104</v>
      </c>
      <c r="F12">
        <v>10</v>
      </c>
      <c r="G12" t="b">
        <v>0</v>
      </c>
      <c r="H12" t="s">
        <v>106</v>
      </c>
      <c r="I12" t="s">
        <v>113</v>
      </c>
      <c r="J12">
        <v>0.38</v>
      </c>
      <c r="K12">
        <v>0.39389999999999997</v>
      </c>
      <c r="L12">
        <v>0.76</v>
      </c>
      <c r="M12">
        <v>0.25369999999999998</v>
      </c>
      <c r="N12">
        <v>12</v>
      </c>
      <c r="O12">
        <v>24</v>
      </c>
      <c r="P12">
        <v>36</v>
      </c>
      <c r="R12" s="45" t="s">
        <v>65</v>
      </c>
      <c r="S12" s="44">
        <v>273</v>
      </c>
      <c r="T12" s="44">
        <v>148</v>
      </c>
      <c r="U12" s="44">
        <v>1510</v>
      </c>
      <c r="V12" s="44">
        <v>1362</v>
      </c>
    </row>
    <row r="13" spans="1:22" x14ac:dyDescent="0.35">
      <c r="A13">
        <v>12</v>
      </c>
      <c r="B13" s="37">
        <v>40544</v>
      </c>
      <c r="C13">
        <v>1</v>
      </c>
      <c r="D13">
        <v>0</v>
      </c>
      <c r="E13" t="s">
        <v>104</v>
      </c>
      <c r="F13">
        <v>11</v>
      </c>
      <c r="G13" t="b">
        <v>0</v>
      </c>
      <c r="H13" t="s">
        <v>106</v>
      </c>
      <c r="I13" t="s">
        <v>113</v>
      </c>
      <c r="J13">
        <v>0.36</v>
      </c>
      <c r="K13">
        <v>0.33329999999999999</v>
      </c>
      <c r="L13">
        <v>0.81</v>
      </c>
      <c r="M13">
        <v>0.28360000000000002</v>
      </c>
      <c r="N13">
        <v>26</v>
      </c>
      <c r="O13">
        <v>30</v>
      </c>
      <c r="P13">
        <v>56</v>
      </c>
      <c r="R13" s="45" t="s">
        <v>66</v>
      </c>
      <c r="S13" s="44">
        <v>276</v>
      </c>
      <c r="T13" s="44">
        <v>68</v>
      </c>
      <c r="U13" s="44">
        <v>959</v>
      </c>
      <c r="V13" s="44">
        <v>891</v>
      </c>
    </row>
    <row r="14" spans="1:22" x14ac:dyDescent="0.35">
      <c r="A14">
        <v>13</v>
      </c>
      <c r="B14" s="37">
        <v>40544</v>
      </c>
      <c r="C14">
        <v>1</v>
      </c>
      <c r="D14">
        <v>0</v>
      </c>
      <c r="E14" t="s">
        <v>104</v>
      </c>
      <c r="F14">
        <v>12</v>
      </c>
      <c r="G14" t="b">
        <v>0</v>
      </c>
      <c r="H14" t="s">
        <v>106</v>
      </c>
      <c r="I14" t="s">
        <v>113</v>
      </c>
      <c r="J14">
        <v>0.42</v>
      </c>
      <c r="K14">
        <v>0.42420000000000002</v>
      </c>
      <c r="L14">
        <v>0.77</v>
      </c>
      <c r="M14">
        <v>0.28360000000000002</v>
      </c>
      <c r="N14">
        <v>29</v>
      </c>
      <c r="O14">
        <v>55</v>
      </c>
      <c r="P14">
        <v>84</v>
      </c>
      <c r="R14" s="45" t="s">
        <v>67</v>
      </c>
      <c r="S14" s="44">
        <v>276</v>
      </c>
      <c r="T14" s="44">
        <v>54</v>
      </c>
      <c r="U14" s="44">
        <v>822</v>
      </c>
      <c r="V14" s="44">
        <v>768</v>
      </c>
    </row>
    <row r="15" spans="1:22" x14ac:dyDescent="0.35">
      <c r="A15">
        <v>14</v>
      </c>
      <c r="B15" s="37">
        <v>40544</v>
      </c>
      <c r="C15">
        <v>1</v>
      </c>
      <c r="D15">
        <v>0</v>
      </c>
      <c r="E15" t="s">
        <v>104</v>
      </c>
      <c r="F15">
        <v>13</v>
      </c>
      <c r="G15" t="b">
        <v>0</v>
      </c>
      <c r="H15" t="s">
        <v>106</v>
      </c>
      <c r="I15" t="s">
        <v>114</v>
      </c>
      <c r="J15">
        <v>0.46</v>
      </c>
      <c r="K15">
        <v>0.45450000000000002</v>
      </c>
      <c r="L15">
        <v>0.72</v>
      </c>
      <c r="M15">
        <v>0.29849999999999999</v>
      </c>
      <c r="N15">
        <v>47</v>
      </c>
      <c r="O15">
        <v>47</v>
      </c>
      <c r="P15">
        <v>94</v>
      </c>
      <c r="R15" s="45" t="s">
        <v>68</v>
      </c>
      <c r="S15" s="44">
        <v>276</v>
      </c>
      <c r="T15" s="44">
        <v>41</v>
      </c>
      <c r="U15" s="44">
        <v>1321</v>
      </c>
      <c r="V15" s="44">
        <v>1280</v>
      </c>
    </row>
    <row r="16" spans="1:22" x14ac:dyDescent="0.35">
      <c r="A16">
        <v>15</v>
      </c>
      <c r="B16" s="37">
        <v>40544</v>
      </c>
      <c r="C16">
        <v>1</v>
      </c>
      <c r="D16">
        <v>0</v>
      </c>
      <c r="E16" t="s">
        <v>104</v>
      </c>
      <c r="F16">
        <v>14</v>
      </c>
      <c r="G16" t="b">
        <v>0</v>
      </c>
      <c r="H16" t="s">
        <v>106</v>
      </c>
      <c r="I16" t="s">
        <v>114</v>
      </c>
      <c r="J16">
        <v>0.46</v>
      </c>
      <c r="K16">
        <v>0.45450000000000002</v>
      </c>
      <c r="L16">
        <v>0.72</v>
      </c>
      <c r="M16">
        <v>0.28360000000000002</v>
      </c>
      <c r="N16">
        <v>35</v>
      </c>
      <c r="O16">
        <v>71</v>
      </c>
      <c r="P16">
        <v>106</v>
      </c>
      <c r="R16" s="45" t="s">
        <v>69</v>
      </c>
      <c r="S16" s="44">
        <v>269</v>
      </c>
      <c r="T16" s="44">
        <v>43</v>
      </c>
      <c r="U16" s="44">
        <v>1263</v>
      </c>
      <c r="V16" s="44">
        <v>1220</v>
      </c>
    </row>
    <row r="17" spans="1:22" x14ac:dyDescent="0.35">
      <c r="A17">
        <v>16</v>
      </c>
      <c r="B17" s="37">
        <v>40544</v>
      </c>
      <c r="C17">
        <v>1</v>
      </c>
      <c r="D17">
        <v>0</v>
      </c>
      <c r="E17" t="s">
        <v>104</v>
      </c>
      <c r="F17">
        <v>15</v>
      </c>
      <c r="G17" t="b">
        <v>0</v>
      </c>
      <c r="H17" t="s">
        <v>106</v>
      </c>
      <c r="I17" t="s">
        <v>114</v>
      </c>
      <c r="J17">
        <v>0.44</v>
      </c>
      <c r="K17">
        <v>0.43940000000000001</v>
      </c>
      <c r="L17">
        <v>0.77</v>
      </c>
      <c r="M17">
        <v>0.29849999999999999</v>
      </c>
      <c r="N17">
        <v>40</v>
      </c>
      <c r="O17">
        <v>70</v>
      </c>
      <c r="P17">
        <v>110</v>
      </c>
      <c r="R17" s="45" t="s">
        <v>70</v>
      </c>
      <c r="S17" s="44">
        <v>269</v>
      </c>
      <c r="T17" s="44">
        <v>25</v>
      </c>
      <c r="U17" s="44">
        <v>1162</v>
      </c>
      <c r="V17" s="44">
        <v>1137</v>
      </c>
    </row>
    <row r="18" spans="1:22" x14ac:dyDescent="0.35">
      <c r="A18">
        <v>17</v>
      </c>
      <c r="B18" s="37">
        <v>40544</v>
      </c>
      <c r="C18">
        <v>1</v>
      </c>
      <c r="D18">
        <v>0</v>
      </c>
      <c r="E18" t="s">
        <v>104</v>
      </c>
      <c r="F18">
        <v>16</v>
      </c>
      <c r="G18" t="b">
        <v>0</v>
      </c>
      <c r="H18" t="s">
        <v>106</v>
      </c>
      <c r="I18" t="s">
        <v>114</v>
      </c>
      <c r="J18">
        <v>0.42</v>
      </c>
      <c r="K18">
        <v>0.42420000000000002</v>
      </c>
      <c r="L18">
        <v>0.82</v>
      </c>
      <c r="M18">
        <v>0.29849999999999999</v>
      </c>
      <c r="N18">
        <v>41</v>
      </c>
      <c r="O18">
        <v>52</v>
      </c>
      <c r="P18">
        <v>93</v>
      </c>
      <c r="R18" s="45" t="s">
        <v>71</v>
      </c>
      <c r="S18" s="44">
        <v>276</v>
      </c>
      <c r="T18" s="44">
        <v>38</v>
      </c>
      <c r="U18" s="44">
        <v>1406</v>
      </c>
      <c r="V18" s="44">
        <v>1368</v>
      </c>
    </row>
    <row r="19" spans="1:22" x14ac:dyDescent="0.35">
      <c r="A19">
        <v>18</v>
      </c>
      <c r="B19" s="37">
        <v>40544</v>
      </c>
      <c r="C19">
        <v>1</v>
      </c>
      <c r="D19">
        <v>0</v>
      </c>
      <c r="E19" t="s">
        <v>104</v>
      </c>
      <c r="F19">
        <v>17</v>
      </c>
      <c r="G19" t="b">
        <v>0</v>
      </c>
      <c r="H19" t="s">
        <v>106</v>
      </c>
      <c r="I19" t="s">
        <v>114</v>
      </c>
      <c r="J19">
        <v>0.44</v>
      </c>
      <c r="K19">
        <v>0</v>
      </c>
      <c r="L19">
        <v>0.82</v>
      </c>
      <c r="M19">
        <v>0.28360000000000002</v>
      </c>
      <c r="N19">
        <v>15</v>
      </c>
      <c r="O19">
        <v>52</v>
      </c>
      <c r="P19">
        <v>67</v>
      </c>
      <c r="R19" s="45" t="s">
        <v>72</v>
      </c>
      <c r="S19" s="44">
        <v>272</v>
      </c>
      <c r="T19" s="44">
        <v>54</v>
      </c>
      <c r="U19" s="44">
        <v>1421</v>
      </c>
      <c r="V19" s="44">
        <v>1367</v>
      </c>
    </row>
    <row r="20" spans="1:22" x14ac:dyDescent="0.35">
      <c r="A20">
        <v>19</v>
      </c>
      <c r="B20" s="37">
        <v>40544</v>
      </c>
      <c r="C20">
        <v>1</v>
      </c>
      <c r="D20">
        <v>0</v>
      </c>
      <c r="E20" t="s">
        <v>104</v>
      </c>
      <c r="F20">
        <v>18</v>
      </c>
      <c r="G20" t="b">
        <v>0</v>
      </c>
      <c r="H20" t="s">
        <v>106</v>
      </c>
      <c r="I20" t="s">
        <v>115</v>
      </c>
      <c r="J20">
        <v>0.42</v>
      </c>
      <c r="K20">
        <v>0.42420000000000002</v>
      </c>
      <c r="L20">
        <v>0.88</v>
      </c>
      <c r="M20">
        <v>0.25369999999999998</v>
      </c>
      <c r="N20">
        <v>9</v>
      </c>
      <c r="O20">
        <v>26</v>
      </c>
      <c r="P20">
        <v>35</v>
      </c>
      <c r="R20" s="45" t="s">
        <v>73</v>
      </c>
      <c r="S20" s="44">
        <v>276</v>
      </c>
      <c r="T20" s="44">
        <v>222</v>
      </c>
      <c r="U20" s="44">
        <v>1248</v>
      </c>
      <c r="V20" s="44">
        <v>1026</v>
      </c>
    </row>
    <row r="21" spans="1:22" x14ac:dyDescent="0.35">
      <c r="A21">
        <v>20</v>
      </c>
      <c r="B21" s="37">
        <v>40544</v>
      </c>
      <c r="C21">
        <v>1</v>
      </c>
      <c r="D21">
        <v>0</v>
      </c>
      <c r="E21" t="s">
        <v>104</v>
      </c>
      <c r="F21">
        <v>19</v>
      </c>
      <c r="G21" t="b">
        <v>0</v>
      </c>
      <c r="H21" t="s">
        <v>106</v>
      </c>
      <c r="I21" t="s">
        <v>115</v>
      </c>
      <c r="J21">
        <v>0.42</v>
      </c>
      <c r="K21">
        <v>0.42420000000000002</v>
      </c>
      <c r="L21">
        <v>0.88</v>
      </c>
      <c r="M21">
        <v>0.25369999999999998</v>
      </c>
      <c r="N21">
        <v>6</v>
      </c>
      <c r="O21">
        <v>31</v>
      </c>
      <c r="P21">
        <v>37</v>
      </c>
      <c r="R21" s="45" t="s">
        <v>74</v>
      </c>
      <c r="S21" s="44">
        <v>276</v>
      </c>
      <c r="T21" s="44">
        <v>251</v>
      </c>
      <c r="U21" s="44">
        <v>1204</v>
      </c>
      <c r="V21" s="44">
        <v>953</v>
      </c>
    </row>
    <row r="22" spans="1:22" x14ac:dyDescent="0.35">
      <c r="A22">
        <v>21</v>
      </c>
      <c r="B22" s="37">
        <v>40544</v>
      </c>
      <c r="C22">
        <v>1</v>
      </c>
      <c r="D22">
        <v>0</v>
      </c>
      <c r="E22" t="s">
        <v>104</v>
      </c>
      <c r="F22">
        <v>20</v>
      </c>
      <c r="G22" t="b">
        <v>0</v>
      </c>
      <c r="H22" t="s">
        <v>106</v>
      </c>
      <c r="I22" t="s">
        <v>114</v>
      </c>
      <c r="J22">
        <v>0.4</v>
      </c>
      <c r="K22">
        <v>0.40910000000000002</v>
      </c>
      <c r="L22">
        <v>0.87</v>
      </c>
      <c r="M22">
        <v>0.25369999999999998</v>
      </c>
      <c r="N22">
        <v>11</v>
      </c>
      <c r="O22">
        <v>25</v>
      </c>
      <c r="P22">
        <v>36</v>
      </c>
      <c r="R22" s="45" t="s">
        <v>75</v>
      </c>
      <c r="S22" s="44">
        <v>276</v>
      </c>
      <c r="T22" s="44">
        <v>117</v>
      </c>
      <c r="U22" s="44">
        <v>1000</v>
      </c>
      <c r="V22" s="44">
        <v>883</v>
      </c>
    </row>
    <row r="23" spans="1:22" x14ac:dyDescent="0.35">
      <c r="A23">
        <v>22</v>
      </c>
      <c r="B23" s="37">
        <v>40544</v>
      </c>
      <c r="C23">
        <v>1</v>
      </c>
      <c r="D23">
        <v>0</v>
      </c>
      <c r="E23" t="s">
        <v>104</v>
      </c>
      <c r="F23">
        <v>21</v>
      </c>
      <c r="G23" t="b">
        <v>0</v>
      </c>
      <c r="H23" t="s">
        <v>106</v>
      </c>
      <c r="I23" t="s">
        <v>114</v>
      </c>
      <c r="J23">
        <v>0.4</v>
      </c>
      <c r="K23">
        <v>0.40910000000000002</v>
      </c>
      <c r="L23">
        <v>0.87</v>
      </c>
      <c r="M23">
        <v>0.19400000000000001</v>
      </c>
      <c r="N23">
        <v>3</v>
      </c>
      <c r="O23">
        <v>31</v>
      </c>
      <c r="P23">
        <v>34</v>
      </c>
      <c r="R23" s="45" t="s">
        <v>76</v>
      </c>
      <c r="S23" s="44">
        <v>210</v>
      </c>
      <c r="T23" s="44">
        <v>9</v>
      </c>
      <c r="U23" s="44">
        <v>683</v>
      </c>
      <c r="V23" s="44">
        <v>674</v>
      </c>
    </row>
    <row r="24" spans="1:22" x14ac:dyDescent="0.35">
      <c r="A24">
        <v>23</v>
      </c>
      <c r="B24" s="37">
        <v>40544</v>
      </c>
      <c r="C24">
        <v>1</v>
      </c>
      <c r="D24">
        <v>0</v>
      </c>
      <c r="E24" t="s">
        <v>104</v>
      </c>
      <c r="F24">
        <v>22</v>
      </c>
      <c r="G24" t="b">
        <v>0</v>
      </c>
      <c r="H24" t="s">
        <v>106</v>
      </c>
      <c r="I24" t="s">
        <v>114</v>
      </c>
      <c r="J24">
        <v>0.4</v>
      </c>
      <c r="K24">
        <v>0.40910000000000002</v>
      </c>
      <c r="L24">
        <v>0.94</v>
      </c>
      <c r="M24">
        <v>0.22389999999999999</v>
      </c>
      <c r="N24">
        <v>11</v>
      </c>
      <c r="O24">
        <v>17</v>
      </c>
      <c r="P24">
        <v>28</v>
      </c>
      <c r="R24" s="45" t="s">
        <v>77</v>
      </c>
      <c r="S24" s="44">
        <v>273</v>
      </c>
      <c r="T24" s="44">
        <v>78</v>
      </c>
      <c r="U24" s="44">
        <v>1650</v>
      </c>
      <c r="V24" s="44">
        <v>1572</v>
      </c>
    </row>
    <row r="25" spans="1:22" x14ac:dyDescent="0.35">
      <c r="A25">
        <v>24</v>
      </c>
      <c r="B25" s="37">
        <v>40544</v>
      </c>
      <c r="C25">
        <v>1</v>
      </c>
      <c r="D25">
        <v>0</v>
      </c>
      <c r="E25" t="s">
        <v>104</v>
      </c>
      <c r="F25">
        <v>23</v>
      </c>
      <c r="G25" t="b">
        <v>0</v>
      </c>
      <c r="H25" t="s">
        <v>106</v>
      </c>
      <c r="I25" t="s">
        <v>114</v>
      </c>
      <c r="J25">
        <v>0.46</v>
      </c>
      <c r="K25">
        <v>0</v>
      </c>
      <c r="L25">
        <v>0.88</v>
      </c>
      <c r="M25">
        <v>0.29849999999999999</v>
      </c>
      <c r="N25">
        <v>15</v>
      </c>
      <c r="O25">
        <v>24</v>
      </c>
      <c r="P25">
        <v>39</v>
      </c>
      <c r="R25" s="45" t="s">
        <v>78</v>
      </c>
      <c r="S25" s="44">
        <v>276</v>
      </c>
      <c r="T25" s="44">
        <v>83</v>
      </c>
      <c r="U25" s="44">
        <v>1927</v>
      </c>
      <c r="V25" s="44">
        <v>1844</v>
      </c>
    </row>
    <row r="26" spans="1:22" x14ac:dyDescent="0.35">
      <c r="A26">
        <v>25</v>
      </c>
      <c r="B26" s="37">
        <v>40545</v>
      </c>
      <c r="C26">
        <v>1</v>
      </c>
      <c r="D26">
        <v>0</v>
      </c>
      <c r="E26" t="s">
        <v>104</v>
      </c>
      <c r="F26">
        <v>0</v>
      </c>
      <c r="G26" t="b">
        <v>0</v>
      </c>
      <c r="H26" t="s">
        <v>107</v>
      </c>
      <c r="I26" t="s">
        <v>114</v>
      </c>
      <c r="J26">
        <v>0.46</v>
      </c>
      <c r="K26">
        <v>0.45450000000000002</v>
      </c>
      <c r="L26">
        <v>0.88</v>
      </c>
      <c r="M26">
        <v>0.29849999999999999</v>
      </c>
      <c r="N26">
        <v>4</v>
      </c>
      <c r="O26">
        <v>13</v>
      </c>
      <c r="P26">
        <v>17</v>
      </c>
      <c r="R26" s="45" t="s">
        <v>79</v>
      </c>
      <c r="S26" s="44">
        <v>276</v>
      </c>
      <c r="T26" s="44">
        <v>75</v>
      </c>
      <c r="U26" s="44">
        <v>1543</v>
      </c>
      <c r="V26" s="44">
        <v>1468</v>
      </c>
    </row>
    <row r="27" spans="1:22" x14ac:dyDescent="0.35">
      <c r="A27">
        <v>26</v>
      </c>
      <c r="B27" s="37">
        <v>40545</v>
      </c>
      <c r="C27">
        <v>1</v>
      </c>
      <c r="D27">
        <v>0</v>
      </c>
      <c r="E27" t="s">
        <v>104</v>
      </c>
      <c r="F27">
        <v>1</v>
      </c>
      <c r="G27" t="b">
        <v>0</v>
      </c>
      <c r="H27" t="s">
        <v>107</v>
      </c>
      <c r="I27" t="s">
        <v>114</v>
      </c>
      <c r="J27">
        <v>0.44</v>
      </c>
      <c r="K27">
        <v>0.43940000000000001</v>
      </c>
      <c r="L27">
        <v>0.94</v>
      </c>
      <c r="M27">
        <v>0.25369999999999998</v>
      </c>
      <c r="N27">
        <v>1</v>
      </c>
      <c r="O27">
        <v>16</v>
      </c>
      <c r="P27">
        <v>17</v>
      </c>
      <c r="R27" s="45" t="s">
        <v>80</v>
      </c>
      <c r="S27" s="44">
        <v>271</v>
      </c>
      <c r="T27" s="44">
        <v>93</v>
      </c>
      <c r="U27" s="44">
        <v>981</v>
      </c>
      <c r="V27" s="44">
        <v>888</v>
      </c>
    </row>
    <row r="28" spans="1:22" x14ac:dyDescent="0.35">
      <c r="A28">
        <v>27</v>
      </c>
      <c r="B28" s="37">
        <v>40545</v>
      </c>
      <c r="C28">
        <v>1</v>
      </c>
      <c r="D28">
        <v>0</v>
      </c>
      <c r="E28" t="s">
        <v>104</v>
      </c>
      <c r="F28">
        <v>2</v>
      </c>
      <c r="G28" t="b">
        <v>0</v>
      </c>
      <c r="H28" t="s">
        <v>107</v>
      </c>
      <c r="I28" t="s">
        <v>114</v>
      </c>
      <c r="J28">
        <v>0.42</v>
      </c>
      <c r="K28">
        <v>0.42420000000000002</v>
      </c>
      <c r="L28">
        <v>1</v>
      </c>
      <c r="M28">
        <v>0.28360000000000002</v>
      </c>
      <c r="N28">
        <v>1</v>
      </c>
      <c r="O28">
        <v>8</v>
      </c>
      <c r="P28">
        <v>9</v>
      </c>
      <c r="R28" s="45" t="s">
        <v>81</v>
      </c>
      <c r="S28" s="44">
        <v>272</v>
      </c>
      <c r="T28" s="44">
        <v>150</v>
      </c>
      <c r="U28" s="44">
        <v>986</v>
      </c>
      <c r="V28" s="44">
        <v>836</v>
      </c>
    </row>
    <row r="29" spans="1:22" x14ac:dyDescent="0.35">
      <c r="A29">
        <v>28</v>
      </c>
      <c r="B29" s="37">
        <v>40545</v>
      </c>
      <c r="C29">
        <v>1</v>
      </c>
      <c r="D29">
        <v>0</v>
      </c>
      <c r="E29" t="s">
        <v>104</v>
      </c>
      <c r="F29">
        <v>3</v>
      </c>
      <c r="G29" t="b">
        <v>0</v>
      </c>
      <c r="H29" t="s">
        <v>107</v>
      </c>
      <c r="I29" t="s">
        <v>114</v>
      </c>
      <c r="J29">
        <v>0.46</v>
      </c>
      <c r="K29">
        <v>0.45450000000000002</v>
      </c>
      <c r="L29">
        <v>0.94</v>
      </c>
      <c r="M29">
        <v>0.19400000000000001</v>
      </c>
      <c r="N29">
        <v>2</v>
      </c>
      <c r="O29">
        <v>4</v>
      </c>
      <c r="P29">
        <v>6</v>
      </c>
      <c r="R29" s="45" t="s">
        <v>82</v>
      </c>
      <c r="S29" s="44">
        <v>274</v>
      </c>
      <c r="T29" s="44">
        <v>86</v>
      </c>
      <c r="U29" s="44">
        <v>1416</v>
      </c>
      <c r="V29" s="44">
        <v>1330</v>
      </c>
    </row>
    <row r="30" spans="1:22" x14ac:dyDescent="0.35">
      <c r="A30">
        <v>29</v>
      </c>
      <c r="B30" s="37">
        <v>40545</v>
      </c>
      <c r="C30">
        <v>1</v>
      </c>
      <c r="D30">
        <v>0</v>
      </c>
      <c r="E30" t="s">
        <v>104</v>
      </c>
      <c r="F30">
        <v>4</v>
      </c>
      <c r="G30" t="b">
        <v>0</v>
      </c>
      <c r="H30" t="s">
        <v>107</v>
      </c>
      <c r="I30" t="s">
        <v>114</v>
      </c>
      <c r="J30">
        <v>0.46</v>
      </c>
      <c r="K30">
        <v>0</v>
      </c>
      <c r="L30">
        <v>0.94</v>
      </c>
      <c r="M30">
        <v>0.19400000000000001</v>
      </c>
      <c r="N30">
        <v>2</v>
      </c>
      <c r="O30">
        <v>1</v>
      </c>
      <c r="P30">
        <v>3</v>
      </c>
      <c r="R30" s="45" t="s">
        <v>83</v>
      </c>
      <c r="S30" s="44">
        <v>273</v>
      </c>
      <c r="T30" s="44">
        <v>186</v>
      </c>
      <c r="U30" s="44">
        <v>1985</v>
      </c>
      <c r="V30" s="44">
        <v>1799</v>
      </c>
    </row>
    <row r="31" spans="1:22" x14ac:dyDescent="0.35">
      <c r="A31">
        <v>30</v>
      </c>
      <c r="B31" s="37">
        <v>40545</v>
      </c>
      <c r="C31">
        <v>1</v>
      </c>
      <c r="D31">
        <v>0</v>
      </c>
      <c r="E31" t="s">
        <v>104</v>
      </c>
      <c r="F31">
        <v>6</v>
      </c>
      <c r="G31" t="b">
        <v>0</v>
      </c>
      <c r="H31" t="s">
        <v>107</v>
      </c>
      <c r="I31" t="s">
        <v>115</v>
      </c>
      <c r="J31">
        <v>0.42</v>
      </c>
      <c r="K31">
        <v>0.42420000000000002</v>
      </c>
      <c r="L31">
        <v>0.77</v>
      </c>
      <c r="M31">
        <v>0.29849999999999999</v>
      </c>
      <c r="N31">
        <v>0</v>
      </c>
      <c r="O31">
        <v>2</v>
      </c>
      <c r="P31">
        <v>2</v>
      </c>
      <c r="R31" s="45" t="s">
        <v>84</v>
      </c>
      <c r="S31" s="44">
        <v>146</v>
      </c>
      <c r="T31" s="44">
        <v>34</v>
      </c>
      <c r="U31" s="44">
        <v>506</v>
      </c>
      <c r="V31" s="44">
        <v>472</v>
      </c>
    </row>
    <row r="32" spans="1:22" x14ac:dyDescent="0.35">
      <c r="A32">
        <v>31</v>
      </c>
      <c r="B32" s="37">
        <v>40545</v>
      </c>
      <c r="C32">
        <v>1</v>
      </c>
      <c r="D32">
        <v>0</v>
      </c>
      <c r="E32" t="s">
        <v>104</v>
      </c>
      <c r="F32">
        <v>7</v>
      </c>
      <c r="G32" t="b">
        <v>0</v>
      </c>
      <c r="H32" t="s">
        <v>107</v>
      </c>
      <c r="I32" t="s">
        <v>114</v>
      </c>
      <c r="J32">
        <v>0.4</v>
      </c>
      <c r="K32">
        <v>0.40910000000000002</v>
      </c>
      <c r="L32">
        <v>0.76</v>
      </c>
      <c r="M32">
        <v>0.19400000000000001</v>
      </c>
      <c r="N32">
        <v>0</v>
      </c>
      <c r="O32">
        <v>1</v>
      </c>
      <c r="P32">
        <v>1</v>
      </c>
      <c r="R32" s="45" t="s">
        <v>85</v>
      </c>
      <c r="S32" s="44">
        <v>156</v>
      </c>
      <c r="T32" s="44">
        <v>15</v>
      </c>
      <c r="U32" s="44">
        <v>431</v>
      </c>
      <c r="V32" s="44">
        <v>416</v>
      </c>
    </row>
    <row r="33" spans="1:22" x14ac:dyDescent="0.35">
      <c r="A33">
        <v>32</v>
      </c>
      <c r="B33" s="37">
        <v>40545</v>
      </c>
      <c r="C33">
        <v>1</v>
      </c>
      <c r="D33">
        <v>0</v>
      </c>
      <c r="E33" t="s">
        <v>104</v>
      </c>
      <c r="F33">
        <v>8</v>
      </c>
      <c r="G33" t="b">
        <v>0</v>
      </c>
      <c r="H33" t="s">
        <v>107</v>
      </c>
      <c r="I33" t="s">
        <v>115</v>
      </c>
      <c r="J33">
        <v>0.4</v>
      </c>
      <c r="K33">
        <v>0.40910000000000002</v>
      </c>
      <c r="L33">
        <v>0.71</v>
      </c>
      <c r="M33">
        <v>0.22389999999999999</v>
      </c>
      <c r="N33">
        <v>0</v>
      </c>
      <c r="O33">
        <v>8</v>
      </c>
      <c r="P33">
        <v>8</v>
      </c>
      <c r="R33" s="45" t="s">
        <v>86</v>
      </c>
      <c r="S33" s="44">
        <v>272</v>
      </c>
      <c r="T33" s="44">
        <v>38</v>
      </c>
      <c r="U33" s="44">
        <v>1167</v>
      </c>
      <c r="V33" s="44">
        <v>1129</v>
      </c>
    </row>
    <row r="34" spans="1:22" x14ac:dyDescent="0.35">
      <c r="A34">
        <v>33</v>
      </c>
      <c r="B34" s="37">
        <v>40545</v>
      </c>
      <c r="C34">
        <v>1</v>
      </c>
      <c r="D34">
        <v>0</v>
      </c>
      <c r="E34" t="s">
        <v>104</v>
      </c>
      <c r="F34">
        <v>9</v>
      </c>
      <c r="G34" t="b">
        <v>0</v>
      </c>
      <c r="H34" t="s">
        <v>107</v>
      </c>
      <c r="I34" t="s">
        <v>114</v>
      </c>
      <c r="J34">
        <v>0.38</v>
      </c>
      <c r="K34">
        <v>0</v>
      </c>
      <c r="L34">
        <v>0.76</v>
      </c>
      <c r="M34">
        <v>0.22389999999999999</v>
      </c>
      <c r="N34">
        <v>1</v>
      </c>
      <c r="O34">
        <v>19</v>
      </c>
      <c r="P34">
        <v>20</v>
      </c>
      <c r="R34" s="45" t="s">
        <v>87</v>
      </c>
      <c r="S34" s="44">
        <v>271</v>
      </c>
      <c r="T34" s="44">
        <v>123</v>
      </c>
      <c r="U34" s="44">
        <v>1098</v>
      </c>
      <c r="V34" s="44">
        <v>975</v>
      </c>
    </row>
    <row r="35" spans="1:22" x14ac:dyDescent="0.35">
      <c r="A35">
        <v>34</v>
      </c>
      <c r="B35" s="37">
        <v>40545</v>
      </c>
      <c r="C35">
        <v>1</v>
      </c>
      <c r="D35">
        <v>0</v>
      </c>
      <c r="E35" t="s">
        <v>104</v>
      </c>
      <c r="F35">
        <v>10</v>
      </c>
      <c r="G35" t="b">
        <v>0</v>
      </c>
      <c r="H35" t="s">
        <v>107</v>
      </c>
      <c r="I35" t="s">
        <v>114</v>
      </c>
      <c r="J35">
        <v>0.36</v>
      </c>
      <c r="K35">
        <v>0.34849999999999998</v>
      </c>
      <c r="L35">
        <v>0.81</v>
      </c>
      <c r="M35">
        <v>0.22389999999999999</v>
      </c>
      <c r="N35">
        <v>7</v>
      </c>
      <c r="O35">
        <v>46</v>
      </c>
      <c r="P35">
        <v>53</v>
      </c>
      <c r="R35" s="45" t="s">
        <v>88</v>
      </c>
      <c r="S35" s="44">
        <v>270</v>
      </c>
      <c r="T35" s="44">
        <v>140</v>
      </c>
      <c r="U35" s="44">
        <v>1096</v>
      </c>
      <c r="V35" s="44">
        <v>956</v>
      </c>
    </row>
    <row r="36" spans="1:22" x14ac:dyDescent="0.35">
      <c r="A36">
        <v>35</v>
      </c>
      <c r="B36" s="37">
        <v>40545</v>
      </c>
      <c r="C36">
        <v>1</v>
      </c>
      <c r="D36">
        <v>0</v>
      </c>
      <c r="E36" t="s">
        <v>104</v>
      </c>
      <c r="F36">
        <v>11</v>
      </c>
      <c r="G36" t="b">
        <v>0</v>
      </c>
      <c r="H36" t="s">
        <v>107</v>
      </c>
      <c r="I36" t="s">
        <v>114</v>
      </c>
      <c r="J36">
        <v>0.36</v>
      </c>
      <c r="K36">
        <v>0.33329999999999999</v>
      </c>
      <c r="L36">
        <v>0.71</v>
      </c>
      <c r="M36">
        <v>0.25369999999999998</v>
      </c>
      <c r="N36">
        <v>16</v>
      </c>
      <c r="O36">
        <v>54</v>
      </c>
      <c r="P36">
        <v>70</v>
      </c>
      <c r="R36" s="45" t="s">
        <v>89</v>
      </c>
      <c r="S36" s="44">
        <v>276</v>
      </c>
      <c r="T36" s="44">
        <v>42</v>
      </c>
      <c r="U36" s="44">
        <v>1501</v>
      </c>
      <c r="V36" s="44">
        <v>1459</v>
      </c>
    </row>
    <row r="37" spans="1:22" x14ac:dyDescent="0.35">
      <c r="A37">
        <v>36</v>
      </c>
      <c r="B37" s="37">
        <v>40545</v>
      </c>
      <c r="C37">
        <v>1</v>
      </c>
      <c r="D37">
        <v>0</v>
      </c>
      <c r="E37" t="s">
        <v>104</v>
      </c>
      <c r="F37">
        <v>12</v>
      </c>
      <c r="G37" t="b">
        <v>0</v>
      </c>
      <c r="H37" t="s">
        <v>107</v>
      </c>
      <c r="I37" t="s">
        <v>114</v>
      </c>
      <c r="J37">
        <v>0.36</v>
      </c>
      <c r="K37">
        <v>0.33329999999999999</v>
      </c>
      <c r="L37">
        <v>0.66</v>
      </c>
      <c r="M37">
        <v>0.29849999999999999</v>
      </c>
      <c r="N37">
        <v>20</v>
      </c>
      <c r="O37">
        <v>73</v>
      </c>
      <c r="P37">
        <v>93</v>
      </c>
      <c r="R37" s="45" t="s">
        <v>90</v>
      </c>
      <c r="S37" s="44">
        <v>272</v>
      </c>
      <c r="T37" s="44">
        <v>47</v>
      </c>
      <c r="U37" s="44">
        <v>1360</v>
      </c>
      <c r="V37" s="44">
        <v>1313</v>
      </c>
    </row>
    <row r="38" spans="1:22" x14ac:dyDescent="0.35">
      <c r="A38">
        <v>37</v>
      </c>
      <c r="B38" s="37">
        <v>40545</v>
      </c>
      <c r="C38">
        <v>1</v>
      </c>
      <c r="D38">
        <v>0</v>
      </c>
      <c r="E38" t="s">
        <v>104</v>
      </c>
      <c r="F38">
        <v>13</v>
      </c>
      <c r="G38" t="b">
        <v>0</v>
      </c>
      <c r="H38" t="s">
        <v>107</v>
      </c>
      <c r="I38" t="s">
        <v>114</v>
      </c>
      <c r="J38">
        <v>0.36</v>
      </c>
      <c r="K38">
        <v>0.34849999999999998</v>
      </c>
      <c r="L38">
        <v>0.66</v>
      </c>
      <c r="M38">
        <v>0.1343</v>
      </c>
      <c r="N38">
        <v>11</v>
      </c>
      <c r="O38">
        <v>64</v>
      </c>
      <c r="P38">
        <v>75</v>
      </c>
      <c r="R38" s="45" t="s">
        <v>91</v>
      </c>
      <c r="S38" s="44">
        <v>276</v>
      </c>
      <c r="T38" s="44">
        <v>72</v>
      </c>
      <c r="U38" s="44">
        <v>1526</v>
      </c>
      <c r="V38" s="44">
        <v>1454</v>
      </c>
    </row>
    <row r="39" spans="1:22" x14ac:dyDescent="0.35">
      <c r="A39">
        <v>38</v>
      </c>
      <c r="B39" s="37">
        <v>40545</v>
      </c>
      <c r="C39">
        <v>1</v>
      </c>
      <c r="D39">
        <v>0</v>
      </c>
      <c r="E39" t="s">
        <v>104</v>
      </c>
      <c r="F39">
        <v>14</v>
      </c>
      <c r="G39" t="b">
        <v>0</v>
      </c>
      <c r="H39" t="s">
        <v>107</v>
      </c>
      <c r="I39" t="s">
        <v>115</v>
      </c>
      <c r="J39">
        <v>0.36</v>
      </c>
      <c r="K39">
        <v>0</v>
      </c>
      <c r="L39">
        <v>0.76</v>
      </c>
      <c r="M39">
        <v>0.19400000000000001</v>
      </c>
      <c r="N39">
        <v>4</v>
      </c>
      <c r="O39">
        <v>55</v>
      </c>
      <c r="P39">
        <v>59</v>
      </c>
      <c r="R39" s="45" t="s">
        <v>92</v>
      </c>
      <c r="S39" s="44">
        <v>272</v>
      </c>
      <c r="T39" s="44">
        <v>61</v>
      </c>
      <c r="U39" s="44">
        <v>1550</v>
      </c>
      <c r="V39" s="44">
        <v>1489</v>
      </c>
    </row>
    <row r="40" spans="1:22" x14ac:dyDescent="0.35">
      <c r="A40">
        <v>39</v>
      </c>
      <c r="B40" s="37">
        <v>40545</v>
      </c>
      <c r="C40">
        <v>1</v>
      </c>
      <c r="D40">
        <v>0</v>
      </c>
      <c r="E40" t="s">
        <v>104</v>
      </c>
      <c r="F40">
        <v>15</v>
      </c>
      <c r="G40" t="b">
        <v>0</v>
      </c>
      <c r="H40" t="s">
        <v>107</v>
      </c>
      <c r="I40" t="s">
        <v>115</v>
      </c>
      <c r="J40">
        <v>0.34</v>
      </c>
      <c r="K40">
        <v>0.33329999999999999</v>
      </c>
      <c r="L40">
        <v>0.81</v>
      </c>
      <c r="M40">
        <v>0.16420000000000001</v>
      </c>
      <c r="N40">
        <v>19</v>
      </c>
      <c r="O40">
        <v>55</v>
      </c>
      <c r="P40">
        <v>74</v>
      </c>
      <c r="R40" s="45" t="s">
        <v>93</v>
      </c>
      <c r="S40" s="44">
        <v>272</v>
      </c>
      <c r="T40" s="44">
        <v>88</v>
      </c>
      <c r="U40" s="44">
        <v>1708</v>
      </c>
      <c r="V40" s="44">
        <v>1620</v>
      </c>
    </row>
    <row r="41" spans="1:22" x14ac:dyDescent="0.35">
      <c r="A41">
        <v>40</v>
      </c>
      <c r="B41" s="37">
        <v>40545</v>
      </c>
      <c r="C41">
        <v>1</v>
      </c>
      <c r="D41">
        <v>0</v>
      </c>
      <c r="E41" t="s">
        <v>104</v>
      </c>
      <c r="F41">
        <v>16</v>
      </c>
      <c r="G41" t="b">
        <v>0</v>
      </c>
      <c r="H41" t="s">
        <v>107</v>
      </c>
      <c r="I41" t="s">
        <v>115</v>
      </c>
      <c r="J41">
        <v>0.34</v>
      </c>
      <c r="K41">
        <v>0.33329999999999999</v>
      </c>
      <c r="L41">
        <v>0.71</v>
      </c>
      <c r="M41">
        <v>0.16420000000000001</v>
      </c>
      <c r="N41">
        <v>9</v>
      </c>
      <c r="O41">
        <v>67</v>
      </c>
      <c r="P41">
        <v>76</v>
      </c>
      <c r="R41" s="45" t="s">
        <v>94</v>
      </c>
      <c r="S41" s="44">
        <v>276</v>
      </c>
      <c r="T41" s="44">
        <v>100</v>
      </c>
      <c r="U41" s="44">
        <v>1005</v>
      </c>
      <c r="V41" s="44">
        <v>905</v>
      </c>
    </row>
    <row r="42" spans="1:22" x14ac:dyDescent="0.35">
      <c r="A42">
        <v>41</v>
      </c>
      <c r="B42" s="37">
        <v>40545</v>
      </c>
      <c r="C42">
        <v>1</v>
      </c>
      <c r="D42">
        <v>0</v>
      </c>
      <c r="E42" t="s">
        <v>104</v>
      </c>
      <c r="F42">
        <v>17</v>
      </c>
      <c r="G42" t="b">
        <v>0</v>
      </c>
      <c r="H42" t="s">
        <v>107</v>
      </c>
      <c r="I42" t="s">
        <v>113</v>
      </c>
      <c r="J42">
        <v>0.34</v>
      </c>
      <c r="K42">
        <v>0.33329999999999999</v>
      </c>
      <c r="L42">
        <v>0.56999999999999995</v>
      </c>
      <c r="M42">
        <v>0.19400000000000001</v>
      </c>
      <c r="N42">
        <v>7</v>
      </c>
      <c r="O42">
        <v>58</v>
      </c>
      <c r="P42">
        <v>65</v>
      </c>
      <c r="R42" s="45" t="s">
        <v>95</v>
      </c>
      <c r="S42" s="44">
        <v>276</v>
      </c>
      <c r="T42" s="44">
        <v>354</v>
      </c>
      <c r="U42" s="44">
        <v>1623</v>
      </c>
      <c r="V42" s="44">
        <v>1269</v>
      </c>
    </row>
    <row r="43" spans="1:22" x14ac:dyDescent="0.35">
      <c r="A43">
        <v>42</v>
      </c>
      <c r="B43" s="37">
        <v>40545</v>
      </c>
      <c r="C43">
        <v>1</v>
      </c>
      <c r="D43">
        <v>0</v>
      </c>
      <c r="E43" t="s">
        <v>104</v>
      </c>
      <c r="F43">
        <v>18</v>
      </c>
      <c r="G43" t="b">
        <v>0</v>
      </c>
      <c r="H43" t="s">
        <v>107</v>
      </c>
      <c r="I43" t="s">
        <v>114</v>
      </c>
      <c r="J43">
        <v>0.36</v>
      </c>
      <c r="K43">
        <v>0.33329999999999999</v>
      </c>
      <c r="L43">
        <v>0.46</v>
      </c>
      <c r="M43">
        <v>0.32840000000000003</v>
      </c>
      <c r="N43">
        <v>10</v>
      </c>
      <c r="O43">
        <v>43</v>
      </c>
      <c r="P43">
        <v>53</v>
      </c>
      <c r="R43" s="45" t="s">
        <v>96</v>
      </c>
      <c r="S43" s="44">
        <v>276</v>
      </c>
      <c r="T43" s="44">
        <v>120</v>
      </c>
      <c r="U43" s="44">
        <v>1712</v>
      </c>
      <c r="V43" s="44">
        <v>1592</v>
      </c>
    </row>
    <row r="44" spans="1:22" x14ac:dyDescent="0.35">
      <c r="A44">
        <v>43</v>
      </c>
      <c r="B44" s="37">
        <v>40545</v>
      </c>
      <c r="C44">
        <v>1</v>
      </c>
      <c r="D44">
        <v>0</v>
      </c>
      <c r="E44" t="s">
        <v>104</v>
      </c>
      <c r="F44">
        <v>19</v>
      </c>
      <c r="G44" t="b">
        <v>0</v>
      </c>
      <c r="H44" t="s">
        <v>107</v>
      </c>
      <c r="I44" t="s">
        <v>113</v>
      </c>
      <c r="J44">
        <v>0.32</v>
      </c>
      <c r="K44">
        <v>0.28789999999999999</v>
      </c>
      <c r="L44">
        <v>0.42</v>
      </c>
      <c r="M44">
        <v>0.44779999999999998</v>
      </c>
      <c r="N44">
        <v>1</v>
      </c>
      <c r="O44">
        <v>29</v>
      </c>
      <c r="P44">
        <v>30</v>
      </c>
      <c r="R44" s="45" t="s">
        <v>97</v>
      </c>
      <c r="S44" s="44">
        <v>276</v>
      </c>
      <c r="T44" s="44">
        <v>64</v>
      </c>
      <c r="U44" s="44">
        <v>1530</v>
      </c>
      <c r="V44" s="44">
        <v>1466</v>
      </c>
    </row>
    <row r="45" spans="1:22" x14ac:dyDescent="0.35">
      <c r="A45">
        <v>44</v>
      </c>
      <c r="B45" s="37">
        <v>40545</v>
      </c>
      <c r="C45">
        <v>1</v>
      </c>
      <c r="D45">
        <v>0</v>
      </c>
      <c r="E45" t="s">
        <v>104</v>
      </c>
      <c r="F45">
        <v>20</v>
      </c>
      <c r="G45" t="b">
        <v>0</v>
      </c>
      <c r="H45" t="s">
        <v>107</v>
      </c>
      <c r="I45" t="s">
        <v>113</v>
      </c>
      <c r="J45">
        <v>0.3</v>
      </c>
      <c r="K45">
        <v>0</v>
      </c>
      <c r="L45">
        <v>0.39</v>
      </c>
      <c r="M45">
        <v>0.35820000000000002</v>
      </c>
      <c r="N45">
        <v>5</v>
      </c>
      <c r="O45">
        <v>17</v>
      </c>
      <c r="P45">
        <v>22</v>
      </c>
      <c r="R45" s="45" t="s">
        <v>98</v>
      </c>
      <c r="S45" s="44">
        <v>272</v>
      </c>
      <c r="T45" s="44">
        <v>53</v>
      </c>
      <c r="U45" s="44">
        <v>1605</v>
      </c>
      <c r="V45" s="44">
        <v>1552</v>
      </c>
    </row>
    <row r="46" spans="1:22" x14ac:dyDescent="0.35">
      <c r="A46">
        <v>45</v>
      </c>
      <c r="B46" s="37">
        <v>40545</v>
      </c>
      <c r="C46">
        <v>1</v>
      </c>
      <c r="D46">
        <v>0</v>
      </c>
      <c r="E46" t="s">
        <v>104</v>
      </c>
      <c r="F46">
        <v>21</v>
      </c>
      <c r="G46" t="b">
        <v>0</v>
      </c>
      <c r="H46" t="s">
        <v>107</v>
      </c>
      <c r="I46" t="s">
        <v>113</v>
      </c>
      <c r="J46">
        <v>0.26</v>
      </c>
      <c r="K46">
        <v>0.2273</v>
      </c>
      <c r="L46">
        <v>0.44</v>
      </c>
      <c r="M46">
        <v>0.32840000000000003</v>
      </c>
      <c r="N46">
        <v>11</v>
      </c>
      <c r="O46">
        <v>20</v>
      </c>
      <c r="P46">
        <v>31</v>
      </c>
      <c r="R46" s="45" t="s">
        <v>99</v>
      </c>
      <c r="S46" s="44">
        <v>273</v>
      </c>
      <c r="T46" s="44">
        <v>47</v>
      </c>
      <c r="U46" s="44">
        <v>1538</v>
      </c>
      <c r="V46" s="44">
        <v>1491</v>
      </c>
    </row>
    <row r="47" spans="1:22" x14ac:dyDescent="0.35">
      <c r="A47">
        <v>46</v>
      </c>
      <c r="B47" s="37">
        <v>40545</v>
      </c>
      <c r="C47">
        <v>1</v>
      </c>
      <c r="D47">
        <v>0</v>
      </c>
      <c r="E47" t="s">
        <v>104</v>
      </c>
      <c r="F47">
        <v>22</v>
      </c>
      <c r="G47" t="b">
        <v>0</v>
      </c>
      <c r="H47" t="s">
        <v>107</v>
      </c>
      <c r="I47" t="s">
        <v>113</v>
      </c>
      <c r="J47">
        <v>0.24</v>
      </c>
      <c r="K47">
        <v>0.21210000000000001</v>
      </c>
      <c r="L47">
        <v>0.44</v>
      </c>
      <c r="M47">
        <v>0.29849999999999999</v>
      </c>
      <c r="N47">
        <v>0</v>
      </c>
      <c r="O47">
        <v>9</v>
      </c>
      <c r="P47">
        <v>9</v>
      </c>
      <c r="R47" s="45" t="s">
        <v>100</v>
      </c>
      <c r="S47" s="44">
        <v>269</v>
      </c>
      <c r="T47" s="44">
        <v>149</v>
      </c>
      <c r="U47" s="44">
        <v>1746</v>
      </c>
      <c r="V47" s="44">
        <v>1597</v>
      </c>
    </row>
    <row r="48" spans="1:22" x14ac:dyDescent="0.35">
      <c r="A48">
        <v>47</v>
      </c>
      <c r="B48" s="37">
        <v>40545</v>
      </c>
      <c r="C48">
        <v>1</v>
      </c>
      <c r="D48">
        <v>0</v>
      </c>
      <c r="E48" t="s">
        <v>104</v>
      </c>
      <c r="F48">
        <v>23</v>
      </c>
      <c r="G48" t="b">
        <v>0</v>
      </c>
      <c r="H48" t="s">
        <v>107</v>
      </c>
      <c r="I48" t="s">
        <v>113</v>
      </c>
      <c r="J48">
        <v>0.22</v>
      </c>
      <c r="K48">
        <v>0.2273</v>
      </c>
      <c r="L48">
        <v>0.47</v>
      </c>
      <c r="M48">
        <v>0.16420000000000001</v>
      </c>
      <c r="N48">
        <v>0</v>
      </c>
      <c r="O48">
        <v>8</v>
      </c>
      <c r="P48">
        <v>8</v>
      </c>
      <c r="R48" s="45" t="s">
        <v>101</v>
      </c>
      <c r="S48" s="44">
        <v>276</v>
      </c>
      <c r="T48" s="44">
        <v>288</v>
      </c>
      <c r="U48" s="44">
        <v>1472</v>
      </c>
      <c r="V48" s="44">
        <v>1184</v>
      </c>
    </row>
    <row r="49" spans="1:22" x14ac:dyDescent="0.35">
      <c r="A49">
        <v>48</v>
      </c>
      <c r="B49" s="37">
        <v>40546</v>
      </c>
      <c r="C49">
        <v>1</v>
      </c>
      <c r="D49">
        <v>0</v>
      </c>
      <c r="E49" t="s">
        <v>104</v>
      </c>
      <c r="F49">
        <v>0</v>
      </c>
      <c r="G49" t="b">
        <v>0</v>
      </c>
      <c r="H49" t="s">
        <v>108</v>
      </c>
      <c r="I49" t="s">
        <v>113</v>
      </c>
      <c r="J49">
        <v>0.22</v>
      </c>
      <c r="K49">
        <v>0.19700000000000001</v>
      </c>
      <c r="L49">
        <v>0.44</v>
      </c>
      <c r="M49">
        <v>0.35820000000000002</v>
      </c>
      <c r="N49">
        <v>0</v>
      </c>
      <c r="O49">
        <v>5</v>
      </c>
      <c r="P49">
        <v>5</v>
      </c>
      <c r="R49" s="45" t="s">
        <v>102</v>
      </c>
      <c r="S49" s="44">
        <v>271</v>
      </c>
      <c r="T49" s="44">
        <v>397</v>
      </c>
      <c r="U49" s="44">
        <v>1589</v>
      </c>
      <c r="V49" s="44">
        <v>1192</v>
      </c>
    </row>
    <row r="50" spans="1:22" x14ac:dyDescent="0.35">
      <c r="A50">
        <v>49</v>
      </c>
      <c r="B50" s="37">
        <v>40546</v>
      </c>
      <c r="C50">
        <v>1</v>
      </c>
      <c r="D50">
        <v>0</v>
      </c>
      <c r="E50" t="s">
        <v>104</v>
      </c>
      <c r="F50">
        <v>1</v>
      </c>
      <c r="G50" t="b">
        <v>0</v>
      </c>
      <c r="H50" t="s">
        <v>108</v>
      </c>
      <c r="I50" t="s">
        <v>113</v>
      </c>
      <c r="J50">
        <v>0.2</v>
      </c>
      <c r="K50">
        <v>0</v>
      </c>
      <c r="L50">
        <v>0.44</v>
      </c>
      <c r="M50">
        <v>0.41789999999999999</v>
      </c>
      <c r="N50">
        <v>0</v>
      </c>
      <c r="O50">
        <v>2</v>
      </c>
      <c r="P50">
        <v>2</v>
      </c>
      <c r="R50" s="45" t="s">
        <v>103</v>
      </c>
      <c r="S50" s="44">
        <v>28</v>
      </c>
      <c r="T50" s="44">
        <v>8</v>
      </c>
      <c r="U50" s="44">
        <v>151</v>
      </c>
      <c r="V50" s="44">
        <v>143</v>
      </c>
    </row>
    <row r="51" spans="1:22" x14ac:dyDescent="0.35">
      <c r="A51">
        <v>50</v>
      </c>
      <c r="B51" s="37">
        <v>40546</v>
      </c>
      <c r="C51">
        <v>1</v>
      </c>
      <c r="D51">
        <v>0</v>
      </c>
      <c r="E51" t="s">
        <v>104</v>
      </c>
      <c r="F51">
        <v>4</v>
      </c>
      <c r="G51" t="b">
        <v>0</v>
      </c>
      <c r="H51" t="s">
        <v>108</v>
      </c>
      <c r="I51" t="s">
        <v>113</v>
      </c>
      <c r="J51">
        <v>0.16</v>
      </c>
      <c r="K51">
        <v>0.13639999999999999</v>
      </c>
      <c r="L51">
        <v>0.47</v>
      </c>
      <c r="M51">
        <v>0.3881</v>
      </c>
      <c r="N51">
        <v>0</v>
      </c>
      <c r="O51">
        <v>1</v>
      </c>
      <c r="P51">
        <v>1</v>
      </c>
      <c r="R51" s="45" t="s">
        <v>54</v>
      </c>
      <c r="S51" s="44">
        <v>11753</v>
      </c>
      <c r="T51" s="44">
        <v>4921</v>
      </c>
      <c r="U51" s="44">
        <v>58304</v>
      </c>
      <c r="V51" s="44">
        <v>53383</v>
      </c>
    </row>
    <row r="52" spans="1:22" x14ac:dyDescent="0.35">
      <c r="A52">
        <v>51</v>
      </c>
      <c r="B52" s="37">
        <v>40546</v>
      </c>
      <c r="C52">
        <v>1</v>
      </c>
      <c r="D52">
        <v>0</v>
      </c>
      <c r="E52" t="s">
        <v>104</v>
      </c>
      <c r="F52">
        <v>5</v>
      </c>
      <c r="G52" t="b">
        <v>0</v>
      </c>
      <c r="H52" t="s">
        <v>108</v>
      </c>
      <c r="I52" t="s">
        <v>113</v>
      </c>
      <c r="J52">
        <v>0.16</v>
      </c>
      <c r="K52">
        <v>0.13639999999999999</v>
      </c>
      <c r="L52">
        <v>0.47</v>
      </c>
      <c r="M52">
        <v>0.28360000000000002</v>
      </c>
      <c r="N52">
        <v>0</v>
      </c>
      <c r="O52">
        <v>3</v>
      </c>
      <c r="P52">
        <v>3</v>
      </c>
    </row>
    <row r="53" spans="1:22" x14ac:dyDescent="0.35">
      <c r="A53">
        <v>52</v>
      </c>
      <c r="B53" s="37">
        <v>40546</v>
      </c>
      <c r="C53">
        <v>1</v>
      </c>
      <c r="D53">
        <v>0</v>
      </c>
      <c r="E53" t="s">
        <v>104</v>
      </c>
      <c r="F53">
        <v>6</v>
      </c>
      <c r="G53" t="b">
        <v>0</v>
      </c>
      <c r="H53" t="s">
        <v>108</v>
      </c>
      <c r="I53" t="s">
        <v>113</v>
      </c>
      <c r="J53">
        <v>0.14000000000000001</v>
      </c>
      <c r="K53">
        <v>0.1061</v>
      </c>
      <c r="L53">
        <v>0.5</v>
      </c>
      <c r="M53">
        <v>0.3881</v>
      </c>
      <c r="N53">
        <v>0</v>
      </c>
      <c r="O53">
        <v>30</v>
      </c>
      <c r="P53">
        <v>30</v>
      </c>
    </row>
    <row r="54" spans="1:22" x14ac:dyDescent="0.35">
      <c r="A54">
        <v>53</v>
      </c>
      <c r="B54" s="37">
        <v>40546</v>
      </c>
      <c r="C54">
        <v>1</v>
      </c>
      <c r="D54">
        <v>0</v>
      </c>
      <c r="E54" t="s">
        <v>104</v>
      </c>
      <c r="F54">
        <v>7</v>
      </c>
      <c r="G54" t="b">
        <v>0</v>
      </c>
      <c r="H54" t="s">
        <v>108</v>
      </c>
      <c r="I54" t="s">
        <v>113</v>
      </c>
      <c r="J54">
        <v>0.14000000000000001</v>
      </c>
      <c r="K54">
        <v>0.13639999999999999</v>
      </c>
      <c r="L54">
        <v>0.5</v>
      </c>
      <c r="M54">
        <v>0.19400000000000001</v>
      </c>
      <c r="N54">
        <v>1</v>
      </c>
      <c r="O54">
        <v>63</v>
      </c>
      <c r="P54">
        <v>64</v>
      </c>
    </row>
    <row r="55" spans="1:22" x14ac:dyDescent="0.35">
      <c r="A55">
        <v>54</v>
      </c>
      <c r="B55" s="37">
        <v>40546</v>
      </c>
      <c r="C55">
        <v>1</v>
      </c>
      <c r="D55">
        <v>0</v>
      </c>
      <c r="E55" t="s">
        <v>104</v>
      </c>
      <c r="F55">
        <v>8</v>
      </c>
      <c r="G55" t="b">
        <v>0</v>
      </c>
      <c r="H55" t="s">
        <v>108</v>
      </c>
      <c r="I55" t="s">
        <v>113</v>
      </c>
      <c r="J55">
        <v>0.14000000000000001</v>
      </c>
      <c r="K55">
        <v>0.1212</v>
      </c>
      <c r="L55">
        <v>0.5</v>
      </c>
      <c r="M55">
        <v>0.28360000000000002</v>
      </c>
      <c r="N55">
        <v>1</v>
      </c>
      <c r="O55">
        <v>153</v>
      </c>
      <c r="P55">
        <v>154</v>
      </c>
    </row>
    <row r="56" spans="1:22" x14ac:dyDescent="0.35">
      <c r="A56">
        <v>55</v>
      </c>
      <c r="B56" s="37">
        <v>40546</v>
      </c>
      <c r="C56">
        <v>1</v>
      </c>
      <c r="D56">
        <v>0</v>
      </c>
      <c r="E56" t="s">
        <v>104</v>
      </c>
      <c r="F56">
        <v>9</v>
      </c>
      <c r="G56" t="b">
        <v>0</v>
      </c>
      <c r="H56" t="s">
        <v>108</v>
      </c>
      <c r="I56" t="s">
        <v>113</v>
      </c>
      <c r="J56">
        <v>0.16</v>
      </c>
      <c r="K56">
        <v>0.13639999999999999</v>
      </c>
      <c r="L56">
        <v>0.43</v>
      </c>
      <c r="M56">
        <v>0.3881</v>
      </c>
      <c r="N56">
        <v>7</v>
      </c>
      <c r="O56">
        <v>81</v>
      </c>
      <c r="P56">
        <v>88</v>
      </c>
    </row>
    <row r="57" spans="1:22" x14ac:dyDescent="0.35">
      <c r="A57">
        <v>56</v>
      </c>
      <c r="B57" s="37">
        <v>40546</v>
      </c>
      <c r="C57">
        <v>1</v>
      </c>
      <c r="D57">
        <v>0</v>
      </c>
      <c r="E57" t="s">
        <v>104</v>
      </c>
      <c r="F57">
        <v>10</v>
      </c>
      <c r="G57" t="b">
        <v>0</v>
      </c>
      <c r="H57" t="s">
        <v>108</v>
      </c>
      <c r="I57" t="s">
        <v>113</v>
      </c>
      <c r="J57">
        <v>0.18</v>
      </c>
      <c r="K57">
        <v>0.16669999999999999</v>
      </c>
      <c r="L57">
        <v>0.43</v>
      </c>
      <c r="M57">
        <v>0.25369999999999998</v>
      </c>
      <c r="N57">
        <v>11</v>
      </c>
      <c r="O57">
        <v>33</v>
      </c>
      <c r="P57">
        <v>44</v>
      </c>
    </row>
    <row r="58" spans="1:22" x14ac:dyDescent="0.35">
      <c r="A58">
        <v>57</v>
      </c>
      <c r="B58" s="37">
        <v>40546</v>
      </c>
      <c r="C58">
        <v>1</v>
      </c>
      <c r="D58">
        <v>0</v>
      </c>
      <c r="E58" t="s">
        <v>104</v>
      </c>
      <c r="F58">
        <v>11</v>
      </c>
      <c r="G58" t="b">
        <v>0</v>
      </c>
      <c r="H58" t="s">
        <v>108</v>
      </c>
      <c r="I58" t="s">
        <v>113</v>
      </c>
      <c r="J58">
        <v>0.2</v>
      </c>
      <c r="K58">
        <v>0.18179999999999999</v>
      </c>
      <c r="L58">
        <v>0.4</v>
      </c>
      <c r="M58">
        <v>0.32840000000000003</v>
      </c>
      <c r="N58">
        <v>10</v>
      </c>
      <c r="O58">
        <v>41</v>
      </c>
      <c r="P58">
        <v>51</v>
      </c>
    </row>
    <row r="59" spans="1:22" x14ac:dyDescent="0.35">
      <c r="A59">
        <v>58</v>
      </c>
      <c r="B59" s="37">
        <v>40546</v>
      </c>
      <c r="C59">
        <v>1</v>
      </c>
      <c r="D59">
        <v>0</v>
      </c>
      <c r="E59" t="s">
        <v>104</v>
      </c>
      <c r="F59">
        <v>12</v>
      </c>
      <c r="G59" t="b">
        <v>0</v>
      </c>
      <c r="H59" t="s">
        <v>108</v>
      </c>
      <c r="I59" t="s">
        <v>113</v>
      </c>
      <c r="J59">
        <v>0.22</v>
      </c>
      <c r="K59">
        <v>0.21210000000000001</v>
      </c>
      <c r="L59">
        <v>0.35</v>
      </c>
      <c r="M59">
        <v>0.29849999999999999</v>
      </c>
      <c r="N59">
        <v>13</v>
      </c>
      <c r="O59">
        <v>48</v>
      </c>
      <c r="P59">
        <v>61</v>
      </c>
    </row>
    <row r="60" spans="1:22" x14ac:dyDescent="0.35">
      <c r="A60">
        <v>59</v>
      </c>
      <c r="B60" s="37">
        <v>40546</v>
      </c>
      <c r="C60">
        <v>1</v>
      </c>
      <c r="D60">
        <v>0</v>
      </c>
      <c r="E60" t="s">
        <v>104</v>
      </c>
      <c r="F60">
        <v>13</v>
      </c>
      <c r="G60" t="b">
        <v>0</v>
      </c>
      <c r="H60" t="s">
        <v>108</v>
      </c>
      <c r="I60" t="s">
        <v>113</v>
      </c>
      <c r="J60">
        <v>0.24</v>
      </c>
      <c r="K60">
        <v>0</v>
      </c>
      <c r="L60">
        <v>0.35</v>
      </c>
      <c r="M60">
        <v>0.28360000000000002</v>
      </c>
      <c r="N60">
        <v>8</v>
      </c>
      <c r="O60">
        <v>53</v>
      </c>
      <c r="P60">
        <v>61</v>
      </c>
    </row>
    <row r="61" spans="1:22" x14ac:dyDescent="0.35">
      <c r="A61">
        <v>60</v>
      </c>
      <c r="B61" s="37">
        <v>40546</v>
      </c>
      <c r="C61">
        <v>1</v>
      </c>
      <c r="D61">
        <v>0</v>
      </c>
      <c r="E61" t="s">
        <v>104</v>
      </c>
      <c r="F61">
        <v>14</v>
      </c>
      <c r="G61" t="b">
        <v>0</v>
      </c>
      <c r="H61" t="s">
        <v>108</v>
      </c>
      <c r="I61" t="s">
        <v>113</v>
      </c>
      <c r="J61">
        <v>0.26</v>
      </c>
      <c r="K61">
        <v>0.2424</v>
      </c>
      <c r="L61">
        <v>0.3</v>
      </c>
      <c r="M61">
        <v>0.28360000000000002</v>
      </c>
      <c r="N61">
        <v>11</v>
      </c>
      <c r="O61">
        <v>66</v>
      </c>
      <c r="P61">
        <v>77</v>
      </c>
    </row>
    <row r="62" spans="1:22" x14ac:dyDescent="0.35">
      <c r="A62">
        <v>61</v>
      </c>
      <c r="B62" s="37">
        <v>40546</v>
      </c>
      <c r="C62">
        <v>1</v>
      </c>
      <c r="D62">
        <v>0</v>
      </c>
      <c r="E62" t="s">
        <v>104</v>
      </c>
      <c r="F62">
        <v>15</v>
      </c>
      <c r="G62" t="b">
        <v>0</v>
      </c>
      <c r="H62" t="s">
        <v>108</v>
      </c>
      <c r="I62" t="s">
        <v>113</v>
      </c>
      <c r="J62">
        <v>0.26</v>
      </c>
      <c r="K62">
        <v>0.2424</v>
      </c>
      <c r="L62">
        <v>0.3</v>
      </c>
      <c r="M62">
        <v>0.25369999999999998</v>
      </c>
      <c r="N62">
        <v>14</v>
      </c>
      <c r="O62">
        <v>58</v>
      </c>
      <c r="P62">
        <v>72</v>
      </c>
    </row>
    <row r="63" spans="1:22" x14ac:dyDescent="0.35">
      <c r="A63">
        <v>62</v>
      </c>
      <c r="B63" s="37">
        <v>40546</v>
      </c>
      <c r="C63">
        <v>1</v>
      </c>
      <c r="D63">
        <v>0</v>
      </c>
      <c r="E63" t="s">
        <v>104</v>
      </c>
      <c r="F63">
        <v>16</v>
      </c>
      <c r="G63" t="b">
        <v>0</v>
      </c>
      <c r="H63" t="s">
        <v>108</v>
      </c>
      <c r="I63" t="s">
        <v>113</v>
      </c>
      <c r="J63">
        <v>0.26</v>
      </c>
      <c r="K63">
        <v>0.2424</v>
      </c>
      <c r="L63">
        <v>0.3</v>
      </c>
      <c r="M63">
        <v>0.25369999999999998</v>
      </c>
      <c r="N63">
        <v>9</v>
      </c>
      <c r="O63">
        <v>67</v>
      </c>
      <c r="P63">
        <v>76</v>
      </c>
    </row>
    <row r="64" spans="1:22" x14ac:dyDescent="0.35">
      <c r="A64">
        <v>63</v>
      </c>
      <c r="B64" s="37">
        <v>40546</v>
      </c>
      <c r="C64">
        <v>1</v>
      </c>
      <c r="D64">
        <v>0</v>
      </c>
      <c r="E64" t="s">
        <v>104</v>
      </c>
      <c r="F64">
        <v>17</v>
      </c>
      <c r="G64" t="b">
        <v>0</v>
      </c>
      <c r="H64" t="s">
        <v>108</v>
      </c>
      <c r="I64" t="s">
        <v>113</v>
      </c>
      <c r="J64">
        <v>0.24</v>
      </c>
      <c r="K64">
        <v>0.2273</v>
      </c>
      <c r="L64">
        <v>0.3</v>
      </c>
      <c r="M64">
        <v>0.22389999999999999</v>
      </c>
      <c r="N64">
        <v>11</v>
      </c>
      <c r="O64">
        <v>146</v>
      </c>
      <c r="P64">
        <v>157</v>
      </c>
    </row>
    <row r="65" spans="1:16" x14ac:dyDescent="0.35">
      <c r="A65">
        <v>64</v>
      </c>
      <c r="B65" s="37">
        <v>40546</v>
      </c>
      <c r="C65">
        <v>1</v>
      </c>
      <c r="D65">
        <v>0</v>
      </c>
      <c r="E65" t="s">
        <v>104</v>
      </c>
      <c r="F65">
        <v>18</v>
      </c>
      <c r="G65" t="b">
        <v>0</v>
      </c>
      <c r="H65" t="s">
        <v>108</v>
      </c>
      <c r="I65" t="s">
        <v>113</v>
      </c>
      <c r="J65">
        <v>0.24</v>
      </c>
      <c r="K65">
        <v>0.2576</v>
      </c>
      <c r="L65">
        <v>0.32</v>
      </c>
      <c r="M65">
        <v>0.1045</v>
      </c>
      <c r="N65">
        <v>9</v>
      </c>
      <c r="O65">
        <v>148</v>
      </c>
      <c r="P65">
        <v>157</v>
      </c>
    </row>
    <row r="66" spans="1:16" x14ac:dyDescent="0.35">
      <c r="A66">
        <v>65</v>
      </c>
      <c r="B66" s="37">
        <v>40546</v>
      </c>
      <c r="C66">
        <v>1</v>
      </c>
      <c r="D66">
        <v>0</v>
      </c>
      <c r="E66" t="s">
        <v>104</v>
      </c>
      <c r="F66">
        <v>19</v>
      </c>
      <c r="G66" t="b">
        <v>0</v>
      </c>
      <c r="H66" t="s">
        <v>108</v>
      </c>
      <c r="I66" t="s">
        <v>113</v>
      </c>
      <c r="J66">
        <v>0.2</v>
      </c>
      <c r="K66">
        <v>0.2576</v>
      </c>
      <c r="L66">
        <v>0.47</v>
      </c>
      <c r="M66">
        <v>0</v>
      </c>
      <c r="N66">
        <v>8</v>
      </c>
      <c r="O66">
        <v>102</v>
      </c>
      <c r="P66">
        <v>110</v>
      </c>
    </row>
    <row r="67" spans="1:16" x14ac:dyDescent="0.35">
      <c r="A67">
        <v>66</v>
      </c>
      <c r="B67" s="37">
        <v>40546</v>
      </c>
      <c r="C67">
        <v>1</v>
      </c>
      <c r="D67">
        <v>0</v>
      </c>
      <c r="E67" t="s">
        <v>104</v>
      </c>
      <c r="F67">
        <v>20</v>
      </c>
      <c r="G67" t="b">
        <v>0</v>
      </c>
      <c r="H67" t="s">
        <v>108</v>
      </c>
      <c r="I67" t="s">
        <v>113</v>
      </c>
      <c r="J67">
        <v>0.2</v>
      </c>
      <c r="K67">
        <v>0</v>
      </c>
      <c r="L67">
        <v>0.47</v>
      </c>
      <c r="M67">
        <v>0.1045</v>
      </c>
      <c r="N67">
        <v>3</v>
      </c>
      <c r="O67">
        <v>49</v>
      </c>
      <c r="P67">
        <v>52</v>
      </c>
    </row>
    <row r="68" spans="1:16" x14ac:dyDescent="0.35">
      <c r="A68">
        <v>67</v>
      </c>
      <c r="B68" s="37">
        <v>40546</v>
      </c>
      <c r="C68">
        <v>1</v>
      </c>
      <c r="D68">
        <v>0</v>
      </c>
      <c r="E68" t="s">
        <v>104</v>
      </c>
      <c r="F68">
        <v>21</v>
      </c>
      <c r="G68" t="b">
        <v>0</v>
      </c>
      <c r="H68" t="s">
        <v>108</v>
      </c>
      <c r="I68" t="s">
        <v>113</v>
      </c>
      <c r="J68">
        <v>0.18</v>
      </c>
      <c r="K68">
        <v>0.19700000000000001</v>
      </c>
      <c r="L68">
        <v>0.64</v>
      </c>
      <c r="M68">
        <v>0.1343</v>
      </c>
      <c r="N68">
        <v>3</v>
      </c>
      <c r="O68">
        <v>49</v>
      </c>
      <c r="P68">
        <v>52</v>
      </c>
    </row>
    <row r="69" spans="1:16" x14ac:dyDescent="0.35">
      <c r="A69">
        <v>68</v>
      </c>
      <c r="B69" s="37">
        <v>40546</v>
      </c>
      <c r="C69">
        <v>1</v>
      </c>
      <c r="D69">
        <v>0</v>
      </c>
      <c r="E69" t="s">
        <v>104</v>
      </c>
      <c r="F69">
        <v>22</v>
      </c>
      <c r="G69" t="b">
        <v>0</v>
      </c>
      <c r="H69" t="s">
        <v>108</v>
      </c>
      <c r="I69" t="s">
        <v>113</v>
      </c>
      <c r="J69">
        <v>0.14000000000000001</v>
      </c>
      <c r="K69">
        <v>0.1515</v>
      </c>
      <c r="L69">
        <v>0.69</v>
      </c>
      <c r="M69">
        <v>0.1343</v>
      </c>
      <c r="N69">
        <v>0</v>
      </c>
      <c r="O69">
        <v>20</v>
      </c>
      <c r="P69">
        <v>20</v>
      </c>
    </row>
    <row r="70" spans="1:16" x14ac:dyDescent="0.35">
      <c r="A70">
        <v>69</v>
      </c>
      <c r="B70" s="37">
        <v>40546</v>
      </c>
      <c r="C70">
        <v>1</v>
      </c>
      <c r="D70">
        <v>0</v>
      </c>
      <c r="E70" t="s">
        <v>104</v>
      </c>
      <c r="F70">
        <v>23</v>
      </c>
      <c r="G70" t="b">
        <v>0</v>
      </c>
      <c r="H70" t="s">
        <v>108</v>
      </c>
      <c r="I70" t="s">
        <v>113</v>
      </c>
      <c r="J70">
        <v>0.18</v>
      </c>
      <c r="K70">
        <v>0.21210000000000001</v>
      </c>
      <c r="L70">
        <v>0.55000000000000004</v>
      </c>
      <c r="M70">
        <v>0.1045</v>
      </c>
      <c r="N70">
        <v>1</v>
      </c>
      <c r="O70">
        <v>11</v>
      </c>
      <c r="P70">
        <v>12</v>
      </c>
    </row>
    <row r="71" spans="1:16" x14ac:dyDescent="0.35">
      <c r="A71">
        <v>70</v>
      </c>
      <c r="B71" s="37">
        <v>40547</v>
      </c>
      <c r="C71">
        <v>1</v>
      </c>
      <c r="D71">
        <v>0</v>
      </c>
      <c r="E71" t="s">
        <v>104</v>
      </c>
      <c r="F71">
        <v>0</v>
      </c>
      <c r="G71" t="b">
        <v>0</v>
      </c>
      <c r="H71" t="s">
        <v>109</v>
      </c>
      <c r="I71" t="s">
        <v>113</v>
      </c>
      <c r="J71">
        <v>0.16</v>
      </c>
      <c r="K71">
        <v>0</v>
      </c>
      <c r="L71">
        <v>0.55000000000000004</v>
      </c>
      <c r="M71">
        <v>0.1045</v>
      </c>
      <c r="N71">
        <v>0</v>
      </c>
      <c r="O71">
        <v>5</v>
      </c>
      <c r="P71">
        <v>5</v>
      </c>
    </row>
    <row r="72" spans="1:16" x14ac:dyDescent="0.35">
      <c r="A72">
        <v>71</v>
      </c>
      <c r="B72" s="37">
        <v>40547</v>
      </c>
      <c r="C72">
        <v>1</v>
      </c>
      <c r="D72">
        <v>0</v>
      </c>
      <c r="E72" t="s">
        <v>104</v>
      </c>
      <c r="F72">
        <v>1</v>
      </c>
      <c r="G72" t="b">
        <v>0</v>
      </c>
      <c r="H72" t="s">
        <v>109</v>
      </c>
      <c r="I72" t="s">
        <v>113</v>
      </c>
      <c r="J72">
        <v>0.16</v>
      </c>
      <c r="K72">
        <v>0.18179999999999999</v>
      </c>
      <c r="L72">
        <v>0.59</v>
      </c>
      <c r="M72">
        <v>0.1045</v>
      </c>
      <c r="N72">
        <v>0</v>
      </c>
      <c r="O72">
        <v>2</v>
      </c>
      <c r="P72">
        <v>2</v>
      </c>
    </row>
    <row r="73" spans="1:16" x14ac:dyDescent="0.35">
      <c r="A73">
        <v>72</v>
      </c>
      <c r="B73" s="37">
        <v>40547</v>
      </c>
      <c r="C73">
        <v>1</v>
      </c>
      <c r="D73">
        <v>0</v>
      </c>
      <c r="E73" t="s">
        <v>104</v>
      </c>
      <c r="F73">
        <v>2</v>
      </c>
      <c r="G73" t="b">
        <v>0</v>
      </c>
      <c r="H73" t="s">
        <v>109</v>
      </c>
      <c r="I73" t="s">
        <v>113</v>
      </c>
      <c r="J73">
        <v>0.14000000000000001</v>
      </c>
      <c r="K73">
        <v>0.1515</v>
      </c>
      <c r="L73">
        <v>0.63</v>
      </c>
      <c r="M73">
        <v>0.1343</v>
      </c>
      <c r="N73">
        <v>0</v>
      </c>
      <c r="O73">
        <v>1</v>
      </c>
      <c r="P73">
        <v>1</v>
      </c>
    </row>
    <row r="74" spans="1:16" x14ac:dyDescent="0.35">
      <c r="A74">
        <v>73</v>
      </c>
      <c r="B74" s="37">
        <v>40547</v>
      </c>
      <c r="C74">
        <v>1</v>
      </c>
      <c r="D74">
        <v>0</v>
      </c>
      <c r="E74" t="s">
        <v>104</v>
      </c>
      <c r="F74">
        <v>4</v>
      </c>
      <c r="G74" t="b">
        <v>0</v>
      </c>
      <c r="H74" t="s">
        <v>109</v>
      </c>
      <c r="I74" t="s">
        <v>113</v>
      </c>
      <c r="J74">
        <v>0.14000000000000001</v>
      </c>
      <c r="K74">
        <v>0.18179999999999999</v>
      </c>
      <c r="L74">
        <v>0.63</v>
      </c>
      <c r="M74">
        <v>8.9599999999999999E-2</v>
      </c>
      <c r="N74">
        <v>0</v>
      </c>
      <c r="O74">
        <v>2</v>
      </c>
      <c r="P74">
        <v>2</v>
      </c>
    </row>
    <row r="75" spans="1:16" x14ac:dyDescent="0.35">
      <c r="A75">
        <v>74</v>
      </c>
      <c r="B75" s="37">
        <v>40547</v>
      </c>
      <c r="C75">
        <v>1</v>
      </c>
      <c r="D75">
        <v>0</v>
      </c>
      <c r="E75" t="s">
        <v>104</v>
      </c>
      <c r="F75">
        <v>5</v>
      </c>
      <c r="G75" t="b">
        <v>0</v>
      </c>
      <c r="H75" t="s">
        <v>109</v>
      </c>
      <c r="I75" t="s">
        <v>113</v>
      </c>
      <c r="J75">
        <v>0.12</v>
      </c>
      <c r="K75">
        <v>0.1515</v>
      </c>
      <c r="L75">
        <v>0.68</v>
      </c>
      <c r="M75">
        <v>0.1045</v>
      </c>
      <c r="N75">
        <v>0</v>
      </c>
      <c r="O75">
        <v>4</v>
      </c>
      <c r="P75">
        <v>4</v>
      </c>
    </row>
    <row r="76" spans="1:16" x14ac:dyDescent="0.35">
      <c r="A76">
        <v>75</v>
      </c>
      <c r="B76" s="37">
        <v>40547</v>
      </c>
      <c r="C76">
        <v>1</v>
      </c>
      <c r="D76">
        <v>0</v>
      </c>
      <c r="E76" t="s">
        <v>104</v>
      </c>
      <c r="F76">
        <v>6</v>
      </c>
      <c r="G76" t="b">
        <v>0</v>
      </c>
      <c r="H76" t="s">
        <v>109</v>
      </c>
      <c r="I76" t="s">
        <v>113</v>
      </c>
      <c r="J76">
        <v>0.12</v>
      </c>
      <c r="K76">
        <v>0.1515</v>
      </c>
      <c r="L76">
        <v>0.74</v>
      </c>
      <c r="M76">
        <v>0.1045</v>
      </c>
      <c r="N76">
        <v>0</v>
      </c>
      <c r="O76">
        <v>36</v>
      </c>
      <c r="P76">
        <v>36</v>
      </c>
    </row>
    <row r="77" spans="1:16" x14ac:dyDescent="0.35">
      <c r="A77">
        <v>76</v>
      </c>
      <c r="B77" s="37">
        <v>40547</v>
      </c>
      <c r="C77">
        <v>1</v>
      </c>
      <c r="D77">
        <v>0</v>
      </c>
      <c r="E77" t="s">
        <v>104</v>
      </c>
      <c r="F77">
        <v>7</v>
      </c>
      <c r="G77" t="b">
        <v>0</v>
      </c>
      <c r="H77" t="s">
        <v>109</v>
      </c>
      <c r="I77" t="s">
        <v>113</v>
      </c>
      <c r="J77">
        <v>0.12</v>
      </c>
      <c r="K77">
        <v>0.1515</v>
      </c>
      <c r="L77">
        <v>0.74</v>
      </c>
      <c r="M77">
        <v>0.1343</v>
      </c>
      <c r="N77">
        <v>2</v>
      </c>
      <c r="O77">
        <v>92</v>
      </c>
      <c r="P77">
        <v>94</v>
      </c>
    </row>
    <row r="78" spans="1:16" x14ac:dyDescent="0.35">
      <c r="A78">
        <v>77</v>
      </c>
      <c r="B78" s="37">
        <v>40547</v>
      </c>
      <c r="C78">
        <v>1</v>
      </c>
      <c r="D78">
        <v>0</v>
      </c>
      <c r="E78" t="s">
        <v>104</v>
      </c>
      <c r="F78">
        <v>8</v>
      </c>
      <c r="G78" t="b">
        <v>0</v>
      </c>
      <c r="H78" t="s">
        <v>109</v>
      </c>
      <c r="I78" t="s">
        <v>113</v>
      </c>
      <c r="J78">
        <v>0.14000000000000001</v>
      </c>
      <c r="K78">
        <v>0.1515</v>
      </c>
      <c r="L78">
        <v>0.69</v>
      </c>
      <c r="M78">
        <v>0.16420000000000001</v>
      </c>
      <c r="N78">
        <v>2</v>
      </c>
      <c r="O78">
        <v>177</v>
      </c>
      <c r="P78">
        <v>179</v>
      </c>
    </row>
    <row r="79" spans="1:16" x14ac:dyDescent="0.35">
      <c r="A79">
        <v>78</v>
      </c>
      <c r="B79" s="37">
        <v>40547</v>
      </c>
      <c r="C79">
        <v>1</v>
      </c>
      <c r="D79">
        <v>0</v>
      </c>
      <c r="E79" t="s">
        <v>104</v>
      </c>
      <c r="F79">
        <v>9</v>
      </c>
      <c r="G79" t="b">
        <v>0</v>
      </c>
      <c r="H79" t="s">
        <v>109</v>
      </c>
      <c r="I79" t="s">
        <v>113</v>
      </c>
      <c r="J79">
        <v>0.16</v>
      </c>
      <c r="K79">
        <v>0.1515</v>
      </c>
      <c r="L79">
        <v>0.64</v>
      </c>
      <c r="M79">
        <v>0.22389999999999999</v>
      </c>
      <c r="N79">
        <v>2</v>
      </c>
      <c r="O79">
        <v>98</v>
      </c>
      <c r="P79">
        <v>100</v>
      </c>
    </row>
    <row r="80" spans="1:16" x14ac:dyDescent="0.35">
      <c r="A80">
        <v>79</v>
      </c>
      <c r="B80" s="37">
        <v>40547</v>
      </c>
      <c r="C80">
        <v>1</v>
      </c>
      <c r="D80">
        <v>0</v>
      </c>
      <c r="E80" t="s">
        <v>104</v>
      </c>
      <c r="F80">
        <v>10</v>
      </c>
      <c r="G80" t="b">
        <v>0</v>
      </c>
      <c r="H80" t="s">
        <v>109</v>
      </c>
      <c r="I80" t="s">
        <v>114</v>
      </c>
      <c r="J80">
        <v>0.16</v>
      </c>
      <c r="K80">
        <v>0.13639999999999999</v>
      </c>
      <c r="L80">
        <v>0.69</v>
      </c>
      <c r="M80">
        <v>0.32840000000000003</v>
      </c>
      <c r="N80">
        <v>5</v>
      </c>
      <c r="O80">
        <v>37</v>
      </c>
      <c r="P80">
        <v>42</v>
      </c>
    </row>
    <row r="81" spans="1:16" x14ac:dyDescent="0.35">
      <c r="A81">
        <v>80</v>
      </c>
      <c r="B81" s="37">
        <v>40547</v>
      </c>
      <c r="C81">
        <v>1</v>
      </c>
      <c r="D81">
        <v>0</v>
      </c>
      <c r="E81" t="s">
        <v>104</v>
      </c>
      <c r="F81">
        <v>11</v>
      </c>
      <c r="G81" t="b">
        <v>0</v>
      </c>
      <c r="H81" t="s">
        <v>109</v>
      </c>
      <c r="I81" t="s">
        <v>113</v>
      </c>
      <c r="J81">
        <v>0.22</v>
      </c>
      <c r="K81">
        <v>0.21210000000000001</v>
      </c>
      <c r="L81">
        <v>0.51</v>
      </c>
      <c r="M81">
        <v>0.29849999999999999</v>
      </c>
      <c r="N81">
        <v>7</v>
      </c>
      <c r="O81">
        <v>50</v>
      </c>
      <c r="P81">
        <v>57</v>
      </c>
    </row>
    <row r="82" spans="1:16" x14ac:dyDescent="0.35">
      <c r="A82">
        <v>81</v>
      </c>
      <c r="B82" s="37">
        <v>40547</v>
      </c>
      <c r="C82">
        <v>1</v>
      </c>
      <c r="D82">
        <v>0</v>
      </c>
      <c r="E82" t="s">
        <v>104</v>
      </c>
      <c r="F82">
        <v>12</v>
      </c>
      <c r="G82" t="b">
        <v>0</v>
      </c>
      <c r="H82" t="s">
        <v>109</v>
      </c>
      <c r="I82" t="s">
        <v>113</v>
      </c>
      <c r="J82">
        <v>0.22</v>
      </c>
      <c r="K82">
        <v>0.2273</v>
      </c>
      <c r="L82">
        <v>0.51</v>
      </c>
      <c r="M82">
        <v>0.16420000000000001</v>
      </c>
      <c r="N82">
        <v>12</v>
      </c>
      <c r="O82">
        <v>66</v>
      </c>
      <c r="P82">
        <v>78</v>
      </c>
    </row>
    <row r="83" spans="1:16" x14ac:dyDescent="0.35">
      <c r="A83">
        <v>82</v>
      </c>
      <c r="B83" s="37">
        <v>40547</v>
      </c>
      <c r="C83">
        <v>1</v>
      </c>
      <c r="D83">
        <v>0</v>
      </c>
      <c r="E83" t="s">
        <v>104</v>
      </c>
      <c r="F83">
        <v>13</v>
      </c>
      <c r="G83" t="b">
        <v>0</v>
      </c>
      <c r="H83" t="s">
        <v>109</v>
      </c>
      <c r="I83" t="s">
        <v>113</v>
      </c>
      <c r="J83">
        <v>0.24</v>
      </c>
      <c r="K83">
        <v>0.2273</v>
      </c>
      <c r="L83">
        <v>0.56000000000000005</v>
      </c>
      <c r="M83">
        <v>0.19400000000000001</v>
      </c>
      <c r="N83">
        <v>18</v>
      </c>
      <c r="O83">
        <v>79</v>
      </c>
      <c r="P83">
        <v>97</v>
      </c>
    </row>
    <row r="84" spans="1:16" x14ac:dyDescent="0.35">
      <c r="A84">
        <v>83</v>
      </c>
      <c r="B84" s="37">
        <v>40547</v>
      </c>
      <c r="C84">
        <v>1</v>
      </c>
      <c r="D84">
        <v>0</v>
      </c>
      <c r="E84" t="s">
        <v>104</v>
      </c>
      <c r="F84">
        <v>14</v>
      </c>
      <c r="G84" t="b">
        <v>0</v>
      </c>
      <c r="H84" t="s">
        <v>109</v>
      </c>
      <c r="I84" t="s">
        <v>113</v>
      </c>
      <c r="J84">
        <v>0.26</v>
      </c>
      <c r="K84">
        <v>0.2576</v>
      </c>
      <c r="L84">
        <v>0.52</v>
      </c>
      <c r="M84">
        <v>0.22389999999999999</v>
      </c>
      <c r="N84">
        <v>9</v>
      </c>
      <c r="O84">
        <v>54</v>
      </c>
      <c r="P84">
        <v>63</v>
      </c>
    </row>
    <row r="85" spans="1:16" x14ac:dyDescent="0.35">
      <c r="A85">
        <v>84</v>
      </c>
      <c r="B85" s="37">
        <v>40547</v>
      </c>
      <c r="C85">
        <v>1</v>
      </c>
      <c r="D85">
        <v>0</v>
      </c>
      <c r="E85" t="s">
        <v>104</v>
      </c>
      <c r="F85">
        <v>15</v>
      </c>
      <c r="G85" t="b">
        <v>0</v>
      </c>
      <c r="H85" t="s">
        <v>109</v>
      </c>
      <c r="I85" t="s">
        <v>113</v>
      </c>
      <c r="J85">
        <v>0.28000000000000003</v>
      </c>
      <c r="K85">
        <v>0.2727</v>
      </c>
      <c r="L85">
        <v>0.52</v>
      </c>
      <c r="M85">
        <v>0.25369999999999998</v>
      </c>
      <c r="N85">
        <v>17</v>
      </c>
      <c r="O85">
        <v>48</v>
      </c>
      <c r="P85">
        <v>65</v>
      </c>
    </row>
    <row r="86" spans="1:16" x14ac:dyDescent="0.35">
      <c r="A86">
        <v>85</v>
      </c>
      <c r="B86" s="37">
        <v>40547</v>
      </c>
      <c r="C86">
        <v>1</v>
      </c>
      <c r="D86">
        <v>0</v>
      </c>
      <c r="E86" t="s">
        <v>104</v>
      </c>
      <c r="F86">
        <v>16</v>
      </c>
      <c r="G86" t="b">
        <v>0</v>
      </c>
      <c r="H86" t="s">
        <v>109</v>
      </c>
      <c r="I86" t="s">
        <v>113</v>
      </c>
      <c r="J86">
        <v>0.3</v>
      </c>
      <c r="K86">
        <v>0.28789999999999999</v>
      </c>
      <c r="L86">
        <v>0.49</v>
      </c>
      <c r="M86">
        <v>0.25369999999999998</v>
      </c>
      <c r="N86">
        <v>15</v>
      </c>
      <c r="O86">
        <v>68</v>
      </c>
      <c r="P86">
        <v>83</v>
      </c>
    </row>
    <row r="87" spans="1:16" x14ac:dyDescent="0.35">
      <c r="A87">
        <v>86</v>
      </c>
      <c r="B87" s="37">
        <v>40547</v>
      </c>
      <c r="C87">
        <v>1</v>
      </c>
      <c r="D87">
        <v>0</v>
      </c>
      <c r="E87" t="s">
        <v>104</v>
      </c>
      <c r="F87">
        <v>17</v>
      </c>
      <c r="G87" t="b">
        <v>0</v>
      </c>
      <c r="H87" t="s">
        <v>109</v>
      </c>
      <c r="I87" t="s">
        <v>113</v>
      </c>
      <c r="J87">
        <v>0.28000000000000003</v>
      </c>
      <c r="K87">
        <v>0.2727</v>
      </c>
      <c r="L87">
        <v>0.48</v>
      </c>
      <c r="M87">
        <v>0.22389999999999999</v>
      </c>
      <c r="N87">
        <v>10</v>
      </c>
      <c r="O87">
        <v>202</v>
      </c>
      <c r="P87">
        <v>212</v>
      </c>
    </row>
    <row r="88" spans="1:16" x14ac:dyDescent="0.35">
      <c r="A88">
        <v>87</v>
      </c>
      <c r="B88" s="37">
        <v>40547</v>
      </c>
      <c r="C88">
        <v>1</v>
      </c>
      <c r="D88">
        <v>0</v>
      </c>
      <c r="E88" t="s">
        <v>104</v>
      </c>
      <c r="F88">
        <v>18</v>
      </c>
      <c r="G88" t="b">
        <v>0</v>
      </c>
      <c r="H88" t="s">
        <v>109</v>
      </c>
      <c r="I88" t="s">
        <v>113</v>
      </c>
      <c r="J88">
        <v>0.26</v>
      </c>
      <c r="K88">
        <v>0.2576</v>
      </c>
      <c r="L88">
        <v>0.48</v>
      </c>
      <c r="M88">
        <v>0.19400000000000001</v>
      </c>
      <c r="N88">
        <v>3</v>
      </c>
      <c r="O88">
        <v>179</v>
      </c>
      <c r="P88">
        <v>182</v>
      </c>
    </row>
    <row r="89" spans="1:16" x14ac:dyDescent="0.35">
      <c r="A89">
        <v>88</v>
      </c>
      <c r="B89" s="37">
        <v>40547</v>
      </c>
      <c r="C89">
        <v>1</v>
      </c>
      <c r="D89">
        <v>0</v>
      </c>
      <c r="E89" t="s">
        <v>104</v>
      </c>
      <c r="F89">
        <v>19</v>
      </c>
      <c r="G89" t="b">
        <v>0</v>
      </c>
      <c r="H89" t="s">
        <v>109</v>
      </c>
      <c r="I89" t="s">
        <v>113</v>
      </c>
      <c r="J89">
        <v>0.24</v>
      </c>
      <c r="K89">
        <v>0.2576</v>
      </c>
      <c r="L89">
        <v>0.48</v>
      </c>
      <c r="M89">
        <v>0.1045</v>
      </c>
      <c r="N89">
        <v>2</v>
      </c>
      <c r="O89">
        <v>110</v>
      </c>
      <c r="P89">
        <v>112</v>
      </c>
    </row>
    <row r="90" spans="1:16" x14ac:dyDescent="0.35">
      <c r="A90">
        <v>89</v>
      </c>
      <c r="B90" s="37">
        <v>40547</v>
      </c>
      <c r="C90">
        <v>1</v>
      </c>
      <c r="D90">
        <v>0</v>
      </c>
      <c r="E90" t="s">
        <v>104</v>
      </c>
      <c r="F90">
        <v>20</v>
      </c>
      <c r="G90" t="b">
        <v>0</v>
      </c>
      <c r="H90" t="s">
        <v>109</v>
      </c>
      <c r="I90" t="s">
        <v>113</v>
      </c>
      <c r="J90">
        <v>0.24</v>
      </c>
      <c r="K90">
        <v>0.2576</v>
      </c>
      <c r="L90">
        <v>0.48</v>
      </c>
      <c r="M90">
        <v>0.1045</v>
      </c>
      <c r="N90">
        <v>1</v>
      </c>
      <c r="O90">
        <v>53</v>
      </c>
      <c r="P90">
        <v>54</v>
      </c>
    </row>
    <row r="91" spans="1:16" x14ac:dyDescent="0.35">
      <c r="A91">
        <v>90</v>
      </c>
      <c r="B91" s="37">
        <v>40547</v>
      </c>
      <c r="C91">
        <v>1</v>
      </c>
      <c r="D91">
        <v>0</v>
      </c>
      <c r="E91" t="s">
        <v>104</v>
      </c>
      <c r="F91">
        <v>21</v>
      </c>
      <c r="G91" t="b">
        <v>0</v>
      </c>
      <c r="H91" t="s">
        <v>109</v>
      </c>
      <c r="I91" t="s">
        <v>113</v>
      </c>
      <c r="J91">
        <v>0.22</v>
      </c>
      <c r="K91">
        <v>0.2727</v>
      </c>
      <c r="L91">
        <v>0.64</v>
      </c>
      <c r="M91">
        <v>0</v>
      </c>
      <c r="N91">
        <v>0</v>
      </c>
      <c r="O91">
        <v>48</v>
      </c>
      <c r="P91">
        <v>48</v>
      </c>
    </row>
    <row r="92" spans="1:16" x14ac:dyDescent="0.35">
      <c r="A92">
        <v>91</v>
      </c>
      <c r="B92" s="37">
        <v>40547</v>
      </c>
      <c r="C92">
        <v>1</v>
      </c>
      <c r="D92">
        <v>0</v>
      </c>
      <c r="E92" t="s">
        <v>104</v>
      </c>
      <c r="F92">
        <v>22</v>
      </c>
      <c r="G92" t="b">
        <v>0</v>
      </c>
      <c r="H92" t="s">
        <v>109</v>
      </c>
      <c r="I92" t="s">
        <v>113</v>
      </c>
      <c r="J92">
        <v>0.22</v>
      </c>
      <c r="K92">
        <v>0.2576</v>
      </c>
      <c r="L92">
        <v>0.64</v>
      </c>
      <c r="M92">
        <v>8.9599999999999999E-2</v>
      </c>
      <c r="N92">
        <v>1</v>
      </c>
      <c r="O92">
        <v>34</v>
      </c>
      <c r="P92">
        <v>35</v>
      </c>
    </row>
    <row r="93" spans="1:16" x14ac:dyDescent="0.35">
      <c r="A93">
        <v>92</v>
      </c>
      <c r="B93" s="37">
        <v>40547</v>
      </c>
      <c r="C93">
        <v>1</v>
      </c>
      <c r="D93">
        <v>0</v>
      </c>
      <c r="E93" t="s">
        <v>104</v>
      </c>
      <c r="F93">
        <v>23</v>
      </c>
      <c r="G93" t="b">
        <v>0</v>
      </c>
      <c r="H93" t="s">
        <v>109</v>
      </c>
      <c r="I93" t="s">
        <v>113</v>
      </c>
      <c r="J93">
        <v>0.2</v>
      </c>
      <c r="K93">
        <v>0.2273</v>
      </c>
      <c r="L93">
        <v>0.69</v>
      </c>
      <c r="M93">
        <v>8.9599999999999999E-2</v>
      </c>
      <c r="N93">
        <v>2</v>
      </c>
      <c r="O93">
        <v>9</v>
      </c>
      <c r="P93">
        <v>11</v>
      </c>
    </row>
    <row r="94" spans="1:16" x14ac:dyDescent="0.35">
      <c r="A94">
        <v>93</v>
      </c>
      <c r="B94" s="37">
        <v>40548</v>
      </c>
      <c r="C94">
        <v>1</v>
      </c>
      <c r="D94">
        <v>0</v>
      </c>
      <c r="E94" t="s">
        <v>104</v>
      </c>
      <c r="F94">
        <v>0</v>
      </c>
      <c r="G94" t="b">
        <v>0</v>
      </c>
      <c r="H94" t="s">
        <v>110</v>
      </c>
      <c r="I94" t="s">
        <v>113</v>
      </c>
      <c r="J94">
        <v>0.2</v>
      </c>
      <c r="K94">
        <v>0.2576</v>
      </c>
      <c r="L94">
        <v>0.64</v>
      </c>
      <c r="M94">
        <v>0</v>
      </c>
      <c r="N94">
        <v>0</v>
      </c>
      <c r="O94">
        <v>6</v>
      </c>
      <c r="P94">
        <v>6</v>
      </c>
    </row>
    <row r="95" spans="1:16" x14ac:dyDescent="0.35">
      <c r="A95">
        <v>94</v>
      </c>
      <c r="B95" s="37">
        <v>40548</v>
      </c>
      <c r="C95">
        <v>1</v>
      </c>
      <c r="D95">
        <v>0</v>
      </c>
      <c r="E95" t="s">
        <v>104</v>
      </c>
      <c r="F95">
        <v>1</v>
      </c>
      <c r="G95" t="b">
        <v>0</v>
      </c>
      <c r="H95" t="s">
        <v>110</v>
      </c>
      <c r="I95" t="s">
        <v>113</v>
      </c>
      <c r="J95">
        <v>0.16</v>
      </c>
      <c r="K95">
        <v>0.19700000000000001</v>
      </c>
      <c r="L95">
        <v>0.74</v>
      </c>
      <c r="M95">
        <v>8.9599999999999999E-2</v>
      </c>
      <c r="N95">
        <v>0</v>
      </c>
      <c r="O95">
        <v>6</v>
      </c>
      <c r="P95">
        <v>6</v>
      </c>
    </row>
    <row r="96" spans="1:16" x14ac:dyDescent="0.35">
      <c r="A96">
        <v>95</v>
      </c>
      <c r="B96" s="37">
        <v>40548</v>
      </c>
      <c r="C96">
        <v>1</v>
      </c>
      <c r="D96">
        <v>0</v>
      </c>
      <c r="E96" t="s">
        <v>104</v>
      </c>
      <c r="F96">
        <v>2</v>
      </c>
      <c r="G96" t="b">
        <v>0</v>
      </c>
      <c r="H96" t="s">
        <v>110</v>
      </c>
      <c r="I96" t="s">
        <v>113</v>
      </c>
      <c r="J96">
        <v>0.16</v>
      </c>
      <c r="K96">
        <v>0.19700000000000001</v>
      </c>
      <c r="L96">
        <v>0.74</v>
      </c>
      <c r="M96">
        <v>8.9599999999999999E-2</v>
      </c>
      <c r="N96">
        <v>0</v>
      </c>
      <c r="O96">
        <v>2</v>
      </c>
      <c r="P96">
        <v>2</v>
      </c>
    </row>
    <row r="97" spans="1:16" x14ac:dyDescent="0.35">
      <c r="A97">
        <v>96</v>
      </c>
      <c r="B97" s="37">
        <v>40548</v>
      </c>
      <c r="C97">
        <v>1</v>
      </c>
      <c r="D97">
        <v>0</v>
      </c>
      <c r="E97" t="s">
        <v>104</v>
      </c>
      <c r="F97">
        <v>4</v>
      </c>
      <c r="G97" t="b">
        <v>0</v>
      </c>
      <c r="H97" t="s">
        <v>110</v>
      </c>
      <c r="I97" t="s">
        <v>113</v>
      </c>
      <c r="J97">
        <v>0.24</v>
      </c>
      <c r="K97">
        <v>0.2273</v>
      </c>
      <c r="L97">
        <v>0.48</v>
      </c>
      <c r="M97">
        <v>0.22389999999999999</v>
      </c>
      <c r="N97">
        <v>0</v>
      </c>
      <c r="O97">
        <v>2</v>
      </c>
      <c r="P97">
        <v>2</v>
      </c>
    </row>
    <row r="98" spans="1:16" x14ac:dyDescent="0.35">
      <c r="A98">
        <v>97</v>
      </c>
      <c r="B98" s="37">
        <v>40548</v>
      </c>
      <c r="C98">
        <v>1</v>
      </c>
      <c r="D98">
        <v>0</v>
      </c>
      <c r="E98" t="s">
        <v>104</v>
      </c>
      <c r="F98">
        <v>5</v>
      </c>
      <c r="G98" t="b">
        <v>0</v>
      </c>
      <c r="H98" t="s">
        <v>110</v>
      </c>
      <c r="I98" t="s">
        <v>113</v>
      </c>
      <c r="J98">
        <v>0.22</v>
      </c>
      <c r="K98">
        <v>0.2273</v>
      </c>
      <c r="L98">
        <v>0.47</v>
      </c>
      <c r="M98">
        <v>0.16420000000000001</v>
      </c>
      <c r="N98">
        <v>0</v>
      </c>
      <c r="O98">
        <v>3</v>
      </c>
      <c r="P98">
        <v>3</v>
      </c>
    </row>
    <row r="99" spans="1:16" x14ac:dyDescent="0.35">
      <c r="A99">
        <v>98</v>
      </c>
      <c r="B99" s="37">
        <v>40548</v>
      </c>
      <c r="C99">
        <v>1</v>
      </c>
      <c r="D99">
        <v>0</v>
      </c>
      <c r="E99" t="s">
        <v>104</v>
      </c>
      <c r="F99">
        <v>6</v>
      </c>
      <c r="G99" t="b">
        <v>0</v>
      </c>
      <c r="H99" t="s">
        <v>110</v>
      </c>
      <c r="I99" t="s">
        <v>113</v>
      </c>
      <c r="J99">
        <v>0.2</v>
      </c>
      <c r="K99">
        <v>0.19700000000000001</v>
      </c>
      <c r="L99">
        <v>0.47</v>
      </c>
      <c r="M99">
        <v>0.22389999999999999</v>
      </c>
      <c r="N99">
        <v>0</v>
      </c>
      <c r="O99">
        <v>33</v>
      </c>
      <c r="P99">
        <v>33</v>
      </c>
    </row>
    <row r="100" spans="1:16" x14ac:dyDescent="0.35">
      <c r="A100">
        <v>99</v>
      </c>
      <c r="B100" s="37">
        <v>40548</v>
      </c>
      <c r="C100">
        <v>1</v>
      </c>
      <c r="D100">
        <v>0</v>
      </c>
      <c r="E100" t="s">
        <v>104</v>
      </c>
      <c r="F100">
        <v>7</v>
      </c>
      <c r="G100" t="b">
        <v>0</v>
      </c>
      <c r="H100" t="s">
        <v>110</v>
      </c>
      <c r="I100" t="s">
        <v>113</v>
      </c>
      <c r="J100">
        <v>0.18</v>
      </c>
      <c r="K100">
        <v>0.18179999999999999</v>
      </c>
      <c r="L100">
        <v>0.43</v>
      </c>
      <c r="M100">
        <v>0.19400000000000001</v>
      </c>
      <c r="N100">
        <v>1</v>
      </c>
      <c r="O100">
        <v>87</v>
      </c>
      <c r="P100">
        <v>88</v>
      </c>
    </row>
    <row r="101" spans="1:16" x14ac:dyDescent="0.35">
      <c r="A101">
        <v>100</v>
      </c>
      <c r="B101" s="37">
        <v>40548</v>
      </c>
      <c r="C101">
        <v>1</v>
      </c>
      <c r="D101">
        <v>0</v>
      </c>
      <c r="E101" t="s">
        <v>104</v>
      </c>
      <c r="F101">
        <v>8</v>
      </c>
      <c r="G101" t="b">
        <v>0</v>
      </c>
      <c r="H101" t="s">
        <v>110</v>
      </c>
      <c r="I101" t="s">
        <v>113</v>
      </c>
      <c r="J101">
        <v>0.2</v>
      </c>
      <c r="K101">
        <v>0.18179999999999999</v>
      </c>
      <c r="L101">
        <v>0.4</v>
      </c>
      <c r="M101">
        <v>0.29849999999999999</v>
      </c>
      <c r="N101">
        <v>3</v>
      </c>
      <c r="O101">
        <v>192</v>
      </c>
      <c r="P101">
        <v>195</v>
      </c>
    </row>
    <row r="102" spans="1:16" x14ac:dyDescent="0.35">
      <c r="A102">
        <v>101</v>
      </c>
      <c r="B102" s="37">
        <v>40548</v>
      </c>
      <c r="C102">
        <v>1</v>
      </c>
      <c r="D102">
        <v>0</v>
      </c>
      <c r="E102" t="s">
        <v>104</v>
      </c>
      <c r="F102">
        <v>9</v>
      </c>
      <c r="G102" t="b">
        <v>0</v>
      </c>
      <c r="H102" t="s">
        <v>110</v>
      </c>
      <c r="I102" t="s">
        <v>113</v>
      </c>
      <c r="J102">
        <v>0.22</v>
      </c>
      <c r="K102">
        <v>0.19700000000000001</v>
      </c>
      <c r="L102">
        <v>0.37</v>
      </c>
      <c r="M102">
        <v>0.32840000000000003</v>
      </c>
      <c r="N102">
        <v>6</v>
      </c>
      <c r="O102">
        <v>109</v>
      </c>
      <c r="P102">
        <v>115</v>
      </c>
    </row>
    <row r="103" spans="1:16" x14ac:dyDescent="0.35">
      <c r="A103">
        <v>102</v>
      </c>
      <c r="B103" s="37">
        <v>40548</v>
      </c>
      <c r="C103">
        <v>1</v>
      </c>
      <c r="D103">
        <v>0</v>
      </c>
      <c r="E103" t="s">
        <v>104</v>
      </c>
      <c r="F103">
        <v>10</v>
      </c>
      <c r="G103" t="b">
        <v>0</v>
      </c>
      <c r="H103" t="s">
        <v>110</v>
      </c>
      <c r="I103" t="s">
        <v>113</v>
      </c>
      <c r="J103">
        <v>0.22</v>
      </c>
      <c r="K103">
        <v>0.19700000000000001</v>
      </c>
      <c r="L103">
        <v>0.37</v>
      </c>
      <c r="M103">
        <v>0.32840000000000003</v>
      </c>
      <c r="N103">
        <v>4</v>
      </c>
      <c r="O103">
        <v>53</v>
      </c>
      <c r="P103">
        <v>57</v>
      </c>
    </row>
    <row r="104" spans="1:16" x14ac:dyDescent="0.35">
      <c r="A104">
        <v>103</v>
      </c>
      <c r="B104" s="37">
        <v>40548</v>
      </c>
      <c r="C104">
        <v>1</v>
      </c>
      <c r="D104">
        <v>0</v>
      </c>
      <c r="E104" t="s">
        <v>104</v>
      </c>
      <c r="F104">
        <v>11</v>
      </c>
      <c r="G104" t="b">
        <v>0</v>
      </c>
      <c r="H104" t="s">
        <v>110</v>
      </c>
      <c r="I104" t="s">
        <v>113</v>
      </c>
      <c r="J104">
        <v>0.26</v>
      </c>
      <c r="K104">
        <v>0.2273</v>
      </c>
      <c r="L104">
        <v>0.33</v>
      </c>
      <c r="M104">
        <v>0.32840000000000003</v>
      </c>
      <c r="N104">
        <v>12</v>
      </c>
      <c r="O104">
        <v>34</v>
      </c>
      <c r="P104">
        <v>46</v>
      </c>
    </row>
    <row r="105" spans="1:16" x14ac:dyDescent="0.35">
      <c r="A105">
        <v>104</v>
      </c>
      <c r="B105" s="37">
        <v>40548</v>
      </c>
      <c r="C105">
        <v>1</v>
      </c>
      <c r="D105">
        <v>0</v>
      </c>
      <c r="E105" t="s">
        <v>104</v>
      </c>
      <c r="F105">
        <v>12</v>
      </c>
      <c r="G105" t="b">
        <v>0</v>
      </c>
      <c r="H105" t="s">
        <v>110</v>
      </c>
      <c r="I105" t="s">
        <v>113</v>
      </c>
      <c r="J105">
        <v>0.26</v>
      </c>
      <c r="K105">
        <v>0.2273</v>
      </c>
      <c r="L105">
        <v>0.33</v>
      </c>
      <c r="M105">
        <v>0.32840000000000003</v>
      </c>
      <c r="N105">
        <v>5</v>
      </c>
      <c r="O105">
        <v>74</v>
      </c>
      <c r="P105">
        <v>79</v>
      </c>
    </row>
    <row r="106" spans="1:16" x14ac:dyDescent="0.35">
      <c r="A106">
        <v>105</v>
      </c>
      <c r="B106" s="37">
        <v>40548</v>
      </c>
      <c r="C106">
        <v>1</v>
      </c>
      <c r="D106">
        <v>0</v>
      </c>
      <c r="E106" t="s">
        <v>104</v>
      </c>
      <c r="F106">
        <v>13</v>
      </c>
      <c r="G106" t="b">
        <v>0</v>
      </c>
      <c r="H106" t="s">
        <v>110</v>
      </c>
      <c r="I106" t="s">
        <v>113</v>
      </c>
      <c r="J106">
        <v>0.28000000000000003</v>
      </c>
      <c r="K106">
        <v>0.2576</v>
      </c>
      <c r="L106">
        <v>0.3</v>
      </c>
      <c r="M106">
        <v>0.29849999999999999</v>
      </c>
      <c r="N106">
        <v>6</v>
      </c>
      <c r="O106">
        <v>65</v>
      </c>
      <c r="P106">
        <v>71</v>
      </c>
    </row>
    <row r="107" spans="1:16" x14ac:dyDescent="0.35">
      <c r="A107">
        <v>106</v>
      </c>
      <c r="B107" s="37">
        <v>40548</v>
      </c>
      <c r="C107">
        <v>1</v>
      </c>
      <c r="D107">
        <v>0</v>
      </c>
      <c r="E107" t="s">
        <v>104</v>
      </c>
      <c r="F107">
        <v>14</v>
      </c>
      <c r="G107" t="b">
        <v>0</v>
      </c>
      <c r="H107" t="s">
        <v>110</v>
      </c>
      <c r="I107" t="s">
        <v>113</v>
      </c>
      <c r="J107">
        <v>0.3</v>
      </c>
      <c r="K107">
        <v>0.28789999999999999</v>
      </c>
      <c r="L107">
        <v>0.28000000000000003</v>
      </c>
      <c r="M107">
        <v>0.19400000000000001</v>
      </c>
      <c r="N107">
        <v>10</v>
      </c>
      <c r="O107">
        <v>52</v>
      </c>
      <c r="P107">
        <v>62</v>
      </c>
    </row>
    <row r="108" spans="1:16" x14ac:dyDescent="0.35">
      <c r="A108">
        <v>107</v>
      </c>
      <c r="B108" s="37">
        <v>40548</v>
      </c>
      <c r="C108">
        <v>1</v>
      </c>
      <c r="D108">
        <v>0</v>
      </c>
      <c r="E108" t="s">
        <v>104</v>
      </c>
      <c r="F108">
        <v>15</v>
      </c>
      <c r="G108" t="b">
        <v>0</v>
      </c>
      <c r="H108" t="s">
        <v>110</v>
      </c>
      <c r="I108" t="s">
        <v>113</v>
      </c>
      <c r="J108">
        <v>0.3</v>
      </c>
      <c r="K108">
        <v>0.28789999999999999</v>
      </c>
      <c r="L108">
        <v>0.28000000000000003</v>
      </c>
      <c r="M108">
        <v>0.19400000000000001</v>
      </c>
      <c r="N108">
        <v>7</v>
      </c>
      <c r="O108">
        <v>55</v>
      </c>
      <c r="P108">
        <v>62</v>
      </c>
    </row>
    <row r="109" spans="1:16" x14ac:dyDescent="0.35">
      <c r="A109">
        <v>108</v>
      </c>
      <c r="B109" s="37">
        <v>40548</v>
      </c>
      <c r="C109">
        <v>1</v>
      </c>
      <c r="D109">
        <v>0</v>
      </c>
      <c r="E109" t="s">
        <v>104</v>
      </c>
      <c r="F109">
        <v>16</v>
      </c>
      <c r="G109" t="b">
        <v>0</v>
      </c>
      <c r="H109" t="s">
        <v>110</v>
      </c>
      <c r="I109" t="s">
        <v>113</v>
      </c>
      <c r="J109">
        <v>0.3</v>
      </c>
      <c r="K109">
        <v>0.31819999999999998</v>
      </c>
      <c r="L109">
        <v>0.28000000000000003</v>
      </c>
      <c r="M109">
        <v>8.9599999999999999E-2</v>
      </c>
      <c r="N109">
        <v>4</v>
      </c>
      <c r="O109">
        <v>85</v>
      </c>
      <c r="P109">
        <v>89</v>
      </c>
    </row>
    <row r="110" spans="1:16" x14ac:dyDescent="0.35">
      <c r="A110">
        <v>109</v>
      </c>
      <c r="B110" s="37">
        <v>40548</v>
      </c>
      <c r="C110">
        <v>1</v>
      </c>
      <c r="D110">
        <v>0</v>
      </c>
      <c r="E110" t="s">
        <v>104</v>
      </c>
      <c r="F110">
        <v>17</v>
      </c>
      <c r="G110" t="b">
        <v>0</v>
      </c>
      <c r="H110" t="s">
        <v>110</v>
      </c>
      <c r="I110" t="s">
        <v>113</v>
      </c>
      <c r="J110">
        <v>0.24</v>
      </c>
      <c r="K110">
        <v>0.2273</v>
      </c>
      <c r="L110">
        <v>0.38</v>
      </c>
      <c r="M110">
        <v>0.19400000000000001</v>
      </c>
      <c r="N110">
        <v>4</v>
      </c>
      <c r="O110">
        <v>186</v>
      </c>
      <c r="P110">
        <v>190</v>
      </c>
    </row>
    <row r="111" spans="1:16" x14ac:dyDescent="0.35">
      <c r="A111">
        <v>110</v>
      </c>
      <c r="B111" s="37">
        <v>40548</v>
      </c>
      <c r="C111">
        <v>1</v>
      </c>
      <c r="D111">
        <v>0</v>
      </c>
      <c r="E111" t="s">
        <v>104</v>
      </c>
      <c r="F111">
        <v>18</v>
      </c>
      <c r="G111" t="b">
        <v>0</v>
      </c>
      <c r="H111" t="s">
        <v>110</v>
      </c>
      <c r="I111" t="s">
        <v>113</v>
      </c>
      <c r="J111">
        <v>0.24</v>
      </c>
      <c r="K111">
        <v>0.2424</v>
      </c>
      <c r="L111">
        <v>0.38</v>
      </c>
      <c r="M111">
        <v>0.1343</v>
      </c>
      <c r="N111">
        <v>3</v>
      </c>
      <c r="O111">
        <v>166</v>
      </c>
      <c r="P111">
        <v>169</v>
      </c>
    </row>
    <row r="112" spans="1:16" x14ac:dyDescent="0.35">
      <c r="A112">
        <v>111</v>
      </c>
      <c r="B112" s="37">
        <v>40548</v>
      </c>
      <c r="C112">
        <v>1</v>
      </c>
      <c r="D112">
        <v>0</v>
      </c>
      <c r="E112" t="s">
        <v>104</v>
      </c>
      <c r="F112">
        <v>19</v>
      </c>
      <c r="G112" t="b">
        <v>0</v>
      </c>
      <c r="H112" t="s">
        <v>110</v>
      </c>
      <c r="I112" t="s">
        <v>113</v>
      </c>
      <c r="J112">
        <v>0.24</v>
      </c>
      <c r="K112">
        <v>0.2576</v>
      </c>
      <c r="L112">
        <v>0.38</v>
      </c>
      <c r="M112">
        <v>0.1045</v>
      </c>
      <c r="N112">
        <v>5</v>
      </c>
      <c r="O112">
        <v>127</v>
      </c>
      <c r="P112">
        <v>132</v>
      </c>
    </row>
    <row r="113" spans="1:16" x14ac:dyDescent="0.35">
      <c r="A113">
        <v>112</v>
      </c>
      <c r="B113" s="37">
        <v>40548</v>
      </c>
      <c r="C113">
        <v>1</v>
      </c>
      <c r="D113">
        <v>0</v>
      </c>
      <c r="E113" t="s">
        <v>104</v>
      </c>
      <c r="F113">
        <v>20</v>
      </c>
      <c r="G113" t="b">
        <v>0</v>
      </c>
      <c r="H113" t="s">
        <v>110</v>
      </c>
      <c r="I113" t="s">
        <v>113</v>
      </c>
      <c r="J113">
        <v>0.22</v>
      </c>
      <c r="K113">
        <v>0.2273</v>
      </c>
      <c r="L113">
        <v>0.47</v>
      </c>
      <c r="M113">
        <v>0.16420000000000001</v>
      </c>
      <c r="N113">
        <v>7</v>
      </c>
      <c r="O113">
        <v>82</v>
      </c>
      <c r="P113">
        <v>89</v>
      </c>
    </row>
    <row r="114" spans="1:16" x14ac:dyDescent="0.35">
      <c r="A114">
        <v>113</v>
      </c>
      <c r="B114" s="37">
        <v>40548</v>
      </c>
      <c r="C114">
        <v>1</v>
      </c>
      <c r="D114">
        <v>0</v>
      </c>
      <c r="E114" t="s">
        <v>104</v>
      </c>
      <c r="F114">
        <v>21</v>
      </c>
      <c r="G114" t="b">
        <v>0</v>
      </c>
      <c r="H114" t="s">
        <v>110</v>
      </c>
      <c r="I114" t="s">
        <v>113</v>
      </c>
      <c r="J114">
        <v>0.2</v>
      </c>
      <c r="K114">
        <v>0.19700000000000001</v>
      </c>
      <c r="L114">
        <v>0.51</v>
      </c>
      <c r="M114">
        <v>0.19400000000000001</v>
      </c>
      <c r="N114">
        <v>3</v>
      </c>
      <c r="O114">
        <v>40</v>
      </c>
      <c r="P114">
        <v>43</v>
      </c>
    </row>
    <row r="115" spans="1:16" x14ac:dyDescent="0.35">
      <c r="A115">
        <v>114</v>
      </c>
      <c r="B115" s="37">
        <v>40548</v>
      </c>
      <c r="C115">
        <v>1</v>
      </c>
      <c r="D115">
        <v>0</v>
      </c>
      <c r="E115" t="s">
        <v>104</v>
      </c>
      <c r="F115">
        <v>22</v>
      </c>
      <c r="G115" t="b">
        <v>0</v>
      </c>
      <c r="H115" t="s">
        <v>110</v>
      </c>
      <c r="I115" t="s">
        <v>113</v>
      </c>
      <c r="J115">
        <v>0.18</v>
      </c>
      <c r="K115">
        <v>0.19700000000000001</v>
      </c>
      <c r="L115">
        <v>0.55000000000000004</v>
      </c>
      <c r="M115">
        <v>0.1343</v>
      </c>
      <c r="N115">
        <v>1</v>
      </c>
      <c r="O115">
        <v>41</v>
      </c>
      <c r="P115">
        <v>42</v>
      </c>
    </row>
    <row r="116" spans="1:16" x14ac:dyDescent="0.35">
      <c r="A116">
        <v>115</v>
      </c>
      <c r="B116" s="37">
        <v>40548</v>
      </c>
      <c r="C116">
        <v>1</v>
      </c>
      <c r="D116">
        <v>0</v>
      </c>
      <c r="E116" t="s">
        <v>104</v>
      </c>
      <c r="F116">
        <v>23</v>
      </c>
      <c r="G116" t="b">
        <v>0</v>
      </c>
      <c r="H116" t="s">
        <v>110</v>
      </c>
      <c r="I116" t="s">
        <v>113</v>
      </c>
      <c r="J116">
        <v>0.2</v>
      </c>
      <c r="K116">
        <v>0.2576</v>
      </c>
      <c r="L116">
        <v>0.47</v>
      </c>
      <c r="M116">
        <v>0</v>
      </c>
      <c r="N116">
        <v>1</v>
      </c>
      <c r="O116">
        <v>18</v>
      </c>
      <c r="P116">
        <v>19</v>
      </c>
    </row>
    <row r="117" spans="1:16" x14ac:dyDescent="0.35">
      <c r="A117">
        <v>116</v>
      </c>
      <c r="B117" s="37">
        <v>40549</v>
      </c>
      <c r="C117">
        <v>1</v>
      </c>
      <c r="D117">
        <v>0</v>
      </c>
      <c r="E117" t="s">
        <v>104</v>
      </c>
      <c r="F117">
        <v>0</v>
      </c>
      <c r="G117" t="b">
        <v>0</v>
      </c>
      <c r="H117" t="s">
        <v>111</v>
      </c>
      <c r="I117" t="s">
        <v>113</v>
      </c>
      <c r="J117">
        <v>0.18</v>
      </c>
      <c r="K117">
        <v>0.2424</v>
      </c>
      <c r="L117">
        <v>0.55000000000000004</v>
      </c>
      <c r="M117">
        <v>0</v>
      </c>
      <c r="N117">
        <v>0</v>
      </c>
      <c r="O117">
        <v>11</v>
      </c>
      <c r="P117">
        <v>11</v>
      </c>
    </row>
    <row r="118" spans="1:16" x14ac:dyDescent="0.35">
      <c r="A118">
        <v>117</v>
      </c>
      <c r="B118" s="37">
        <v>40549</v>
      </c>
      <c r="C118">
        <v>1</v>
      </c>
      <c r="D118">
        <v>0</v>
      </c>
      <c r="E118" t="s">
        <v>104</v>
      </c>
      <c r="F118">
        <v>1</v>
      </c>
      <c r="G118" t="b">
        <v>0</v>
      </c>
      <c r="H118" t="s">
        <v>111</v>
      </c>
      <c r="I118" t="s">
        <v>113</v>
      </c>
      <c r="J118">
        <v>0.16</v>
      </c>
      <c r="K118">
        <v>0.2273</v>
      </c>
      <c r="L118">
        <v>0.64</v>
      </c>
      <c r="M118">
        <v>0</v>
      </c>
      <c r="N118">
        <v>0</v>
      </c>
      <c r="O118">
        <v>4</v>
      </c>
      <c r="P118">
        <v>4</v>
      </c>
    </row>
    <row r="119" spans="1:16" x14ac:dyDescent="0.35">
      <c r="A119">
        <v>118</v>
      </c>
      <c r="B119" s="37">
        <v>40549</v>
      </c>
      <c r="C119">
        <v>1</v>
      </c>
      <c r="D119">
        <v>0</v>
      </c>
      <c r="E119" t="s">
        <v>104</v>
      </c>
      <c r="F119">
        <v>2</v>
      </c>
      <c r="G119" t="b">
        <v>0</v>
      </c>
      <c r="H119" t="s">
        <v>111</v>
      </c>
      <c r="I119" t="s">
        <v>113</v>
      </c>
      <c r="J119">
        <v>0.16</v>
      </c>
      <c r="K119">
        <v>0.2273</v>
      </c>
      <c r="L119">
        <v>0.64</v>
      </c>
      <c r="M119">
        <v>0</v>
      </c>
      <c r="N119">
        <v>0</v>
      </c>
      <c r="O119">
        <v>2</v>
      </c>
      <c r="P119">
        <v>2</v>
      </c>
    </row>
    <row r="120" spans="1:16" x14ac:dyDescent="0.35">
      <c r="A120">
        <v>119</v>
      </c>
      <c r="B120" s="37">
        <v>40549</v>
      </c>
      <c r="C120">
        <v>1</v>
      </c>
      <c r="D120">
        <v>0</v>
      </c>
      <c r="E120" t="s">
        <v>104</v>
      </c>
      <c r="F120">
        <v>4</v>
      </c>
      <c r="G120" t="b">
        <v>0</v>
      </c>
      <c r="H120" t="s">
        <v>111</v>
      </c>
      <c r="I120" t="s">
        <v>114</v>
      </c>
      <c r="J120">
        <v>0.16</v>
      </c>
      <c r="K120">
        <v>0.19700000000000001</v>
      </c>
      <c r="L120">
        <v>0.64</v>
      </c>
      <c r="M120">
        <v>8.9599999999999999E-2</v>
      </c>
      <c r="N120">
        <v>0</v>
      </c>
      <c r="O120">
        <v>1</v>
      </c>
      <c r="P120">
        <v>1</v>
      </c>
    </row>
    <row r="121" spans="1:16" x14ac:dyDescent="0.35">
      <c r="A121">
        <v>120</v>
      </c>
      <c r="B121" s="37">
        <v>40549</v>
      </c>
      <c r="C121">
        <v>1</v>
      </c>
      <c r="D121">
        <v>0</v>
      </c>
      <c r="E121" t="s">
        <v>104</v>
      </c>
      <c r="F121">
        <v>5</v>
      </c>
      <c r="G121" t="b">
        <v>0</v>
      </c>
      <c r="H121" t="s">
        <v>111</v>
      </c>
      <c r="I121" t="s">
        <v>114</v>
      </c>
      <c r="J121">
        <v>0.14000000000000001</v>
      </c>
      <c r="K121">
        <v>0.18179999999999999</v>
      </c>
      <c r="L121">
        <v>0.69</v>
      </c>
      <c r="M121">
        <v>8.9599999999999999E-2</v>
      </c>
      <c r="N121">
        <v>0</v>
      </c>
      <c r="O121">
        <v>4</v>
      </c>
      <c r="P121">
        <v>4</v>
      </c>
    </row>
    <row r="122" spans="1:16" x14ac:dyDescent="0.35">
      <c r="A122">
        <v>121</v>
      </c>
      <c r="B122" s="37">
        <v>40549</v>
      </c>
      <c r="C122">
        <v>1</v>
      </c>
      <c r="D122">
        <v>0</v>
      </c>
      <c r="E122" t="s">
        <v>104</v>
      </c>
      <c r="F122">
        <v>6</v>
      </c>
      <c r="G122" t="b">
        <v>0</v>
      </c>
      <c r="H122" t="s">
        <v>111</v>
      </c>
      <c r="I122" t="s">
        <v>114</v>
      </c>
      <c r="J122">
        <v>0.14000000000000001</v>
      </c>
      <c r="K122">
        <v>0.16669999999999999</v>
      </c>
      <c r="L122">
        <v>0.63</v>
      </c>
      <c r="M122">
        <v>0.1045</v>
      </c>
      <c r="N122">
        <v>0</v>
      </c>
      <c r="O122">
        <v>36</v>
      </c>
      <c r="P122">
        <v>36</v>
      </c>
    </row>
    <row r="123" spans="1:16" x14ac:dyDescent="0.35">
      <c r="A123">
        <v>122</v>
      </c>
      <c r="B123" s="37">
        <v>40549</v>
      </c>
      <c r="C123">
        <v>1</v>
      </c>
      <c r="D123">
        <v>0</v>
      </c>
      <c r="E123" t="s">
        <v>104</v>
      </c>
      <c r="F123">
        <v>7</v>
      </c>
      <c r="G123" t="b">
        <v>0</v>
      </c>
      <c r="H123" t="s">
        <v>111</v>
      </c>
      <c r="I123" t="s">
        <v>114</v>
      </c>
      <c r="J123">
        <v>0.16</v>
      </c>
      <c r="K123">
        <v>0.2273</v>
      </c>
      <c r="L123">
        <v>0.59</v>
      </c>
      <c r="M123">
        <v>0</v>
      </c>
      <c r="N123">
        <v>0</v>
      </c>
      <c r="O123">
        <v>95</v>
      </c>
      <c r="P123">
        <v>95</v>
      </c>
    </row>
    <row r="124" spans="1:16" x14ac:dyDescent="0.35">
      <c r="A124">
        <v>123</v>
      </c>
      <c r="B124" s="37">
        <v>40549</v>
      </c>
      <c r="C124">
        <v>1</v>
      </c>
      <c r="D124">
        <v>0</v>
      </c>
      <c r="E124" t="s">
        <v>104</v>
      </c>
      <c r="F124">
        <v>8</v>
      </c>
      <c r="G124" t="b">
        <v>0</v>
      </c>
      <c r="H124" t="s">
        <v>111</v>
      </c>
      <c r="I124" t="s">
        <v>113</v>
      </c>
      <c r="J124">
        <v>0.16</v>
      </c>
      <c r="K124">
        <v>0.2273</v>
      </c>
      <c r="L124">
        <v>0.59</v>
      </c>
      <c r="M124">
        <v>0</v>
      </c>
      <c r="N124">
        <v>3</v>
      </c>
      <c r="O124">
        <v>216</v>
      </c>
      <c r="P124">
        <v>219</v>
      </c>
    </row>
    <row r="125" spans="1:16" x14ac:dyDescent="0.35">
      <c r="A125">
        <v>124</v>
      </c>
      <c r="B125" s="37">
        <v>40549</v>
      </c>
      <c r="C125">
        <v>1</v>
      </c>
      <c r="D125">
        <v>0</v>
      </c>
      <c r="E125" t="s">
        <v>104</v>
      </c>
      <c r="F125">
        <v>9</v>
      </c>
      <c r="G125" t="b">
        <v>0</v>
      </c>
      <c r="H125" t="s">
        <v>111</v>
      </c>
      <c r="I125" t="s">
        <v>114</v>
      </c>
      <c r="J125">
        <v>0.18</v>
      </c>
      <c r="K125">
        <v>0.2424</v>
      </c>
      <c r="L125">
        <v>0.51</v>
      </c>
      <c r="M125">
        <v>0</v>
      </c>
      <c r="N125">
        <v>6</v>
      </c>
      <c r="O125">
        <v>116</v>
      </c>
      <c r="P125">
        <v>122</v>
      </c>
    </row>
    <row r="126" spans="1:16" x14ac:dyDescent="0.35">
      <c r="A126">
        <v>125</v>
      </c>
      <c r="B126" s="37">
        <v>40549</v>
      </c>
      <c r="C126">
        <v>1</v>
      </c>
      <c r="D126">
        <v>0</v>
      </c>
      <c r="E126" t="s">
        <v>104</v>
      </c>
      <c r="F126">
        <v>10</v>
      </c>
      <c r="G126" t="b">
        <v>0</v>
      </c>
      <c r="H126" t="s">
        <v>111</v>
      </c>
      <c r="I126" t="s">
        <v>113</v>
      </c>
      <c r="J126">
        <v>0.2</v>
      </c>
      <c r="K126">
        <v>0.2576</v>
      </c>
      <c r="L126">
        <v>0.47</v>
      </c>
      <c r="M126">
        <v>0</v>
      </c>
      <c r="N126">
        <v>3</v>
      </c>
      <c r="O126">
        <v>42</v>
      </c>
      <c r="P126">
        <v>45</v>
      </c>
    </row>
    <row r="127" spans="1:16" x14ac:dyDescent="0.35">
      <c r="A127">
        <v>126</v>
      </c>
      <c r="B127" s="37">
        <v>40549</v>
      </c>
      <c r="C127">
        <v>1</v>
      </c>
      <c r="D127">
        <v>0</v>
      </c>
      <c r="E127" t="s">
        <v>104</v>
      </c>
      <c r="F127">
        <v>11</v>
      </c>
      <c r="G127" t="b">
        <v>0</v>
      </c>
      <c r="H127" t="s">
        <v>111</v>
      </c>
      <c r="I127" t="s">
        <v>113</v>
      </c>
      <c r="J127">
        <v>0.22</v>
      </c>
      <c r="K127">
        <v>0.2576</v>
      </c>
      <c r="L127">
        <v>0.44</v>
      </c>
      <c r="M127">
        <v>8.9599999999999999E-2</v>
      </c>
      <c r="N127">
        <v>2</v>
      </c>
      <c r="O127">
        <v>57</v>
      </c>
      <c r="P127">
        <v>59</v>
      </c>
    </row>
    <row r="128" spans="1:16" x14ac:dyDescent="0.35">
      <c r="A128">
        <v>127</v>
      </c>
      <c r="B128" s="37">
        <v>40549</v>
      </c>
      <c r="C128">
        <v>1</v>
      </c>
      <c r="D128">
        <v>0</v>
      </c>
      <c r="E128" t="s">
        <v>104</v>
      </c>
      <c r="F128">
        <v>12</v>
      </c>
      <c r="G128" t="b">
        <v>0</v>
      </c>
      <c r="H128" t="s">
        <v>111</v>
      </c>
      <c r="I128" t="s">
        <v>113</v>
      </c>
      <c r="J128">
        <v>0.26</v>
      </c>
      <c r="K128">
        <v>0.28789999999999999</v>
      </c>
      <c r="L128">
        <v>0.35</v>
      </c>
      <c r="M128">
        <v>0</v>
      </c>
      <c r="N128">
        <v>6</v>
      </c>
      <c r="O128">
        <v>78</v>
      </c>
      <c r="P128">
        <v>84</v>
      </c>
    </row>
    <row r="129" spans="1:16" x14ac:dyDescent="0.35">
      <c r="A129">
        <v>128</v>
      </c>
      <c r="B129" s="37">
        <v>40549</v>
      </c>
      <c r="C129">
        <v>1</v>
      </c>
      <c r="D129">
        <v>0</v>
      </c>
      <c r="E129" t="s">
        <v>104</v>
      </c>
      <c r="F129">
        <v>13</v>
      </c>
      <c r="G129" t="b">
        <v>0</v>
      </c>
      <c r="H129" t="s">
        <v>111</v>
      </c>
      <c r="I129" t="s">
        <v>113</v>
      </c>
      <c r="J129">
        <v>0.26</v>
      </c>
      <c r="K129">
        <v>0.2727</v>
      </c>
      <c r="L129">
        <v>0.35</v>
      </c>
      <c r="M129">
        <v>0.1045</v>
      </c>
      <c r="N129">
        <v>12</v>
      </c>
      <c r="O129">
        <v>55</v>
      </c>
      <c r="P129">
        <v>67</v>
      </c>
    </row>
    <row r="130" spans="1:16" x14ac:dyDescent="0.35">
      <c r="A130">
        <v>129</v>
      </c>
      <c r="B130" s="37">
        <v>40549</v>
      </c>
      <c r="C130">
        <v>1</v>
      </c>
      <c r="D130">
        <v>0</v>
      </c>
      <c r="E130" t="s">
        <v>104</v>
      </c>
      <c r="F130">
        <v>14</v>
      </c>
      <c r="G130" t="b">
        <v>0</v>
      </c>
      <c r="H130" t="s">
        <v>111</v>
      </c>
      <c r="I130" t="s">
        <v>113</v>
      </c>
      <c r="J130">
        <v>0.28000000000000003</v>
      </c>
      <c r="K130">
        <v>0.2727</v>
      </c>
      <c r="L130">
        <v>0.36</v>
      </c>
      <c r="M130">
        <v>0.16420000000000001</v>
      </c>
      <c r="N130">
        <v>11</v>
      </c>
      <c r="O130">
        <v>59</v>
      </c>
      <c r="P130">
        <v>70</v>
      </c>
    </row>
    <row r="131" spans="1:16" x14ac:dyDescent="0.35">
      <c r="A131">
        <v>130</v>
      </c>
      <c r="B131" s="37">
        <v>40549</v>
      </c>
      <c r="C131">
        <v>1</v>
      </c>
      <c r="D131">
        <v>0</v>
      </c>
      <c r="E131" t="s">
        <v>104</v>
      </c>
      <c r="F131">
        <v>15</v>
      </c>
      <c r="G131" t="b">
        <v>0</v>
      </c>
      <c r="H131" t="s">
        <v>111</v>
      </c>
      <c r="I131" t="s">
        <v>113</v>
      </c>
      <c r="J131">
        <v>0.28000000000000003</v>
      </c>
      <c r="K131">
        <v>0.2727</v>
      </c>
      <c r="L131">
        <v>0.36</v>
      </c>
      <c r="M131">
        <v>0</v>
      </c>
      <c r="N131">
        <v>8</v>
      </c>
      <c r="O131">
        <v>54</v>
      </c>
      <c r="P131">
        <v>62</v>
      </c>
    </row>
    <row r="132" spans="1:16" x14ac:dyDescent="0.35">
      <c r="A132">
        <v>131</v>
      </c>
      <c r="B132" s="37">
        <v>40549</v>
      </c>
      <c r="C132">
        <v>1</v>
      </c>
      <c r="D132">
        <v>0</v>
      </c>
      <c r="E132" t="s">
        <v>104</v>
      </c>
      <c r="F132">
        <v>16</v>
      </c>
      <c r="G132" t="b">
        <v>0</v>
      </c>
      <c r="H132" t="s">
        <v>111</v>
      </c>
      <c r="I132" t="s">
        <v>113</v>
      </c>
      <c r="J132">
        <v>0.26</v>
      </c>
      <c r="K132">
        <v>0.2576</v>
      </c>
      <c r="L132">
        <v>0.38</v>
      </c>
      <c r="M132">
        <v>0.16420000000000001</v>
      </c>
      <c r="N132">
        <v>12</v>
      </c>
      <c r="O132">
        <v>74</v>
      </c>
      <c r="P132">
        <v>86</v>
      </c>
    </row>
    <row r="133" spans="1:16" x14ac:dyDescent="0.35">
      <c r="A133">
        <v>132</v>
      </c>
      <c r="B133" s="37">
        <v>40549</v>
      </c>
      <c r="C133">
        <v>1</v>
      </c>
      <c r="D133">
        <v>0</v>
      </c>
      <c r="E133" t="s">
        <v>104</v>
      </c>
      <c r="F133">
        <v>17</v>
      </c>
      <c r="G133" t="b">
        <v>0</v>
      </c>
      <c r="H133" t="s">
        <v>111</v>
      </c>
      <c r="I133" t="s">
        <v>113</v>
      </c>
      <c r="J133">
        <v>0.22</v>
      </c>
      <c r="K133">
        <v>0.2273</v>
      </c>
      <c r="L133">
        <v>0.51</v>
      </c>
      <c r="M133">
        <v>0.16420000000000001</v>
      </c>
      <c r="N133">
        <v>9</v>
      </c>
      <c r="O133">
        <v>163</v>
      </c>
      <c r="P133">
        <v>172</v>
      </c>
    </row>
    <row r="134" spans="1:16" x14ac:dyDescent="0.35">
      <c r="A134">
        <v>133</v>
      </c>
      <c r="B134" s="37">
        <v>40549</v>
      </c>
      <c r="C134">
        <v>1</v>
      </c>
      <c r="D134">
        <v>0</v>
      </c>
      <c r="E134" t="s">
        <v>104</v>
      </c>
      <c r="F134">
        <v>18</v>
      </c>
      <c r="G134" t="b">
        <v>0</v>
      </c>
      <c r="H134" t="s">
        <v>111</v>
      </c>
      <c r="I134" t="s">
        <v>113</v>
      </c>
      <c r="J134">
        <v>0.22</v>
      </c>
      <c r="K134">
        <v>0.2273</v>
      </c>
      <c r="L134">
        <v>0.51</v>
      </c>
      <c r="M134">
        <v>0.1343</v>
      </c>
      <c r="N134">
        <v>5</v>
      </c>
      <c r="O134">
        <v>158</v>
      </c>
      <c r="P134">
        <v>163</v>
      </c>
    </row>
    <row r="135" spans="1:16" x14ac:dyDescent="0.35">
      <c r="A135">
        <v>134</v>
      </c>
      <c r="B135" s="37">
        <v>40549</v>
      </c>
      <c r="C135">
        <v>1</v>
      </c>
      <c r="D135">
        <v>0</v>
      </c>
      <c r="E135" t="s">
        <v>104</v>
      </c>
      <c r="F135">
        <v>19</v>
      </c>
      <c r="G135" t="b">
        <v>0</v>
      </c>
      <c r="H135" t="s">
        <v>111</v>
      </c>
      <c r="I135" t="s">
        <v>113</v>
      </c>
      <c r="J135">
        <v>0.22</v>
      </c>
      <c r="K135">
        <v>0.2576</v>
      </c>
      <c r="L135">
        <v>0.55000000000000004</v>
      </c>
      <c r="M135">
        <v>8.9599999999999999E-2</v>
      </c>
      <c r="N135">
        <v>3</v>
      </c>
      <c r="O135">
        <v>109</v>
      </c>
      <c r="P135">
        <v>112</v>
      </c>
    </row>
    <row r="136" spans="1:16" x14ac:dyDescent="0.35">
      <c r="A136">
        <v>135</v>
      </c>
      <c r="B136" s="37">
        <v>40549</v>
      </c>
      <c r="C136">
        <v>1</v>
      </c>
      <c r="D136">
        <v>0</v>
      </c>
      <c r="E136" t="s">
        <v>104</v>
      </c>
      <c r="F136">
        <v>20</v>
      </c>
      <c r="G136" t="b">
        <v>0</v>
      </c>
      <c r="H136" t="s">
        <v>111</v>
      </c>
      <c r="I136" t="s">
        <v>113</v>
      </c>
      <c r="J136">
        <v>0.2</v>
      </c>
      <c r="K136">
        <v>0.21210000000000001</v>
      </c>
      <c r="L136">
        <v>0.51</v>
      </c>
      <c r="M136">
        <v>0.16420000000000001</v>
      </c>
      <c r="N136">
        <v>3</v>
      </c>
      <c r="O136">
        <v>66</v>
      </c>
      <c r="P136">
        <v>69</v>
      </c>
    </row>
    <row r="137" spans="1:16" x14ac:dyDescent="0.35">
      <c r="A137">
        <v>136</v>
      </c>
      <c r="B137" s="37">
        <v>40549</v>
      </c>
      <c r="C137">
        <v>1</v>
      </c>
      <c r="D137">
        <v>0</v>
      </c>
      <c r="E137" t="s">
        <v>104</v>
      </c>
      <c r="F137">
        <v>21</v>
      </c>
      <c r="G137" t="b">
        <v>0</v>
      </c>
      <c r="H137" t="s">
        <v>111</v>
      </c>
      <c r="I137" t="s">
        <v>114</v>
      </c>
      <c r="J137">
        <v>0.22</v>
      </c>
      <c r="K137">
        <v>0.21210000000000001</v>
      </c>
      <c r="L137">
        <v>0.55000000000000004</v>
      </c>
      <c r="M137">
        <v>0.22389999999999999</v>
      </c>
      <c r="N137">
        <v>0</v>
      </c>
      <c r="O137">
        <v>48</v>
      </c>
      <c r="P137">
        <v>48</v>
      </c>
    </row>
    <row r="138" spans="1:16" x14ac:dyDescent="0.35">
      <c r="A138">
        <v>137</v>
      </c>
      <c r="B138" s="37">
        <v>40549</v>
      </c>
      <c r="C138">
        <v>1</v>
      </c>
      <c r="D138">
        <v>0</v>
      </c>
      <c r="E138" t="s">
        <v>104</v>
      </c>
      <c r="F138">
        <v>22</v>
      </c>
      <c r="G138" t="b">
        <v>0</v>
      </c>
      <c r="H138" t="s">
        <v>111</v>
      </c>
      <c r="I138" t="s">
        <v>114</v>
      </c>
      <c r="J138">
        <v>0.22</v>
      </c>
      <c r="K138">
        <v>0.21210000000000001</v>
      </c>
      <c r="L138">
        <v>0.51</v>
      </c>
      <c r="M138">
        <v>0.28360000000000002</v>
      </c>
      <c r="N138">
        <v>1</v>
      </c>
      <c r="O138">
        <v>51</v>
      </c>
      <c r="P138">
        <v>52</v>
      </c>
    </row>
    <row r="139" spans="1:16" x14ac:dyDescent="0.35">
      <c r="A139">
        <v>138</v>
      </c>
      <c r="B139" s="37">
        <v>40549</v>
      </c>
      <c r="C139">
        <v>1</v>
      </c>
      <c r="D139">
        <v>0</v>
      </c>
      <c r="E139" t="s">
        <v>104</v>
      </c>
      <c r="F139">
        <v>23</v>
      </c>
      <c r="G139" t="b">
        <v>0</v>
      </c>
      <c r="H139" t="s">
        <v>111</v>
      </c>
      <c r="I139" t="s">
        <v>114</v>
      </c>
      <c r="J139">
        <v>0.2</v>
      </c>
      <c r="K139">
        <v>0.19700000000000001</v>
      </c>
      <c r="L139">
        <v>0.59</v>
      </c>
      <c r="M139">
        <v>0.19400000000000001</v>
      </c>
      <c r="N139">
        <v>4</v>
      </c>
      <c r="O139">
        <v>19</v>
      </c>
      <c r="P139">
        <v>23</v>
      </c>
    </row>
    <row r="140" spans="1:16" x14ac:dyDescent="0.35">
      <c r="A140">
        <v>139</v>
      </c>
      <c r="B140" s="37">
        <v>40550</v>
      </c>
      <c r="C140">
        <v>1</v>
      </c>
      <c r="D140">
        <v>0</v>
      </c>
      <c r="E140" t="s">
        <v>104</v>
      </c>
      <c r="F140">
        <v>0</v>
      </c>
      <c r="G140" t="b">
        <v>0</v>
      </c>
      <c r="H140" t="s">
        <v>112</v>
      </c>
      <c r="I140" t="s">
        <v>114</v>
      </c>
      <c r="J140">
        <v>0.2</v>
      </c>
      <c r="K140">
        <v>0.19700000000000001</v>
      </c>
      <c r="L140">
        <v>0.64</v>
      </c>
      <c r="M140">
        <v>0.19400000000000001</v>
      </c>
      <c r="N140">
        <v>4</v>
      </c>
      <c r="O140">
        <v>13</v>
      </c>
      <c r="P140">
        <v>17</v>
      </c>
    </row>
    <row r="141" spans="1:16" x14ac:dyDescent="0.35">
      <c r="A141">
        <v>140</v>
      </c>
      <c r="B141" s="37">
        <v>40550</v>
      </c>
      <c r="C141">
        <v>1</v>
      </c>
      <c r="D141">
        <v>0</v>
      </c>
      <c r="E141" t="s">
        <v>104</v>
      </c>
      <c r="F141">
        <v>1</v>
      </c>
      <c r="G141" t="b">
        <v>0</v>
      </c>
      <c r="H141" t="s">
        <v>112</v>
      </c>
      <c r="I141" t="s">
        <v>114</v>
      </c>
      <c r="J141">
        <v>0.2</v>
      </c>
      <c r="K141">
        <v>0.19700000000000001</v>
      </c>
      <c r="L141">
        <v>0.69</v>
      </c>
      <c r="M141">
        <v>0.22389999999999999</v>
      </c>
      <c r="N141">
        <v>2</v>
      </c>
      <c r="O141">
        <v>5</v>
      </c>
      <c r="P141">
        <v>7</v>
      </c>
    </row>
    <row r="142" spans="1:16" x14ac:dyDescent="0.35">
      <c r="A142">
        <v>141</v>
      </c>
      <c r="B142" s="37">
        <v>40550</v>
      </c>
      <c r="C142">
        <v>1</v>
      </c>
      <c r="D142">
        <v>0</v>
      </c>
      <c r="E142" t="s">
        <v>104</v>
      </c>
      <c r="F142">
        <v>2</v>
      </c>
      <c r="G142" t="b">
        <v>0</v>
      </c>
      <c r="H142" t="s">
        <v>112</v>
      </c>
      <c r="I142" t="s">
        <v>114</v>
      </c>
      <c r="J142">
        <v>0.2</v>
      </c>
      <c r="K142">
        <v>0.19700000000000001</v>
      </c>
      <c r="L142">
        <v>0.69</v>
      </c>
      <c r="M142">
        <v>0.22389999999999999</v>
      </c>
      <c r="N142">
        <v>0</v>
      </c>
      <c r="O142">
        <v>1</v>
      </c>
      <c r="P142">
        <v>1</v>
      </c>
    </row>
    <row r="143" spans="1:16" x14ac:dyDescent="0.35">
      <c r="A143">
        <v>142</v>
      </c>
      <c r="B143" s="37">
        <v>40550</v>
      </c>
      <c r="C143">
        <v>1</v>
      </c>
      <c r="D143">
        <v>0</v>
      </c>
      <c r="E143" t="s">
        <v>104</v>
      </c>
      <c r="F143">
        <v>4</v>
      </c>
      <c r="G143" t="b">
        <v>0</v>
      </c>
      <c r="H143" t="s">
        <v>112</v>
      </c>
      <c r="I143" t="s">
        <v>114</v>
      </c>
      <c r="J143">
        <v>0.2</v>
      </c>
      <c r="K143">
        <v>0.21210000000000001</v>
      </c>
      <c r="L143">
        <v>0.69</v>
      </c>
      <c r="M143">
        <v>0.1343</v>
      </c>
      <c r="N143">
        <v>0</v>
      </c>
      <c r="O143">
        <v>1</v>
      </c>
      <c r="P143">
        <v>1</v>
      </c>
    </row>
    <row r="144" spans="1:16" x14ac:dyDescent="0.35">
      <c r="A144">
        <v>143</v>
      </c>
      <c r="B144" s="37">
        <v>40550</v>
      </c>
      <c r="C144">
        <v>1</v>
      </c>
      <c r="D144">
        <v>0</v>
      </c>
      <c r="E144" t="s">
        <v>104</v>
      </c>
      <c r="F144">
        <v>5</v>
      </c>
      <c r="G144" t="b">
        <v>0</v>
      </c>
      <c r="H144" t="s">
        <v>112</v>
      </c>
      <c r="I144" t="s">
        <v>115</v>
      </c>
      <c r="J144">
        <v>0.22</v>
      </c>
      <c r="K144">
        <v>0.2727</v>
      </c>
      <c r="L144">
        <v>0.55000000000000004</v>
      </c>
      <c r="M144">
        <v>0</v>
      </c>
      <c r="N144">
        <v>0</v>
      </c>
      <c r="O144">
        <v>5</v>
      </c>
      <c r="P144">
        <v>5</v>
      </c>
    </row>
    <row r="145" spans="1:16" x14ac:dyDescent="0.35">
      <c r="A145">
        <v>144</v>
      </c>
      <c r="B145" s="37">
        <v>40550</v>
      </c>
      <c r="C145">
        <v>1</v>
      </c>
      <c r="D145">
        <v>0</v>
      </c>
      <c r="E145" t="s">
        <v>104</v>
      </c>
      <c r="F145">
        <v>6</v>
      </c>
      <c r="G145" t="b">
        <v>0</v>
      </c>
      <c r="H145" t="s">
        <v>112</v>
      </c>
      <c r="I145" t="s">
        <v>114</v>
      </c>
      <c r="J145">
        <v>0.2</v>
      </c>
      <c r="K145">
        <v>0.2576</v>
      </c>
      <c r="L145">
        <v>0.69</v>
      </c>
      <c r="M145">
        <v>0</v>
      </c>
      <c r="N145">
        <v>8</v>
      </c>
      <c r="O145">
        <v>26</v>
      </c>
      <c r="P145">
        <v>34</v>
      </c>
    </row>
    <row r="146" spans="1:16" x14ac:dyDescent="0.35">
      <c r="A146">
        <v>145</v>
      </c>
      <c r="B146" s="37">
        <v>40550</v>
      </c>
      <c r="C146">
        <v>1</v>
      </c>
      <c r="D146">
        <v>0</v>
      </c>
      <c r="E146" t="s">
        <v>104</v>
      </c>
      <c r="F146">
        <v>7</v>
      </c>
      <c r="G146" t="b">
        <v>0</v>
      </c>
      <c r="H146" t="s">
        <v>112</v>
      </c>
      <c r="I146" t="s">
        <v>113</v>
      </c>
      <c r="J146">
        <v>0.2</v>
      </c>
      <c r="K146">
        <v>0.21210000000000001</v>
      </c>
      <c r="L146">
        <v>0.69</v>
      </c>
      <c r="M146">
        <v>0.1343</v>
      </c>
      <c r="N146">
        <v>8</v>
      </c>
      <c r="O146">
        <v>76</v>
      </c>
      <c r="P146">
        <v>84</v>
      </c>
    </row>
    <row r="147" spans="1:16" x14ac:dyDescent="0.35">
      <c r="A147">
        <v>146</v>
      </c>
      <c r="B147" s="37">
        <v>40550</v>
      </c>
      <c r="C147">
        <v>1</v>
      </c>
      <c r="D147">
        <v>0</v>
      </c>
      <c r="E147" t="s">
        <v>104</v>
      </c>
      <c r="F147">
        <v>8</v>
      </c>
      <c r="G147" t="b">
        <v>0</v>
      </c>
      <c r="H147" t="s">
        <v>112</v>
      </c>
      <c r="I147" t="s">
        <v>113</v>
      </c>
      <c r="J147">
        <v>0.2</v>
      </c>
      <c r="K147">
        <v>0.19700000000000001</v>
      </c>
      <c r="L147">
        <v>0.51</v>
      </c>
      <c r="M147">
        <v>0.25369999999999998</v>
      </c>
      <c r="N147">
        <v>20</v>
      </c>
      <c r="O147">
        <v>190</v>
      </c>
      <c r="P147">
        <v>210</v>
      </c>
    </row>
    <row r="148" spans="1:16" x14ac:dyDescent="0.35">
      <c r="A148">
        <v>147</v>
      </c>
      <c r="B148" s="37">
        <v>40550</v>
      </c>
      <c r="C148">
        <v>1</v>
      </c>
      <c r="D148">
        <v>0</v>
      </c>
      <c r="E148" t="s">
        <v>104</v>
      </c>
      <c r="F148">
        <v>9</v>
      </c>
      <c r="G148" t="b">
        <v>0</v>
      </c>
      <c r="H148" t="s">
        <v>112</v>
      </c>
      <c r="I148" t="s">
        <v>113</v>
      </c>
      <c r="J148">
        <v>0.2</v>
      </c>
      <c r="K148">
        <v>0.18179999999999999</v>
      </c>
      <c r="L148">
        <v>0.47</v>
      </c>
      <c r="M148">
        <v>0.29849999999999999</v>
      </c>
      <c r="N148">
        <v>9</v>
      </c>
      <c r="O148">
        <v>125</v>
      </c>
      <c r="P148">
        <v>134</v>
      </c>
    </row>
    <row r="149" spans="1:16" x14ac:dyDescent="0.35">
      <c r="A149">
        <v>148</v>
      </c>
      <c r="B149" s="37">
        <v>40550</v>
      </c>
      <c r="C149">
        <v>1</v>
      </c>
      <c r="D149">
        <v>0</v>
      </c>
      <c r="E149" t="s">
        <v>104</v>
      </c>
      <c r="F149">
        <v>10</v>
      </c>
      <c r="G149" t="b">
        <v>0</v>
      </c>
      <c r="H149" t="s">
        <v>112</v>
      </c>
      <c r="I149" t="s">
        <v>113</v>
      </c>
      <c r="J149">
        <v>0.22</v>
      </c>
      <c r="K149">
        <v>0.19700000000000001</v>
      </c>
      <c r="L149">
        <v>0.37</v>
      </c>
      <c r="M149">
        <v>0.32840000000000003</v>
      </c>
      <c r="N149">
        <v>16</v>
      </c>
      <c r="O149">
        <v>47</v>
      </c>
      <c r="P149">
        <v>63</v>
      </c>
    </row>
    <row r="150" spans="1:16" x14ac:dyDescent="0.35">
      <c r="A150">
        <v>149</v>
      </c>
      <c r="B150" s="37">
        <v>40550</v>
      </c>
      <c r="C150">
        <v>1</v>
      </c>
      <c r="D150">
        <v>0</v>
      </c>
      <c r="E150" t="s">
        <v>104</v>
      </c>
      <c r="F150">
        <v>11</v>
      </c>
      <c r="G150" t="b">
        <v>0</v>
      </c>
      <c r="H150" t="s">
        <v>112</v>
      </c>
      <c r="I150" t="s">
        <v>114</v>
      </c>
      <c r="J150">
        <v>0.2</v>
      </c>
      <c r="K150">
        <v>0.19700000000000001</v>
      </c>
      <c r="L150">
        <v>0.4</v>
      </c>
      <c r="M150">
        <v>0.22389999999999999</v>
      </c>
      <c r="N150">
        <v>19</v>
      </c>
      <c r="O150">
        <v>48</v>
      </c>
      <c r="P150">
        <v>67</v>
      </c>
    </row>
    <row r="151" spans="1:16" x14ac:dyDescent="0.35">
      <c r="A151">
        <v>150</v>
      </c>
      <c r="B151" s="37">
        <v>40550</v>
      </c>
      <c r="C151">
        <v>1</v>
      </c>
      <c r="D151">
        <v>0</v>
      </c>
      <c r="E151" t="s">
        <v>104</v>
      </c>
      <c r="F151">
        <v>12</v>
      </c>
      <c r="G151" t="b">
        <v>0</v>
      </c>
      <c r="H151" t="s">
        <v>112</v>
      </c>
      <c r="I151" t="s">
        <v>114</v>
      </c>
      <c r="J151">
        <v>0.2</v>
      </c>
      <c r="K151">
        <v>0.19700000000000001</v>
      </c>
      <c r="L151">
        <v>0.37</v>
      </c>
      <c r="M151">
        <v>0.25369999999999998</v>
      </c>
      <c r="N151">
        <v>9</v>
      </c>
      <c r="O151">
        <v>50</v>
      </c>
      <c r="P151">
        <v>59</v>
      </c>
    </row>
    <row r="152" spans="1:16" x14ac:dyDescent="0.35">
      <c r="A152">
        <v>151</v>
      </c>
      <c r="B152" s="37">
        <v>40550</v>
      </c>
      <c r="C152">
        <v>1</v>
      </c>
      <c r="D152">
        <v>0</v>
      </c>
      <c r="E152" t="s">
        <v>104</v>
      </c>
      <c r="F152">
        <v>13</v>
      </c>
      <c r="G152" t="b">
        <v>0</v>
      </c>
      <c r="H152" t="s">
        <v>112</v>
      </c>
      <c r="I152" t="s">
        <v>114</v>
      </c>
      <c r="J152">
        <v>0.2</v>
      </c>
      <c r="K152">
        <v>0.18179999999999999</v>
      </c>
      <c r="L152">
        <v>0.37</v>
      </c>
      <c r="M152">
        <v>0.28360000000000002</v>
      </c>
      <c r="N152">
        <v>9</v>
      </c>
      <c r="O152">
        <v>64</v>
      </c>
      <c r="P152">
        <v>73</v>
      </c>
    </row>
    <row r="153" spans="1:16" x14ac:dyDescent="0.35">
      <c r="A153">
        <v>152</v>
      </c>
      <c r="B153" s="37">
        <v>40550</v>
      </c>
      <c r="C153">
        <v>1</v>
      </c>
      <c r="D153">
        <v>0</v>
      </c>
      <c r="E153" t="s">
        <v>104</v>
      </c>
      <c r="F153">
        <v>14</v>
      </c>
      <c r="G153" t="b">
        <v>0</v>
      </c>
      <c r="H153" t="s">
        <v>112</v>
      </c>
      <c r="I153" t="s">
        <v>114</v>
      </c>
      <c r="J153">
        <v>0.2</v>
      </c>
      <c r="K153">
        <v>0.19700000000000001</v>
      </c>
      <c r="L153">
        <v>0.4</v>
      </c>
      <c r="M153">
        <v>0.25369999999999998</v>
      </c>
      <c r="N153">
        <v>7</v>
      </c>
      <c r="O153">
        <v>43</v>
      </c>
      <c r="P153">
        <v>50</v>
      </c>
    </row>
    <row r="154" spans="1:16" x14ac:dyDescent="0.35">
      <c r="A154">
        <v>153</v>
      </c>
      <c r="B154" s="37">
        <v>40550</v>
      </c>
      <c r="C154">
        <v>1</v>
      </c>
      <c r="D154">
        <v>0</v>
      </c>
      <c r="E154" t="s">
        <v>104</v>
      </c>
      <c r="F154">
        <v>15</v>
      </c>
      <c r="G154" t="b">
        <v>0</v>
      </c>
      <c r="H154" t="s">
        <v>112</v>
      </c>
      <c r="I154" t="s">
        <v>114</v>
      </c>
      <c r="J154">
        <v>0.2</v>
      </c>
      <c r="K154">
        <v>0.21210000000000001</v>
      </c>
      <c r="L154">
        <v>0.37</v>
      </c>
      <c r="M154">
        <v>0.16420000000000001</v>
      </c>
      <c r="N154">
        <v>9</v>
      </c>
      <c r="O154">
        <v>63</v>
      </c>
      <c r="P154">
        <v>72</v>
      </c>
    </row>
    <row r="155" spans="1:16" x14ac:dyDescent="0.35">
      <c r="A155">
        <v>154</v>
      </c>
      <c r="B155" s="37">
        <v>40550</v>
      </c>
      <c r="C155">
        <v>1</v>
      </c>
      <c r="D155">
        <v>0</v>
      </c>
      <c r="E155" t="s">
        <v>104</v>
      </c>
      <c r="F155">
        <v>16</v>
      </c>
      <c r="G155" t="b">
        <v>0</v>
      </c>
      <c r="H155" t="s">
        <v>112</v>
      </c>
      <c r="I155" t="s">
        <v>114</v>
      </c>
      <c r="J155">
        <v>0.2</v>
      </c>
      <c r="K155">
        <v>0.21210000000000001</v>
      </c>
      <c r="L155">
        <v>0.37</v>
      </c>
      <c r="M155">
        <v>0.16420000000000001</v>
      </c>
      <c r="N155">
        <v>5</v>
      </c>
      <c r="O155">
        <v>82</v>
      </c>
      <c r="P155">
        <v>87</v>
      </c>
    </row>
    <row r="156" spans="1:16" x14ac:dyDescent="0.35">
      <c r="A156">
        <v>155</v>
      </c>
      <c r="B156" s="37">
        <v>40550</v>
      </c>
      <c r="C156">
        <v>1</v>
      </c>
      <c r="D156">
        <v>0</v>
      </c>
      <c r="E156" t="s">
        <v>104</v>
      </c>
      <c r="F156">
        <v>17</v>
      </c>
      <c r="G156" t="b">
        <v>0</v>
      </c>
      <c r="H156" t="s">
        <v>112</v>
      </c>
      <c r="I156" t="s">
        <v>114</v>
      </c>
      <c r="J156">
        <v>0.2</v>
      </c>
      <c r="K156">
        <v>0.2576</v>
      </c>
      <c r="L156">
        <v>0.37</v>
      </c>
      <c r="M156">
        <v>0</v>
      </c>
      <c r="N156">
        <v>9</v>
      </c>
      <c r="O156">
        <v>178</v>
      </c>
      <c r="P156">
        <v>187</v>
      </c>
    </row>
    <row r="157" spans="1:16" x14ac:dyDescent="0.35">
      <c r="A157">
        <v>156</v>
      </c>
      <c r="B157" s="37">
        <v>40550</v>
      </c>
      <c r="C157">
        <v>1</v>
      </c>
      <c r="D157">
        <v>0</v>
      </c>
      <c r="E157" t="s">
        <v>104</v>
      </c>
      <c r="F157">
        <v>18</v>
      </c>
      <c r="G157" t="b">
        <v>0</v>
      </c>
      <c r="H157" t="s">
        <v>112</v>
      </c>
      <c r="I157" t="s">
        <v>113</v>
      </c>
      <c r="J157">
        <v>0.2</v>
      </c>
      <c r="K157">
        <v>0.2273</v>
      </c>
      <c r="L157">
        <v>0.4</v>
      </c>
      <c r="M157">
        <v>8.9599999999999999E-2</v>
      </c>
      <c r="N157">
        <v>7</v>
      </c>
      <c r="O157">
        <v>116</v>
      </c>
      <c r="P157">
        <v>123</v>
      </c>
    </row>
    <row r="158" spans="1:16" x14ac:dyDescent="0.35">
      <c r="A158">
        <v>157</v>
      </c>
      <c r="B158" s="37">
        <v>40550</v>
      </c>
      <c r="C158">
        <v>1</v>
      </c>
      <c r="D158">
        <v>0</v>
      </c>
      <c r="E158" t="s">
        <v>104</v>
      </c>
      <c r="F158">
        <v>19</v>
      </c>
      <c r="G158" t="b">
        <v>0</v>
      </c>
      <c r="H158" t="s">
        <v>112</v>
      </c>
      <c r="I158" t="s">
        <v>113</v>
      </c>
      <c r="J158">
        <v>0.16</v>
      </c>
      <c r="K158">
        <v>0.19700000000000001</v>
      </c>
      <c r="L158">
        <v>0.55000000000000004</v>
      </c>
      <c r="M158">
        <v>8.9599999999999999E-2</v>
      </c>
      <c r="N158">
        <v>3</v>
      </c>
      <c r="O158">
        <v>92</v>
      </c>
      <c r="P158">
        <v>95</v>
      </c>
    </row>
    <row r="159" spans="1:16" x14ac:dyDescent="0.35">
      <c r="A159">
        <v>158</v>
      </c>
      <c r="B159" s="37">
        <v>40550</v>
      </c>
      <c r="C159">
        <v>1</v>
      </c>
      <c r="D159">
        <v>0</v>
      </c>
      <c r="E159" t="s">
        <v>104</v>
      </c>
      <c r="F159">
        <v>20</v>
      </c>
      <c r="G159" t="b">
        <v>0</v>
      </c>
      <c r="H159" t="s">
        <v>112</v>
      </c>
      <c r="I159" t="s">
        <v>113</v>
      </c>
      <c r="J159">
        <v>0.18</v>
      </c>
      <c r="K159">
        <v>0.21210000000000001</v>
      </c>
      <c r="L159">
        <v>0.47</v>
      </c>
      <c r="M159">
        <v>0.1045</v>
      </c>
      <c r="N159">
        <v>1</v>
      </c>
      <c r="O159">
        <v>50</v>
      </c>
      <c r="P159">
        <v>51</v>
      </c>
    </row>
    <row r="160" spans="1:16" x14ac:dyDescent="0.35">
      <c r="A160">
        <v>159</v>
      </c>
      <c r="B160" s="37">
        <v>40550</v>
      </c>
      <c r="C160">
        <v>1</v>
      </c>
      <c r="D160">
        <v>0</v>
      </c>
      <c r="E160" t="s">
        <v>104</v>
      </c>
      <c r="F160">
        <v>21</v>
      </c>
      <c r="G160" t="b">
        <v>0</v>
      </c>
      <c r="H160" t="s">
        <v>112</v>
      </c>
      <c r="I160" t="s">
        <v>113</v>
      </c>
      <c r="J160">
        <v>0.18</v>
      </c>
      <c r="K160">
        <v>0.19700000000000001</v>
      </c>
      <c r="L160">
        <v>0.47</v>
      </c>
      <c r="M160">
        <v>0.1343</v>
      </c>
      <c r="N160">
        <v>0</v>
      </c>
      <c r="O160">
        <v>39</v>
      </c>
      <c r="P160">
        <v>39</v>
      </c>
    </row>
    <row r="161" spans="1:16" x14ac:dyDescent="0.35">
      <c r="A161">
        <v>160</v>
      </c>
      <c r="B161" s="37">
        <v>40550</v>
      </c>
      <c r="C161">
        <v>1</v>
      </c>
      <c r="D161">
        <v>0</v>
      </c>
      <c r="E161" t="s">
        <v>104</v>
      </c>
      <c r="F161">
        <v>22</v>
      </c>
      <c r="G161" t="b">
        <v>0</v>
      </c>
      <c r="H161" t="s">
        <v>112</v>
      </c>
      <c r="I161" t="s">
        <v>114</v>
      </c>
      <c r="J161">
        <v>0.18</v>
      </c>
      <c r="K161">
        <v>0.19700000000000001</v>
      </c>
      <c r="L161">
        <v>0.43</v>
      </c>
      <c r="M161">
        <v>0.16420000000000001</v>
      </c>
      <c r="N161">
        <v>2</v>
      </c>
      <c r="O161">
        <v>34</v>
      </c>
      <c r="P161">
        <v>36</v>
      </c>
    </row>
    <row r="162" spans="1:16" x14ac:dyDescent="0.35">
      <c r="A162">
        <v>161</v>
      </c>
      <c r="B162" s="37">
        <v>40550</v>
      </c>
      <c r="C162">
        <v>1</v>
      </c>
      <c r="D162">
        <v>0</v>
      </c>
      <c r="E162" t="s">
        <v>104</v>
      </c>
      <c r="F162">
        <v>23</v>
      </c>
      <c r="G162" t="b">
        <v>0</v>
      </c>
      <c r="H162" t="s">
        <v>112</v>
      </c>
      <c r="I162" t="s">
        <v>114</v>
      </c>
      <c r="J162">
        <v>0.18</v>
      </c>
      <c r="K162">
        <v>0.19700000000000001</v>
      </c>
      <c r="L162">
        <v>0.51</v>
      </c>
      <c r="M162">
        <v>0.16420000000000001</v>
      </c>
      <c r="N162">
        <v>1</v>
      </c>
      <c r="O162">
        <v>14</v>
      </c>
      <c r="P162">
        <v>15</v>
      </c>
    </row>
    <row r="163" spans="1:16" x14ac:dyDescent="0.35">
      <c r="A163">
        <v>162</v>
      </c>
      <c r="B163" s="37">
        <v>40551</v>
      </c>
      <c r="C163">
        <v>1</v>
      </c>
      <c r="D163">
        <v>0</v>
      </c>
      <c r="E163" t="s">
        <v>104</v>
      </c>
      <c r="F163">
        <v>0</v>
      </c>
      <c r="G163" t="b">
        <v>0</v>
      </c>
      <c r="H163" t="s">
        <v>106</v>
      </c>
      <c r="I163" t="s">
        <v>114</v>
      </c>
      <c r="J163">
        <v>0.18</v>
      </c>
      <c r="K163">
        <v>0.19700000000000001</v>
      </c>
      <c r="L163">
        <v>0.51</v>
      </c>
      <c r="M163">
        <v>0.16420000000000001</v>
      </c>
      <c r="N163">
        <v>1</v>
      </c>
      <c r="O163">
        <v>24</v>
      </c>
      <c r="P163">
        <v>25</v>
      </c>
    </row>
    <row r="164" spans="1:16" x14ac:dyDescent="0.35">
      <c r="A164">
        <v>163</v>
      </c>
      <c r="B164" s="37">
        <v>40551</v>
      </c>
      <c r="C164">
        <v>1</v>
      </c>
      <c r="D164">
        <v>0</v>
      </c>
      <c r="E164" t="s">
        <v>104</v>
      </c>
      <c r="F164">
        <v>1</v>
      </c>
      <c r="G164" t="b">
        <v>0</v>
      </c>
      <c r="H164" t="s">
        <v>106</v>
      </c>
      <c r="I164" t="s">
        <v>114</v>
      </c>
      <c r="J164">
        <v>0.18</v>
      </c>
      <c r="K164">
        <v>0.21210000000000001</v>
      </c>
      <c r="L164">
        <v>0.55000000000000004</v>
      </c>
      <c r="M164">
        <v>8.9599999999999999E-2</v>
      </c>
      <c r="N164">
        <v>1</v>
      </c>
      <c r="O164">
        <v>15</v>
      </c>
      <c r="P164">
        <v>16</v>
      </c>
    </row>
    <row r="165" spans="1:16" x14ac:dyDescent="0.35">
      <c r="A165">
        <v>164</v>
      </c>
      <c r="B165" s="37">
        <v>40551</v>
      </c>
      <c r="C165">
        <v>1</v>
      </c>
      <c r="D165">
        <v>0</v>
      </c>
      <c r="E165" t="s">
        <v>104</v>
      </c>
      <c r="F165">
        <v>2</v>
      </c>
      <c r="G165" t="b">
        <v>0</v>
      </c>
      <c r="H165" t="s">
        <v>106</v>
      </c>
      <c r="I165" t="s">
        <v>114</v>
      </c>
      <c r="J165">
        <v>0.18</v>
      </c>
      <c r="K165">
        <v>0.2424</v>
      </c>
      <c r="L165">
        <v>0.55000000000000004</v>
      </c>
      <c r="M165">
        <v>0</v>
      </c>
      <c r="N165">
        <v>3</v>
      </c>
      <c r="O165">
        <v>13</v>
      </c>
      <c r="P165">
        <v>16</v>
      </c>
    </row>
    <row r="166" spans="1:16" x14ac:dyDescent="0.35">
      <c r="A166">
        <v>165</v>
      </c>
      <c r="B166" s="37">
        <v>40551</v>
      </c>
      <c r="C166">
        <v>1</v>
      </c>
      <c r="D166">
        <v>0</v>
      </c>
      <c r="E166" t="s">
        <v>104</v>
      </c>
      <c r="F166">
        <v>3</v>
      </c>
      <c r="G166" t="b">
        <v>0</v>
      </c>
      <c r="H166" t="s">
        <v>106</v>
      </c>
      <c r="I166" t="s">
        <v>115</v>
      </c>
      <c r="J166">
        <v>0.18</v>
      </c>
      <c r="K166">
        <v>0.19700000000000001</v>
      </c>
      <c r="L166">
        <v>0.55000000000000004</v>
      </c>
      <c r="M166">
        <v>0.16420000000000001</v>
      </c>
      <c r="N166">
        <v>0</v>
      </c>
      <c r="O166">
        <v>7</v>
      </c>
      <c r="P166">
        <v>7</v>
      </c>
    </row>
    <row r="167" spans="1:16" x14ac:dyDescent="0.35">
      <c r="A167">
        <v>166</v>
      </c>
      <c r="B167" s="37">
        <v>40551</v>
      </c>
      <c r="C167">
        <v>1</v>
      </c>
      <c r="D167">
        <v>0</v>
      </c>
      <c r="E167" t="s">
        <v>104</v>
      </c>
      <c r="F167">
        <v>4</v>
      </c>
      <c r="G167" t="b">
        <v>0</v>
      </c>
      <c r="H167" t="s">
        <v>106</v>
      </c>
      <c r="I167" t="s">
        <v>115</v>
      </c>
      <c r="J167">
        <v>0.18</v>
      </c>
      <c r="K167">
        <v>0.19700000000000001</v>
      </c>
      <c r="L167">
        <v>0.55000000000000004</v>
      </c>
      <c r="M167">
        <v>0.16420000000000001</v>
      </c>
      <c r="N167">
        <v>0</v>
      </c>
      <c r="O167">
        <v>1</v>
      </c>
      <c r="P167">
        <v>1</v>
      </c>
    </row>
    <row r="168" spans="1:16" x14ac:dyDescent="0.35">
      <c r="A168">
        <v>167</v>
      </c>
      <c r="B168" s="37">
        <v>40551</v>
      </c>
      <c r="C168">
        <v>1</v>
      </c>
      <c r="D168">
        <v>0</v>
      </c>
      <c r="E168" t="s">
        <v>104</v>
      </c>
      <c r="F168">
        <v>5</v>
      </c>
      <c r="G168" t="b">
        <v>0</v>
      </c>
      <c r="H168" t="s">
        <v>106</v>
      </c>
      <c r="I168" t="s">
        <v>114</v>
      </c>
      <c r="J168">
        <v>0.16</v>
      </c>
      <c r="K168">
        <v>0.16669999999999999</v>
      </c>
      <c r="L168">
        <v>0.74</v>
      </c>
      <c r="M168">
        <v>0.16420000000000001</v>
      </c>
      <c r="N168">
        <v>0</v>
      </c>
      <c r="O168">
        <v>5</v>
      </c>
      <c r="P168">
        <v>5</v>
      </c>
    </row>
    <row r="169" spans="1:16" x14ac:dyDescent="0.35">
      <c r="A169">
        <v>168</v>
      </c>
      <c r="B169" s="37">
        <v>40551</v>
      </c>
      <c r="C169">
        <v>1</v>
      </c>
      <c r="D169">
        <v>0</v>
      </c>
      <c r="E169" t="s">
        <v>104</v>
      </c>
      <c r="F169">
        <v>6</v>
      </c>
      <c r="G169" t="b">
        <v>0</v>
      </c>
      <c r="H169" t="s">
        <v>106</v>
      </c>
      <c r="I169" t="s">
        <v>114</v>
      </c>
      <c r="J169">
        <v>0.16</v>
      </c>
      <c r="K169">
        <v>0.16669999999999999</v>
      </c>
      <c r="L169">
        <v>0.74</v>
      </c>
      <c r="M169">
        <v>0.16420000000000001</v>
      </c>
      <c r="N169">
        <v>0</v>
      </c>
      <c r="O169">
        <v>2</v>
      </c>
      <c r="P169">
        <v>2</v>
      </c>
    </row>
    <row r="170" spans="1:16" x14ac:dyDescent="0.35">
      <c r="A170">
        <v>169</v>
      </c>
      <c r="B170" s="37">
        <v>40551</v>
      </c>
      <c r="C170">
        <v>1</v>
      </c>
      <c r="D170">
        <v>0</v>
      </c>
      <c r="E170" t="s">
        <v>104</v>
      </c>
      <c r="F170">
        <v>7</v>
      </c>
      <c r="G170" t="b">
        <v>0</v>
      </c>
      <c r="H170" t="s">
        <v>106</v>
      </c>
      <c r="I170" t="s">
        <v>114</v>
      </c>
      <c r="J170">
        <v>0.16</v>
      </c>
      <c r="K170">
        <v>0.18179999999999999</v>
      </c>
      <c r="L170">
        <v>0.74</v>
      </c>
      <c r="M170">
        <v>0.1045</v>
      </c>
      <c r="N170">
        <v>1</v>
      </c>
      <c r="O170">
        <v>8</v>
      </c>
      <c r="P170">
        <v>9</v>
      </c>
    </row>
    <row r="171" spans="1:16" x14ac:dyDescent="0.35">
      <c r="A171">
        <v>170</v>
      </c>
      <c r="B171" s="37">
        <v>40551</v>
      </c>
      <c r="C171">
        <v>1</v>
      </c>
      <c r="D171">
        <v>0</v>
      </c>
      <c r="E171" t="s">
        <v>104</v>
      </c>
      <c r="F171">
        <v>8</v>
      </c>
      <c r="G171" t="b">
        <v>0</v>
      </c>
      <c r="H171" t="s">
        <v>106</v>
      </c>
      <c r="I171" t="s">
        <v>115</v>
      </c>
      <c r="J171">
        <v>0.16</v>
      </c>
      <c r="K171">
        <v>0.18179999999999999</v>
      </c>
      <c r="L171">
        <v>0.93</v>
      </c>
      <c r="M171">
        <v>0.1045</v>
      </c>
      <c r="N171">
        <v>0</v>
      </c>
      <c r="O171">
        <v>15</v>
      </c>
      <c r="P171">
        <v>15</v>
      </c>
    </row>
    <row r="172" spans="1:16" x14ac:dyDescent="0.35">
      <c r="A172">
        <v>171</v>
      </c>
      <c r="B172" s="37">
        <v>40551</v>
      </c>
      <c r="C172">
        <v>1</v>
      </c>
      <c r="D172">
        <v>0</v>
      </c>
      <c r="E172" t="s">
        <v>104</v>
      </c>
      <c r="F172">
        <v>9</v>
      </c>
      <c r="G172" t="b">
        <v>0</v>
      </c>
      <c r="H172" t="s">
        <v>106</v>
      </c>
      <c r="I172" t="s">
        <v>115</v>
      </c>
      <c r="J172">
        <v>0.16</v>
      </c>
      <c r="K172">
        <v>0.18179999999999999</v>
      </c>
      <c r="L172">
        <v>0.93</v>
      </c>
      <c r="M172">
        <v>0.1045</v>
      </c>
      <c r="N172">
        <v>0</v>
      </c>
      <c r="O172">
        <v>20</v>
      </c>
      <c r="P172">
        <v>20</v>
      </c>
    </row>
    <row r="173" spans="1:16" x14ac:dyDescent="0.35">
      <c r="A173">
        <v>172</v>
      </c>
      <c r="B173" s="37">
        <v>40551</v>
      </c>
      <c r="C173">
        <v>1</v>
      </c>
      <c r="D173">
        <v>0</v>
      </c>
      <c r="E173" t="s">
        <v>104</v>
      </c>
      <c r="F173">
        <v>10</v>
      </c>
      <c r="G173" t="b">
        <v>0</v>
      </c>
      <c r="H173" t="s">
        <v>106</v>
      </c>
      <c r="I173" t="s">
        <v>114</v>
      </c>
      <c r="J173">
        <v>0.18</v>
      </c>
      <c r="K173">
        <v>0.19700000000000001</v>
      </c>
      <c r="L173">
        <v>0.8</v>
      </c>
      <c r="M173">
        <v>0.16420000000000001</v>
      </c>
      <c r="N173">
        <v>5</v>
      </c>
      <c r="O173">
        <v>56</v>
      </c>
      <c r="P173">
        <v>61</v>
      </c>
    </row>
    <row r="174" spans="1:16" x14ac:dyDescent="0.35">
      <c r="A174">
        <v>173</v>
      </c>
      <c r="B174" s="37">
        <v>40551</v>
      </c>
      <c r="C174">
        <v>1</v>
      </c>
      <c r="D174">
        <v>0</v>
      </c>
      <c r="E174" t="s">
        <v>104</v>
      </c>
      <c r="F174">
        <v>11</v>
      </c>
      <c r="G174" t="b">
        <v>0</v>
      </c>
      <c r="H174" t="s">
        <v>106</v>
      </c>
      <c r="I174" t="s">
        <v>114</v>
      </c>
      <c r="J174">
        <v>0.2</v>
      </c>
      <c r="K174">
        <v>0.18179999999999999</v>
      </c>
      <c r="L174">
        <v>0.69</v>
      </c>
      <c r="M174">
        <v>0.3881</v>
      </c>
      <c r="N174">
        <v>2</v>
      </c>
      <c r="O174">
        <v>60</v>
      </c>
      <c r="P174">
        <v>62</v>
      </c>
    </row>
    <row r="175" spans="1:16" x14ac:dyDescent="0.35">
      <c r="A175">
        <v>174</v>
      </c>
      <c r="B175" s="37">
        <v>40551</v>
      </c>
      <c r="C175">
        <v>1</v>
      </c>
      <c r="D175">
        <v>0</v>
      </c>
      <c r="E175" t="s">
        <v>104</v>
      </c>
      <c r="F175">
        <v>12</v>
      </c>
      <c r="G175" t="b">
        <v>0</v>
      </c>
      <c r="H175" t="s">
        <v>106</v>
      </c>
      <c r="I175" t="s">
        <v>114</v>
      </c>
      <c r="J175">
        <v>0.2</v>
      </c>
      <c r="K175">
        <v>0.18179999999999999</v>
      </c>
      <c r="L175">
        <v>0.59</v>
      </c>
      <c r="M175">
        <v>0.35820000000000002</v>
      </c>
      <c r="N175">
        <v>8</v>
      </c>
      <c r="O175">
        <v>90</v>
      </c>
      <c r="P175">
        <v>98</v>
      </c>
    </row>
    <row r="176" spans="1:16" x14ac:dyDescent="0.35">
      <c r="A176">
        <v>175</v>
      </c>
      <c r="B176" s="37">
        <v>40551</v>
      </c>
      <c r="C176">
        <v>1</v>
      </c>
      <c r="D176">
        <v>0</v>
      </c>
      <c r="E176" t="s">
        <v>104</v>
      </c>
      <c r="F176">
        <v>13</v>
      </c>
      <c r="G176" t="b">
        <v>0</v>
      </c>
      <c r="H176" t="s">
        <v>106</v>
      </c>
      <c r="I176" t="s">
        <v>113</v>
      </c>
      <c r="J176">
        <v>0.2</v>
      </c>
      <c r="K176">
        <v>0.18179999999999999</v>
      </c>
      <c r="L176">
        <v>0.44</v>
      </c>
      <c r="M176">
        <v>0.32840000000000003</v>
      </c>
      <c r="N176">
        <v>7</v>
      </c>
      <c r="O176">
        <v>95</v>
      </c>
      <c r="P176">
        <v>102</v>
      </c>
    </row>
    <row r="177" spans="1:16" x14ac:dyDescent="0.35">
      <c r="A177">
        <v>176</v>
      </c>
      <c r="B177" s="37">
        <v>40551</v>
      </c>
      <c r="C177">
        <v>1</v>
      </c>
      <c r="D177">
        <v>0</v>
      </c>
      <c r="E177" t="s">
        <v>104</v>
      </c>
      <c r="F177">
        <v>14</v>
      </c>
      <c r="G177" t="b">
        <v>0</v>
      </c>
      <c r="H177" t="s">
        <v>106</v>
      </c>
      <c r="I177" t="s">
        <v>113</v>
      </c>
      <c r="J177">
        <v>0.2</v>
      </c>
      <c r="K177">
        <v>0.16669999999999999</v>
      </c>
      <c r="L177">
        <v>0.32</v>
      </c>
      <c r="M177">
        <v>0.49249999999999999</v>
      </c>
      <c r="N177">
        <v>12</v>
      </c>
      <c r="O177">
        <v>83</v>
      </c>
      <c r="P177">
        <v>95</v>
      </c>
    </row>
    <row r="178" spans="1:16" x14ac:dyDescent="0.35">
      <c r="A178">
        <v>177</v>
      </c>
      <c r="B178" s="37">
        <v>40551</v>
      </c>
      <c r="C178">
        <v>1</v>
      </c>
      <c r="D178">
        <v>0</v>
      </c>
      <c r="E178" t="s">
        <v>104</v>
      </c>
      <c r="F178">
        <v>15</v>
      </c>
      <c r="G178" t="b">
        <v>0</v>
      </c>
      <c r="H178" t="s">
        <v>106</v>
      </c>
      <c r="I178" t="s">
        <v>113</v>
      </c>
      <c r="J178">
        <v>0.2</v>
      </c>
      <c r="K178">
        <v>0.16669999999999999</v>
      </c>
      <c r="L178">
        <v>0.32</v>
      </c>
      <c r="M178">
        <v>0.44779999999999998</v>
      </c>
      <c r="N178">
        <v>5</v>
      </c>
      <c r="O178">
        <v>69</v>
      </c>
      <c r="P178">
        <v>74</v>
      </c>
    </row>
    <row r="179" spans="1:16" x14ac:dyDescent="0.35">
      <c r="A179">
        <v>178</v>
      </c>
      <c r="B179" s="37">
        <v>40551</v>
      </c>
      <c r="C179">
        <v>1</v>
      </c>
      <c r="D179">
        <v>0</v>
      </c>
      <c r="E179" t="s">
        <v>104</v>
      </c>
      <c r="F179">
        <v>16</v>
      </c>
      <c r="G179" t="b">
        <v>0</v>
      </c>
      <c r="H179" t="s">
        <v>106</v>
      </c>
      <c r="I179" t="s">
        <v>113</v>
      </c>
      <c r="J179">
        <v>0.18</v>
      </c>
      <c r="K179">
        <v>0.13639999999999999</v>
      </c>
      <c r="L179">
        <v>0.28999999999999998</v>
      </c>
      <c r="M179">
        <v>0.44779999999999998</v>
      </c>
      <c r="N179">
        <v>8</v>
      </c>
      <c r="O179">
        <v>68</v>
      </c>
      <c r="P179">
        <v>76</v>
      </c>
    </row>
    <row r="180" spans="1:16" x14ac:dyDescent="0.35">
      <c r="A180">
        <v>179</v>
      </c>
      <c r="B180" s="37">
        <v>40551</v>
      </c>
      <c r="C180">
        <v>1</v>
      </c>
      <c r="D180">
        <v>0</v>
      </c>
      <c r="E180" t="s">
        <v>104</v>
      </c>
      <c r="F180">
        <v>17</v>
      </c>
      <c r="G180" t="b">
        <v>0</v>
      </c>
      <c r="H180" t="s">
        <v>106</v>
      </c>
      <c r="I180" t="s">
        <v>113</v>
      </c>
      <c r="J180">
        <v>0.16</v>
      </c>
      <c r="K180">
        <v>0.1212</v>
      </c>
      <c r="L180">
        <v>0.37</v>
      </c>
      <c r="M180">
        <v>0.55220000000000002</v>
      </c>
      <c r="N180">
        <v>5</v>
      </c>
      <c r="O180">
        <v>64</v>
      </c>
      <c r="P180">
        <v>69</v>
      </c>
    </row>
    <row r="181" spans="1:16" x14ac:dyDescent="0.35">
      <c r="A181">
        <v>180</v>
      </c>
      <c r="B181" s="37">
        <v>40551</v>
      </c>
      <c r="C181">
        <v>1</v>
      </c>
      <c r="D181">
        <v>0</v>
      </c>
      <c r="E181" t="s">
        <v>104</v>
      </c>
      <c r="F181">
        <v>18</v>
      </c>
      <c r="G181" t="b">
        <v>0</v>
      </c>
      <c r="H181" t="s">
        <v>106</v>
      </c>
      <c r="I181" t="s">
        <v>113</v>
      </c>
      <c r="J181">
        <v>0.14000000000000001</v>
      </c>
      <c r="K181">
        <v>0.1212</v>
      </c>
      <c r="L181">
        <v>0.39</v>
      </c>
      <c r="M181">
        <v>0.29849999999999999</v>
      </c>
      <c r="N181">
        <v>3</v>
      </c>
      <c r="O181">
        <v>52</v>
      </c>
      <c r="P181">
        <v>55</v>
      </c>
    </row>
    <row r="182" spans="1:16" x14ac:dyDescent="0.35">
      <c r="A182">
        <v>181</v>
      </c>
      <c r="B182" s="37">
        <v>40551</v>
      </c>
      <c r="C182">
        <v>1</v>
      </c>
      <c r="D182">
        <v>0</v>
      </c>
      <c r="E182" t="s">
        <v>104</v>
      </c>
      <c r="F182">
        <v>19</v>
      </c>
      <c r="G182" t="b">
        <v>0</v>
      </c>
      <c r="H182" t="s">
        <v>106</v>
      </c>
      <c r="I182" t="s">
        <v>113</v>
      </c>
      <c r="J182">
        <v>0.14000000000000001</v>
      </c>
      <c r="K182">
        <v>0.1212</v>
      </c>
      <c r="L182">
        <v>0.36</v>
      </c>
      <c r="M182">
        <v>0.25369999999999998</v>
      </c>
      <c r="N182">
        <v>4</v>
      </c>
      <c r="O182">
        <v>26</v>
      </c>
      <c r="P182">
        <v>30</v>
      </c>
    </row>
    <row r="183" spans="1:16" x14ac:dyDescent="0.35">
      <c r="A183">
        <v>182</v>
      </c>
      <c r="B183" s="37">
        <v>40551</v>
      </c>
      <c r="C183">
        <v>1</v>
      </c>
      <c r="D183">
        <v>0</v>
      </c>
      <c r="E183" t="s">
        <v>104</v>
      </c>
      <c r="F183">
        <v>20</v>
      </c>
      <c r="G183" t="b">
        <v>0</v>
      </c>
      <c r="H183" t="s">
        <v>106</v>
      </c>
      <c r="I183" t="s">
        <v>113</v>
      </c>
      <c r="J183">
        <v>0.12</v>
      </c>
      <c r="K183">
        <v>0.1212</v>
      </c>
      <c r="L183">
        <v>0.36</v>
      </c>
      <c r="M183">
        <v>0.25369999999999998</v>
      </c>
      <c r="N183">
        <v>0</v>
      </c>
      <c r="O183">
        <v>28</v>
      </c>
      <c r="P183">
        <v>28</v>
      </c>
    </row>
    <row r="184" spans="1:16" x14ac:dyDescent="0.35">
      <c r="A184">
        <v>183</v>
      </c>
      <c r="B184" s="37">
        <v>40551</v>
      </c>
      <c r="C184">
        <v>1</v>
      </c>
      <c r="D184">
        <v>0</v>
      </c>
      <c r="E184" t="s">
        <v>104</v>
      </c>
      <c r="F184">
        <v>21</v>
      </c>
      <c r="G184" t="b">
        <v>0</v>
      </c>
      <c r="H184" t="s">
        <v>106</v>
      </c>
      <c r="I184" t="s">
        <v>113</v>
      </c>
      <c r="J184">
        <v>0.12</v>
      </c>
      <c r="K184">
        <v>0.1061</v>
      </c>
      <c r="L184">
        <v>0.39</v>
      </c>
      <c r="M184">
        <v>0.35820000000000002</v>
      </c>
      <c r="N184">
        <v>2</v>
      </c>
      <c r="O184">
        <v>35</v>
      </c>
      <c r="P184">
        <v>37</v>
      </c>
    </row>
    <row r="185" spans="1:16" x14ac:dyDescent="0.35">
      <c r="A185">
        <v>184</v>
      </c>
      <c r="B185" s="37">
        <v>40551</v>
      </c>
      <c r="C185">
        <v>1</v>
      </c>
      <c r="D185">
        <v>0</v>
      </c>
      <c r="E185" t="s">
        <v>104</v>
      </c>
      <c r="F185">
        <v>22</v>
      </c>
      <c r="G185" t="b">
        <v>0</v>
      </c>
      <c r="H185" t="s">
        <v>106</v>
      </c>
      <c r="I185" t="s">
        <v>113</v>
      </c>
      <c r="J185">
        <v>0.12</v>
      </c>
      <c r="K185">
        <v>0.1061</v>
      </c>
      <c r="L185">
        <v>0.36</v>
      </c>
      <c r="M185">
        <v>0.3881</v>
      </c>
      <c r="N185">
        <v>1</v>
      </c>
      <c r="O185">
        <v>33</v>
      </c>
      <c r="P185">
        <v>34</v>
      </c>
    </row>
    <row r="186" spans="1:16" x14ac:dyDescent="0.35">
      <c r="A186">
        <v>185</v>
      </c>
      <c r="B186" s="37">
        <v>40551</v>
      </c>
      <c r="C186">
        <v>1</v>
      </c>
      <c r="D186">
        <v>0</v>
      </c>
      <c r="E186" t="s">
        <v>104</v>
      </c>
      <c r="F186">
        <v>23</v>
      </c>
      <c r="G186" t="b">
        <v>0</v>
      </c>
      <c r="H186" t="s">
        <v>106</v>
      </c>
      <c r="I186" t="s">
        <v>113</v>
      </c>
      <c r="J186">
        <v>0.1</v>
      </c>
      <c r="K186">
        <v>6.0600000000000001E-2</v>
      </c>
      <c r="L186">
        <v>0.39</v>
      </c>
      <c r="M186">
        <v>0.44779999999999998</v>
      </c>
      <c r="N186">
        <v>0</v>
      </c>
      <c r="O186">
        <v>22</v>
      </c>
      <c r="P186">
        <v>22</v>
      </c>
    </row>
    <row r="187" spans="1:16" x14ac:dyDescent="0.35">
      <c r="A187">
        <v>186</v>
      </c>
      <c r="B187" s="37">
        <v>40552</v>
      </c>
      <c r="C187">
        <v>1</v>
      </c>
      <c r="D187">
        <v>0</v>
      </c>
      <c r="E187" t="s">
        <v>104</v>
      </c>
      <c r="F187">
        <v>0</v>
      </c>
      <c r="G187" t="b">
        <v>0</v>
      </c>
      <c r="H187" t="s">
        <v>107</v>
      </c>
      <c r="I187" t="s">
        <v>113</v>
      </c>
      <c r="J187">
        <v>0.1</v>
      </c>
      <c r="K187">
        <v>7.5800000000000006E-2</v>
      </c>
      <c r="L187">
        <v>0.42</v>
      </c>
      <c r="M187">
        <v>0.3881</v>
      </c>
      <c r="N187">
        <v>1</v>
      </c>
      <c r="O187">
        <v>24</v>
      </c>
      <c r="P187">
        <v>25</v>
      </c>
    </row>
    <row r="188" spans="1:16" x14ac:dyDescent="0.35">
      <c r="A188">
        <v>187</v>
      </c>
      <c r="B188" s="37">
        <v>40552</v>
      </c>
      <c r="C188">
        <v>1</v>
      </c>
      <c r="D188">
        <v>0</v>
      </c>
      <c r="E188" t="s">
        <v>104</v>
      </c>
      <c r="F188">
        <v>1</v>
      </c>
      <c r="G188" t="b">
        <v>0</v>
      </c>
      <c r="H188" t="s">
        <v>107</v>
      </c>
      <c r="I188" t="s">
        <v>113</v>
      </c>
      <c r="J188">
        <v>0.1</v>
      </c>
      <c r="K188">
        <v>6.0600000000000001E-2</v>
      </c>
      <c r="L188">
        <v>0.42</v>
      </c>
      <c r="M188">
        <v>0.4627</v>
      </c>
      <c r="N188">
        <v>0</v>
      </c>
      <c r="O188">
        <v>12</v>
      </c>
      <c r="P188">
        <v>12</v>
      </c>
    </row>
    <row r="189" spans="1:16" x14ac:dyDescent="0.35">
      <c r="A189">
        <v>188</v>
      </c>
      <c r="B189" s="37">
        <v>40552</v>
      </c>
      <c r="C189">
        <v>1</v>
      </c>
      <c r="D189">
        <v>0</v>
      </c>
      <c r="E189" t="s">
        <v>104</v>
      </c>
      <c r="F189">
        <v>2</v>
      </c>
      <c r="G189" t="b">
        <v>0</v>
      </c>
      <c r="H189" t="s">
        <v>107</v>
      </c>
      <c r="I189" t="s">
        <v>113</v>
      </c>
      <c r="J189">
        <v>0.1</v>
      </c>
      <c r="K189">
        <v>6.0600000000000001E-2</v>
      </c>
      <c r="L189">
        <v>0.46</v>
      </c>
      <c r="M189">
        <v>0.4627</v>
      </c>
      <c r="N189">
        <v>0</v>
      </c>
      <c r="O189">
        <v>11</v>
      </c>
      <c r="P189">
        <v>11</v>
      </c>
    </row>
    <row r="190" spans="1:16" x14ac:dyDescent="0.35">
      <c r="A190">
        <v>189</v>
      </c>
      <c r="B190" s="37">
        <v>40552</v>
      </c>
      <c r="C190">
        <v>1</v>
      </c>
      <c r="D190">
        <v>0</v>
      </c>
      <c r="E190" t="s">
        <v>104</v>
      </c>
      <c r="F190">
        <v>3</v>
      </c>
      <c r="G190" t="b">
        <v>0</v>
      </c>
      <c r="H190" t="s">
        <v>107</v>
      </c>
      <c r="I190" t="s">
        <v>113</v>
      </c>
      <c r="J190">
        <v>0.1</v>
      </c>
      <c r="K190">
        <v>7.5800000000000006E-2</v>
      </c>
      <c r="L190">
        <v>0.46</v>
      </c>
      <c r="M190">
        <v>0.41789999999999999</v>
      </c>
      <c r="N190">
        <v>0</v>
      </c>
      <c r="O190">
        <v>4</v>
      </c>
      <c r="P190">
        <v>4</v>
      </c>
    </row>
    <row r="191" spans="1:16" x14ac:dyDescent="0.35">
      <c r="A191">
        <v>190</v>
      </c>
      <c r="B191" s="37">
        <v>40552</v>
      </c>
      <c r="C191">
        <v>1</v>
      </c>
      <c r="D191">
        <v>0</v>
      </c>
      <c r="E191" t="s">
        <v>104</v>
      </c>
      <c r="F191">
        <v>4</v>
      </c>
      <c r="G191" t="b">
        <v>0</v>
      </c>
      <c r="H191" t="s">
        <v>107</v>
      </c>
      <c r="I191" t="s">
        <v>113</v>
      </c>
      <c r="J191">
        <v>0.08</v>
      </c>
      <c r="K191">
        <v>9.0899999999999995E-2</v>
      </c>
      <c r="L191">
        <v>0.53</v>
      </c>
      <c r="M191">
        <v>0.19400000000000001</v>
      </c>
      <c r="N191">
        <v>0</v>
      </c>
      <c r="O191">
        <v>1</v>
      </c>
      <c r="P191">
        <v>1</v>
      </c>
    </row>
    <row r="192" spans="1:16" x14ac:dyDescent="0.35">
      <c r="A192">
        <v>191</v>
      </c>
      <c r="B192" s="37">
        <v>40552</v>
      </c>
      <c r="C192">
        <v>1</v>
      </c>
      <c r="D192">
        <v>0</v>
      </c>
      <c r="E192" t="s">
        <v>104</v>
      </c>
      <c r="F192">
        <v>5</v>
      </c>
      <c r="G192" t="b">
        <v>0</v>
      </c>
      <c r="H192" t="s">
        <v>107</v>
      </c>
      <c r="I192" t="s">
        <v>113</v>
      </c>
      <c r="J192">
        <v>0.08</v>
      </c>
      <c r="K192">
        <v>9.0899999999999995E-2</v>
      </c>
      <c r="L192">
        <v>0.53</v>
      </c>
      <c r="M192">
        <v>0.19400000000000001</v>
      </c>
      <c r="N192">
        <v>0</v>
      </c>
      <c r="O192">
        <v>1</v>
      </c>
      <c r="P192">
        <v>1</v>
      </c>
    </row>
    <row r="193" spans="1:16" x14ac:dyDescent="0.35">
      <c r="A193">
        <v>192</v>
      </c>
      <c r="B193" s="37">
        <v>40552</v>
      </c>
      <c r="C193">
        <v>1</v>
      </c>
      <c r="D193">
        <v>0</v>
      </c>
      <c r="E193" t="s">
        <v>104</v>
      </c>
      <c r="F193">
        <v>6</v>
      </c>
      <c r="G193" t="b">
        <v>0</v>
      </c>
      <c r="H193" t="s">
        <v>107</v>
      </c>
      <c r="I193" t="s">
        <v>113</v>
      </c>
      <c r="J193">
        <v>0.1</v>
      </c>
      <c r="K193">
        <v>9.0899999999999995E-2</v>
      </c>
      <c r="L193">
        <v>0.49</v>
      </c>
      <c r="M193">
        <v>0.28360000000000002</v>
      </c>
      <c r="N193">
        <v>0</v>
      </c>
      <c r="O193">
        <v>1</v>
      </c>
      <c r="P193">
        <v>1</v>
      </c>
    </row>
    <row r="194" spans="1:16" x14ac:dyDescent="0.35">
      <c r="A194">
        <v>193</v>
      </c>
      <c r="B194" s="37">
        <v>40552</v>
      </c>
      <c r="C194">
        <v>1</v>
      </c>
      <c r="D194">
        <v>0</v>
      </c>
      <c r="E194" t="s">
        <v>104</v>
      </c>
      <c r="F194">
        <v>7</v>
      </c>
      <c r="G194" t="b">
        <v>0</v>
      </c>
      <c r="H194" t="s">
        <v>107</v>
      </c>
      <c r="I194" t="s">
        <v>113</v>
      </c>
      <c r="J194">
        <v>0.08</v>
      </c>
      <c r="K194">
        <v>9.0899999999999995E-2</v>
      </c>
      <c r="L194">
        <v>0.53</v>
      </c>
      <c r="M194">
        <v>0.19400000000000001</v>
      </c>
      <c r="N194">
        <v>1</v>
      </c>
      <c r="O194">
        <v>5</v>
      </c>
      <c r="P194">
        <v>6</v>
      </c>
    </row>
    <row r="195" spans="1:16" x14ac:dyDescent="0.35">
      <c r="A195">
        <v>194</v>
      </c>
      <c r="B195" s="37">
        <v>40552</v>
      </c>
      <c r="C195">
        <v>1</v>
      </c>
      <c r="D195">
        <v>0</v>
      </c>
      <c r="E195" t="s">
        <v>104</v>
      </c>
      <c r="F195">
        <v>8</v>
      </c>
      <c r="G195" t="b">
        <v>0</v>
      </c>
      <c r="H195" t="s">
        <v>107</v>
      </c>
      <c r="I195" t="s">
        <v>113</v>
      </c>
      <c r="J195">
        <v>0.1</v>
      </c>
      <c r="K195">
        <v>9.0899999999999995E-2</v>
      </c>
      <c r="L195">
        <v>0.49</v>
      </c>
      <c r="M195">
        <v>0.28360000000000002</v>
      </c>
      <c r="N195">
        <v>0</v>
      </c>
      <c r="O195">
        <v>10</v>
      </c>
      <c r="P195">
        <v>10</v>
      </c>
    </row>
    <row r="196" spans="1:16" x14ac:dyDescent="0.35">
      <c r="A196">
        <v>195</v>
      </c>
      <c r="B196" s="37">
        <v>40552</v>
      </c>
      <c r="C196">
        <v>1</v>
      </c>
      <c r="D196">
        <v>0</v>
      </c>
      <c r="E196" t="s">
        <v>104</v>
      </c>
      <c r="F196">
        <v>9</v>
      </c>
      <c r="G196" t="b">
        <v>0</v>
      </c>
      <c r="H196" t="s">
        <v>107</v>
      </c>
      <c r="I196" t="s">
        <v>113</v>
      </c>
      <c r="J196">
        <v>0.12</v>
      </c>
      <c r="K196">
        <v>7.5800000000000006E-2</v>
      </c>
      <c r="L196">
        <v>0.46</v>
      </c>
      <c r="M196">
        <v>0.52239999999999998</v>
      </c>
      <c r="N196">
        <v>0</v>
      </c>
      <c r="O196">
        <v>19</v>
      </c>
      <c r="P196">
        <v>19</v>
      </c>
    </row>
    <row r="197" spans="1:16" x14ac:dyDescent="0.35">
      <c r="A197">
        <v>196</v>
      </c>
      <c r="B197" s="37">
        <v>40552</v>
      </c>
      <c r="C197">
        <v>1</v>
      </c>
      <c r="D197">
        <v>0</v>
      </c>
      <c r="E197" t="s">
        <v>104</v>
      </c>
      <c r="F197">
        <v>10</v>
      </c>
      <c r="G197" t="b">
        <v>0</v>
      </c>
      <c r="H197" t="s">
        <v>107</v>
      </c>
      <c r="I197" t="s">
        <v>113</v>
      </c>
      <c r="J197">
        <v>0.14000000000000001</v>
      </c>
      <c r="K197">
        <v>0.1061</v>
      </c>
      <c r="L197">
        <v>0.43</v>
      </c>
      <c r="M197">
        <v>0.3881</v>
      </c>
      <c r="N197">
        <v>0</v>
      </c>
      <c r="O197">
        <v>49</v>
      </c>
      <c r="P197">
        <v>49</v>
      </c>
    </row>
    <row r="198" spans="1:16" x14ac:dyDescent="0.35">
      <c r="A198">
        <v>197</v>
      </c>
      <c r="B198" s="37">
        <v>40552</v>
      </c>
      <c r="C198">
        <v>1</v>
      </c>
      <c r="D198">
        <v>0</v>
      </c>
      <c r="E198" t="s">
        <v>104</v>
      </c>
      <c r="F198">
        <v>11</v>
      </c>
      <c r="G198" t="b">
        <v>0</v>
      </c>
      <c r="H198" t="s">
        <v>107</v>
      </c>
      <c r="I198" t="s">
        <v>113</v>
      </c>
      <c r="J198">
        <v>0.16</v>
      </c>
      <c r="K198">
        <v>0.1212</v>
      </c>
      <c r="L198">
        <v>0.4</v>
      </c>
      <c r="M198">
        <v>0.52239999999999998</v>
      </c>
      <c r="N198">
        <v>2</v>
      </c>
      <c r="O198">
        <v>47</v>
      </c>
      <c r="P198">
        <v>49</v>
      </c>
    </row>
    <row r="199" spans="1:16" x14ac:dyDescent="0.35">
      <c r="A199">
        <v>198</v>
      </c>
      <c r="B199" s="37">
        <v>40552</v>
      </c>
      <c r="C199">
        <v>1</v>
      </c>
      <c r="D199">
        <v>0</v>
      </c>
      <c r="E199" t="s">
        <v>104</v>
      </c>
      <c r="F199">
        <v>12</v>
      </c>
      <c r="G199" t="b">
        <v>0</v>
      </c>
      <c r="H199" t="s">
        <v>107</v>
      </c>
      <c r="I199" t="s">
        <v>113</v>
      </c>
      <c r="J199">
        <v>0.18</v>
      </c>
      <c r="K199">
        <v>0.13639999999999999</v>
      </c>
      <c r="L199">
        <v>0.37</v>
      </c>
      <c r="M199">
        <v>0.44779999999999998</v>
      </c>
      <c r="N199">
        <v>4</v>
      </c>
      <c r="O199">
        <v>79</v>
      </c>
      <c r="P199">
        <v>83</v>
      </c>
    </row>
    <row r="200" spans="1:16" x14ac:dyDescent="0.35">
      <c r="A200">
        <v>199</v>
      </c>
      <c r="B200" s="37">
        <v>40552</v>
      </c>
      <c r="C200">
        <v>1</v>
      </c>
      <c r="D200">
        <v>0</v>
      </c>
      <c r="E200" t="s">
        <v>104</v>
      </c>
      <c r="F200">
        <v>13</v>
      </c>
      <c r="G200" t="b">
        <v>0</v>
      </c>
      <c r="H200" t="s">
        <v>107</v>
      </c>
      <c r="I200" t="s">
        <v>113</v>
      </c>
      <c r="J200">
        <v>0.2</v>
      </c>
      <c r="K200">
        <v>0.16669999999999999</v>
      </c>
      <c r="L200">
        <v>0.34</v>
      </c>
      <c r="M200">
        <v>0.44779999999999998</v>
      </c>
      <c r="N200">
        <v>6</v>
      </c>
      <c r="O200">
        <v>69</v>
      </c>
      <c r="P200">
        <v>75</v>
      </c>
    </row>
    <row r="201" spans="1:16" x14ac:dyDescent="0.35">
      <c r="A201">
        <v>200</v>
      </c>
      <c r="B201" s="37">
        <v>40552</v>
      </c>
      <c r="C201">
        <v>1</v>
      </c>
      <c r="D201">
        <v>0</v>
      </c>
      <c r="E201" t="s">
        <v>104</v>
      </c>
      <c r="F201">
        <v>14</v>
      </c>
      <c r="G201" t="b">
        <v>0</v>
      </c>
      <c r="H201" t="s">
        <v>107</v>
      </c>
      <c r="I201" t="s">
        <v>113</v>
      </c>
      <c r="J201">
        <v>0.22</v>
      </c>
      <c r="K201">
        <v>0.18179999999999999</v>
      </c>
      <c r="L201">
        <v>0.32</v>
      </c>
      <c r="M201">
        <v>0.4627</v>
      </c>
      <c r="N201">
        <v>8</v>
      </c>
      <c r="O201">
        <v>64</v>
      </c>
      <c r="P201">
        <v>72</v>
      </c>
    </row>
    <row r="202" spans="1:16" x14ac:dyDescent="0.35">
      <c r="A202">
        <v>201</v>
      </c>
      <c r="B202" s="37">
        <v>40552</v>
      </c>
      <c r="C202">
        <v>1</v>
      </c>
      <c r="D202">
        <v>0</v>
      </c>
      <c r="E202" t="s">
        <v>104</v>
      </c>
      <c r="F202">
        <v>15</v>
      </c>
      <c r="G202" t="b">
        <v>0</v>
      </c>
      <c r="H202" t="s">
        <v>107</v>
      </c>
      <c r="I202" t="s">
        <v>113</v>
      </c>
      <c r="J202">
        <v>0.22</v>
      </c>
      <c r="K202">
        <v>0.19700000000000001</v>
      </c>
      <c r="L202">
        <v>0.35</v>
      </c>
      <c r="M202">
        <v>0.35820000000000002</v>
      </c>
      <c r="N202">
        <v>5</v>
      </c>
      <c r="O202">
        <v>77</v>
      </c>
      <c r="P202">
        <v>82</v>
      </c>
    </row>
    <row r="203" spans="1:16" x14ac:dyDescent="0.35">
      <c r="A203">
        <v>202</v>
      </c>
      <c r="B203" s="37">
        <v>40552</v>
      </c>
      <c r="C203">
        <v>1</v>
      </c>
      <c r="D203">
        <v>0</v>
      </c>
      <c r="E203" t="s">
        <v>104</v>
      </c>
      <c r="F203">
        <v>16</v>
      </c>
      <c r="G203" t="b">
        <v>0</v>
      </c>
      <c r="H203" t="s">
        <v>107</v>
      </c>
      <c r="I203" t="s">
        <v>113</v>
      </c>
      <c r="J203">
        <v>0.2</v>
      </c>
      <c r="K203">
        <v>0.16669999999999999</v>
      </c>
      <c r="L203">
        <v>0.34</v>
      </c>
      <c r="M203">
        <v>0.44779999999999998</v>
      </c>
      <c r="N203">
        <v>13</v>
      </c>
      <c r="O203">
        <v>79</v>
      </c>
      <c r="P203">
        <v>92</v>
      </c>
    </row>
    <row r="204" spans="1:16" x14ac:dyDescent="0.35">
      <c r="A204">
        <v>203</v>
      </c>
      <c r="B204" s="37">
        <v>40552</v>
      </c>
      <c r="C204">
        <v>1</v>
      </c>
      <c r="D204">
        <v>0</v>
      </c>
      <c r="E204" t="s">
        <v>104</v>
      </c>
      <c r="F204">
        <v>17</v>
      </c>
      <c r="G204" t="b">
        <v>0</v>
      </c>
      <c r="H204" t="s">
        <v>107</v>
      </c>
      <c r="I204" t="s">
        <v>113</v>
      </c>
      <c r="J204">
        <v>0.18</v>
      </c>
      <c r="K204">
        <v>0.1515</v>
      </c>
      <c r="L204">
        <v>0.37</v>
      </c>
      <c r="M204">
        <v>0.3881</v>
      </c>
      <c r="N204">
        <v>3</v>
      </c>
      <c r="O204">
        <v>59</v>
      </c>
      <c r="P204">
        <v>62</v>
      </c>
    </row>
    <row r="205" spans="1:16" x14ac:dyDescent="0.35">
      <c r="A205">
        <v>204</v>
      </c>
      <c r="B205" s="37">
        <v>40552</v>
      </c>
      <c r="C205">
        <v>1</v>
      </c>
      <c r="D205">
        <v>0</v>
      </c>
      <c r="E205" t="s">
        <v>104</v>
      </c>
      <c r="F205">
        <v>18</v>
      </c>
      <c r="G205" t="b">
        <v>0</v>
      </c>
      <c r="H205" t="s">
        <v>107</v>
      </c>
      <c r="I205" t="s">
        <v>113</v>
      </c>
      <c r="J205">
        <v>0.16</v>
      </c>
      <c r="K205">
        <v>0.13639999999999999</v>
      </c>
      <c r="L205">
        <v>0.4</v>
      </c>
      <c r="M205">
        <v>0.32840000000000003</v>
      </c>
      <c r="N205">
        <v>4</v>
      </c>
      <c r="O205">
        <v>44</v>
      </c>
      <c r="P205">
        <v>48</v>
      </c>
    </row>
    <row r="206" spans="1:16" x14ac:dyDescent="0.35">
      <c r="A206">
        <v>205</v>
      </c>
      <c r="B206" s="37">
        <v>40552</v>
      </c>
      <c r="C206">
        <v>1</v>
      </c>
      <c r="D206">
        <v>0</v>
      </c>
      <c r="E206" t="s">
        <v>104</v>
      </c>
      <c r="F206">
        <v>19</v>
      </c>
      <c r="G206" t="b">
        <v>0</v>
      </c>
      <c r="H206" t="s">
        <v>107</v>
      </c>
      <c r="I206" t="s">
        <v>113</v>
      </c>
      <c r="J206">
        <v>0.16</v>
      </c>
      <c r="K206">
        <v>0.13639999999999999</v>
      </c>
      <c r="L206">
        <v>0.43</v>
      </c>
      <c r="M206">
        <v>0.32840000000000003</v>
      </c>
      <c r="N206">
        <v>1</v>
      </c>
      <c r="O206">
        <v>40</v>
      </c>
      <c r="P206">
        <v>41</v>
      </c>
    </row>
    <row r="207" spans="1:16" x14ac:dyDescent="0.35">
      <c r="A207">
        <v>206</v>
      </c>
      <c r="B207" s="37">
        <v>40552</v>
      </c>
      <c r="C207">
        <v>1</v>
      </c>
      <c r="D207">
        <v>0</v>
      </c>
      <c r="E207" t="s">
        <v>104</v>
      </c>
      <c r="F207">
        <v>20</v>
      </c>
      <c r="G207" t="b">
        <v>0</v>
      </c>
      <c r="H207" t="s">
        <v>107</v>
      </c>
      <c r="I207" t="s">
        <v>113</v>
      </c>
      <c r="J207">
        <v>0.14000000000000001</v>
      </c>
      <c r="K207">
        <v>0.1212</v>
      </c>
      <c r="L207">
        <v>0.46</v>
      </c>
      <c r="M207">
        <v>0.25369999999999998</v>
      </c>
      <c r="N207">
        <v>0</v>
      </c>
      <c r="O207">
        <v>38</v>
      </c>
      <c r="P207">
        <v>38</v>
      </c>
    </row>
    <row r="208" spans="1:16" x14ac:dyDescent="0.35">
      <c r="A208">
        <v>207</v>
      </c>
      <c r="B208" s="37">
        <v>40552</v>
      </c>
      <c r="C208">
        <v>1</v>
      </c>
      <c r="D208">
        <v>0</v>
      </c>
      <c r="E208" t="s">
        <v>104</v>
      </c>
      <c r="F208">
        <v>21</v>
      </c>
      <c r="G208" t="b">
        <v>0</v>
      </c>
      <c r="H208" t="s">
        <v>107</v>
      </c>
      <c r="I208" t="s">
        <v>113</v>
      </c>
      <c r="J208">
        <v>0.14000000000000001</v>
      </c>
      <c r="K208">
        <v>0.1061</v>
      </c>
      <c r="L208">
        <v>0.46</v>
      </c>
      <c r="M208">
        <v>0.41789999999999999</v>
      </c>
      <c r="N208">
        <v>1</v>
      </c>
      <c r="O208">
        <v>19</v>
      </c>
      <c r="P208">
        <v>20</v>
      </c>
    </row>
    <row r="209" spans="1:16" x14ac:dyDescent="0.35">
      <c r="A209">
        <v>208</v>
      </c>
      <c r="B209" s="37">
        <v>40552</v>
      </c>
      <c r="C209">
        <v>1</v>
      </c>
      <c r="D209">
        <v>0</v>
      </c>
      <c r="E209" t="s">
        <v>104</v>
      </c>
      <c r="F209">
        <v>22</v>
      </c>
      <c r="G209" t="b">
        <v>0</v>
      </c>
      <c r="H209" t="s">
        <v>107</v>
      </c>
      <c r="I209" t="s">
        <v>113</v>
      </c>
      <c r="J209">
        <v>0.14000000000000001</v>
      </c>
      <c r="K209">
        <v>0.1212</v>
      </c>
      <c r="L209">
        <v>0.46</v>
      </c>
      <c r="M209">
        <v>0.29849999999999999</v>
      </c>
      <c r="N209">
        <v>5</v>
      </c>
      <c r="O209">
        <v>10</v>
      </c>
      <c r="P209">
        <v>15</v>
      </c>
    </row>
    <row r="210" spans="1:16" x14ac:dyDescent="0.35">
      <c r="A210">
        <v>209</v>
      </c>
      <c r="B210" s="37">
        <v>40552</v>
      </c>
      <c r="C210">
        <v>1</v>
      </c>
      <c r="D210">
        <v>0</v>
      </c>
      <c r="E210" t="s">
        <v>104</v>
      </c>
      <c r="F210">
        <v>23</v>
      </c>
      <c r="G210" t="b">
        <v>0</v>
      </c>
      <c r="H210" t="s">
        <v>107</v>
      </c>
      <c r="I210" t="s">
        <v>113</v>
      </c>
      <c r="J210">
        <v>0.12</v>
      </c>
      <c r="K210">
        <v>0.13639999999999999</v>
      </c>
      <c r="L210">
        <v>0.5</v>
      </c>
      <c r="M210">
        <v>0.19400000000000001</v>
      </c>
      <c r="N210">
        <v>0</v>
      </c>
      <c r="O210">
        <v>6</v>
      </c>
      <c r="P210">
        <v>6</v>
      </c>
    </row>
    <row r="211" spans="1:16" x14ac:dyDescent="0.35">
      <c r="A211">
        <v>210</v>
      </c>
      <c r="B211" s="37">
        <v>40553</v>
      </c>
      <c r="C211">
        <v>1</v>
      </c>
      <c r="D211">
        <v>0</v>
      </c>
      <c r="E211" t="s">
        <v>104</v>
      </c>
      <c r="F211">
        <v>0</v>
      </c>
      <c r="G211" t="b">
        <v>0</v>
      </c>
      <c r="H211" t="s">
        <v>108</v>
      </c>
      <c r="I211" t="s">
        <v>113</v>
      </c>
      <c r="J211">
        <v>0.12</v>
      </c>
      <c r="K211">
        <v>0.1212</v>
      </c>
      <c r="L211">
        <v>0.5</v>
      </c>
      <c r="M211">
        <v>0.28360000000000002</v>
      </c>
      <c r="N211">
        <v>2</v>
      </c>
      <c r="O211">
        <v>3</v>
      </c>
      <c r="P211">
        <v>5</v>
      </c>
    </row>
    <row r="212" spans="1:16" x14ac:dyDescent="0.35">
      <c r="A212">
        <v>211</v>
      </c>
      <c r="B212" s="37">
        <v>40553</v>
      </c>
      <c r="C212">
        <v>1</v>
      </c>
      <c r="D212">
        <v>0</v>
      </c>
      <c r="E212" t="s">
        <v>104</v>
      </c>
      <c r="F212">
        <v>1</v>
      </c>
      <c r="G212" t="b">
        <v>0</v>
      </c>
      <c r="H212" t="s">
        <v>108</v>
      </c>
      <c r="I212" t="s">
        <v>113</v>
      </c>
      <c r="J212">
        <v>0.12</v>
      </c>
      <c r="K212">
        <v>0.1212</v>
      </c>
      <c r="L212">
        <v>0.5</v>
      </c>
      <c r="M212">
        <v>0.28360000000000002</v>
      </c>
      <c r="N212">
        <v>1</v>
      </c>
      <c r="O212">
        <v>0</v>
      </c>
      <c r="P212">
        <v>1</v>
      </c>
    </row>
    <row r="213" spans="1:16" x14ac:dyDescent="0.35">
      <c r="A213">
        <v>212</v>
      </c>
      <c r="B213" s="37">
        <v>40553</v>
      </c>
      <c r="C213">
        <v>1</v>
      </c>
      <c r="D213">
        <v>0</v>
      </c>
      <c r="E213" t="s">
        <v>104</v>
      </c>
      <c r="F213">
        <v>2</v>
      </c>
      <c r="G213" t="b">
        <v>0</v>
      </c>
      <c r="H213" t="s">
        <v>108</v>
      </c>
      <c r="I213" t="s">
        <v>113</v>
      </c>
      <c r="J213">
        <v>0.12</v>
      </c>
      <c r="K213">
        <v>0.1212</v>
      </c>
      <c r="L213">
        <v>0.5</v>
      </c>
      <c r="M213">
        <v>0.22389999999999999</v>
      </c>
      <c r="N213">
        <v>0</v>
      </c>
      <c r="O213">
        <v>3</v>
      </c>
      <c r="P213">
        <v>3</v>
      </c>
    </row>
    <row r="214" spans="1:16" x14ac:dyDescent="0.35">
      <c r="A214">
        <v>213</v>
      </c>
      <c r="B214" s="37">
        <v>40553</v>
      </c>
      <c r="C214">
        <v>1</v>
      </c>
      <c r="D214">
        <v>0</v>
      </c>
      <c r="E214" t="s">
        <v>104</v>
      </c>
      <c r="F214">
        <v>3</v>
      </c>
      <c r="G214" t="b">
        <v>0</v>
      </c>
      <c r="H214" t="s">
        <v>108</v>
      </c>
      <c r="I214" t="s">
        <v>113</v>
      </c>
      <c r="J214">
        <v>0.12</v>
      </c>
      <c r="K214">
        <v>0.1212</v>
      </c>
      <c r="L214">
        <v>0.5</v>
      </c>
      <c r="M214">
        <v>0.22389999999999999</v>
      </c>
      <c r="N214">
        <v>0</v>
      </c>
      <c r="O214">
        <v>1</v>
      </c>
      <c r="P214">
        <v>1</v>
      </c>
    </row>
    <row r="215" spans="1:16" x14ac:dyDescent="0.35">
      <c r="A215">
        <v>214</v>
      </c>
      <c r="B215" s="37">
        <v>40553</v>
      </c>
      <c r="C215">
        <v>1</v>
      </c>
      <c r="D215">
        <v>0</v>
      </c>
      <c r="E215" t="s">
        <v>104</v>
      </c>
      <c r="F215">
        <v>4</v>
      </c>
      <c r="G215" t="b">
        <v>0</v>
      </c>
      <c r="H215" t="s">
        <v>108</v>
      </c>
      <c r="I215" t="s">
        <v>113</v>
      </c>
      <c r="J215">
        <v>0.1</v>
      </c>
      <c r="K215">
        <v>0.1212</v>
      </c>
      <c r="L215">
        <v>0.54</v>
      </c>
      <c r="M215">
        <v>0.1343</v>
      </c>
      <c r="N215">
        <v>1</v>
      </c>
      <c r="O215">
        <v>2</v>
      </c>
      <c r="P215">
        <v>3</v>
      </c>
    </row>
    <row r="216" spans="1:16" x14ac:dyDescent="0.35">
      <c r="A216">
        <v>215</v>
      </c>
      <c r="B216" s="37">
        <v>40553</v>
      </c>
      <c r="C216">
        <v>1</v>
      </c>
      <c r="D216">
        <v>0</v>
      </c>
      <c r="E216" t="s">
        <v>104</v>
      </c>
      <c r="F216">
        <v>5</v>
      </c>
      <c r="G216" t="b">
        <v>0</v>
      </c>
      <c r="H216" t="s">
        <v>108</v>
      </c>
      <c r="I216" t="s">
        <v>113</v>
      </c>
      <c r="J216">
        <v>0.1</v>
      </c>
      <c r="K216">
        <v>0.1061</v>
      </c>
      <c r="L216">
        <v>0.54</v>
      </c>
      <c r="M216">
        <v>0.25369999999999998</v>
      </c>
      <c r="N216">
        <v>0</v>
      </c>
      <c r="O216">
        <v>3</v>
      </c>
      <c r="P216">
        <v>3</v>
      </c>
    </row>
    <row r="217" spans="1:16" x14ac:dyDescent="0.35">
      <c r="A217">
        <v>216</v>
      </c>
      <c r="B217" s="37">
        <v>40553</v>
      </c>
      <c r="C217">
        <v>1</v>
      </c>
      <c r="D217">
        <v>0</v>
      </c>
      <c r="E217" t="s">
        <v>104</v>
      </c>
      <c r="F217">
        <v>6</v>
      </c>
      <c r="G217" t="b">
        <v>0</v>
      </c>
      <c r="H217" t="s">
        <v>108</v>
      </c>
      <c r="I217" t="s">
        <v>113</v>
      </c>
      <c r="J217">
        <v>0.12</v>
      </c>
      <c r="K217">
        <v>0.1212</v>
      </c>
      <c r="L217">
        <v>0.5</v>
      </c>
      <c r="M217">
        <v>0.28360000000000002</v>
      </c>
      <c r="N217">
        <v>0</v>
      </c>
      <c r="O217">
        <v>31</v>
      </c>
      <c r="P217">
        <v>31</v>
      </c>
    </row>
    <row r="218" spans="1:16" x14ac:dyDescent="0.35">
      <c r="A218">
        <v>217</v>
      </c>
      <c r="B218" s="37">
        <v>40553</v>
      </c>
      <c r="C218">
        <v>1</v>
      </c>
      <c r="D218">
        <v>0</v>
      </c>
      <c r="E218" t="s">
        <v>104</v>
      </c>
      <c r="F218">
        <v>7</v>
      </c>
      <c r="G218" t="b">
        <v>0</v>
      </c>
      <c r="H218" t="s">
        <v>108</v>
      </c>
      <c r="I218" t="s">
        <v>113</v>
      </c>
      <c r="J218">
        <v>0.12</v>
      </c>
      <c r="K218">
        <v>0.1212</v>
      </c>
      <c r="L218">
        <v>0.5</v>
      </c>
      <c r="M218">
        <v>0.22389999999999999</v>
      </c>
      <c r="N218">
        <v>2</v>
      </c>
      <c r="O218">
        <v>75</v>
      </c>
      <c r="P218">
        <v>77</v>
      </c>
    </row>
    <row r="219" spans="1:16" x14ac:dyDescent="0.35">
      <c r="A219">
        <v>218</v>
      </c>
      <c r="B219" s="37">
        <v>40553</v>
      </c>
      <c r="C219">
        <v>1</v>
      </c>
      <c r="D219">
        <v>0</v>
      </c>
      <c r="E219" t="s">
        <v>104</v>
      </c>
      <c r="F219">
        <v>8</v>
      </c>
      <c r="G219" t="b">
        <v>0</v>
      </c>
      <c r="H219" t="s">
        <v>108</v>
      </c>
      <c r="I219" t="s">
        <v>114</v>
      </c>
      <c r="J219">
        <v>0.12</v>
      </c>
      <c r="K219">
        <v>0.1212</v>
      </c>
      <c r="L219">
        <v>0.5</v>
      </c>
      <c r="M219">
        <v>0.28360000000000002</v>
      </c>
      <c r="N219">
        <v>4</v>
      </c>
      <c r="O219">
        <v>184</v>
      </c>
      <c r="P219">
        <v>188</v>
      </c>
    </row>
    <row r="220" spans="1:16" x14ac:dyDescent="0.35">
      <c r="A220">
        <v>219</v>
      </c>
      <c r="B220" s="37">
        <v>40553</v>
      </c>
      <c r="C220">
        <v>1</v>
      </c>
      <c r="D220">
        <v>0</v>
      </c>
      <c r="E220" t="s">
        <v>104</v>
      </c>
      <c r="F220">
        <v>9</v>
      </c>
      <c r="G220" t="b">
        <v>0</v>
      </c>
      <c r="H220" t="s">
        <v>108</v>
      </c>
      <c r="I220" t="s">
        <v>114</v>
      </c>
      <c r="J220">
        <v>0.14000000000000001</v>
      </c>
      <c r="K220">
        <v>0.1212</v>
      </c>
      <c r="L220">
        <v>0.5</v>
      </c>
      <c r="M220">
        <v>0.25369999999999998</v>
      </c>
      <c r="N220">
        <v>2</v>
      </c>
      <c r="O220">
        <v>92</v>
      </c>
      <c r="P220">
        <v>94</v>
      </c>
    </row>
    <row r="221" spans="1:16" x14ac:dyDescent="0.35">
      <c r="A221">
        <v>220</v>
      </c>
      <c r="B221" s="37">
        <v>40553</v>
      </c>
      <c r="C221">
        <v>1</v>
      </c>
      <c r="D221">
        <v>0</v>
      </c>
      <c r="E221" t="s">
        <v>104</v>
      </c>
      <c r="F221">
        <v>10</v>
      </c>
      <c r="G221" t="b">
        <v>0</v>
      </c>
      <c r="H221" t="s">
        <v>108</v>
      </c>
      <c r="I221" t="s">
        <v>114</v>
      </c>
      <c r="J221">
        <v>0.14000000000000001</v>
      </c>
      <c r="K221">
        <v>0.1212</v>
      </c>
      <c r="L221">
        <v>0.5</v>
      </c>
      <c r="M221">
        <v>0.29849999999999999</v>
      </c>
      <c r="N221">
        <v>0</v>
      </c>
      <c r="O221">
        <v>31</v>
      </c>
      <c r="P221">
        <v>31</v>
      </c>
    </row>
    <row r="222" spans="1:16" x14ac:dyDescent="0.35">
      <c r="A222">
        <v>221</v>
      </c>
      <c r="B222" s="37">
        <v>40553</v>
      </c>
      <c r="C222">
        <v>1</v>
      </c>
      <c r="D222">
        <v>0</v>
      </c>
      <c r="E222" t="s">
        <v>104</v>
      </c>
      <c r="F222">
        <v>11</v>
      </c>
      <c r="G222" t="b">
        <v>0</v>
      </c>
      <c r="H222" t="s">
        <v>108</v>
      </c>
      <c r="I222" t="s">
        <v>114</v>
      </c>
      <c r="J222">
        <v>0.16</v>
      </c>
      <c r="K222">
        <v>0.13639999999999999</v>
      </c>
      <c r="L222">
        <v>0.47</v>
      </c>
      <c r="M222">
        <v>0.28360000000000002</v>
      </c>
      <c r="N222">
        <v>2</v>
      </c>
      <c r="O222">
        <v>28</v>
      </c>
      <c r="P222">
        <v>30</v>
      </c>
    </row>
    <row r="223" spans="1:16" x14ac:dyDescent="0.35">
      <c r="A223">
        <v>222</v>
      </c>
      <c r="B223" s="37">
        <v>40553</v>
      </c>
      <c r="C223">
        <v>1</v>
      </c>
      <c r="D223">
        <v>0</v>
      </c>
      <c r="E223" t="s">
        <v>104</v>
      </c>
      <c r="F223">
        <v>12</v>
      </c>
      <c r="G223" t="b">
        <v>0</v>
      </c>
      <c r="H223" t="s">
        <v>108</v>
      </c>
      <c r="I223" t="s">
        <v>114</v>
      </c>
      <c r="J223">
        <v>0.2</v>
      </c>
      <c r="K223">
        <v>0.18179999999999999</v>
      </c>
      <c r="L223">
        <v>0.4</v>
      </c>
      <c r="M223">
        <v>0.28360000000000002</v>
      </c>
      <c r="N223">
        <v>5</v>
      </c>
      <c r="O223">
        <v>47</v>
      </c>
      <c r="P223">
        <v>52</v>
      </c>
    </row>
    <row r="224" spans="1:16" x14ac:dyDescent="0.35">
      <c r="A224">
        <v>223</v>
      </c>
      <c r="B224" s="37">
        <v>40553</v>
      </c>
      <c r="C224">
        <v>1</v>
      </c>
      <c r="D224">
        <v>0</v>
      </c>
      <c r="E224" t="s">
        <v>104</v>
      </c>
      <c r="F224">
        <v>13</v>
      </c>
      <c r="G224" t="b">
        <v>0</v>
      </c>
      <c r="H224" t="s">
        <v>108</v>
      </c>
      <c r="I224" t="s">
        <v>114</v>
      </c>
      <c r="J224">
        <v>0.2</v>
      </c>
      <c r="K224">
        <v>0.18179999999999999</v>
      </c>
      <c r="L224">
        <v>0.4</v>
      </c>
      <c r="M224">
        <v>0.28360000000000002</v>
      </c>
      <c r="N224">
        <v>4</v>
      </c>
      <c r="O224">
        <v>50</v>
      </c>
      <c r="P224">
        <v>54</v>
      </c>
    </row>
    <row r="225" spans="1:16" x14ac:dyDescent="0.35">
      <c r="A225">
        <v>224</v>
      </c>
      <c r="B225" s="37">
        <v>40553</v>
      </c>
      <c r="C225">
        <v>1</v>
      </c>
      <c r="D225">
        <v>0</v>
      </c>
      <c r="E225" t="s">
        <v>104</v>
      </c>
      <c r="F225">
        <v>14</v>
      </c>
      <c r="G225" t="b">
        <v>0</v>
      </c>
      <c r="H225" t="s">
        <v>108</v>
      </c>
      <c r="I225" t="s">
        <v>114</v>
      </c>
      <c r="J225">
        <v>0.2</v>
      </c>
      <c r="K225">
        <v>0.19700000000000001</v>
      </c>
      <c r="L225">
        <v>0.4</v>
      </c>
      <c r="M225">
        <v>0.22389999999999999</v>
      </c>
      <c r="N225">
        <v>0</v>
      </c>
      <c r="O225">
        <v>47</v>
      </c>
      <c r="P225">
        <v>47</v>
      </c>
    </row>
    <row r="226" spans="1:16" x14ac:dyDescent="0.35">
      <c r="A226">
        <v>225</v>
      </c>
      <c r="B226" s="37">
        <v>40553</v>
      </c>
      <c r="C226">
        <v>1</v>
      </c>
      <c r="D226">
        <v>0</v>
      </c>
      <c r="E226" t="s">
        <v>104</v>
      </c>
      <c r="F226">
        <v>15</v>
      </c>
      <c r="G226" t="b">
        <v>0</v>
      </c>
      <c r="H226" t="s">
        <v>108</v>
      </c>
      <c r="I226" t="s">
        <v>114</v>
      </c>
      <c r="J226">
        <v>0.2</v>
      </c>
      <c r="K226">
        <v>0.19700000000000001</v>
      </c>
      <c r="L226">
        <v>0.4</v>
      </c>
      <c r="M226">
        <v>0.22389999999999999</v>
      </c>
      <c r="N226">
        <v>2</v>
      </c>
      <c r="O226">
        <v>43</v>
      </c>
      <c r="P226">
        <v>45</v>
      </c>
    </row>
    <row r="227" spans="1:16" x14ac:dyDescent="0.35">
      <c r="A227">
        <v>226</v>
      </c>
      <c r="B227" s="37">
        <v>40553</v>
      </c>
      <c r="C227">
        <v>1</v>
      </c>
      <c r="D227">
        <v>0</v>
      </c>
      <c r="E227" t="s">
        <v>104</v>
      </c>
      <c r="F227">
        <v>16</v>
      </c>
      <c r="G227" t="b">
        <v>0</v>
      </c>
      <c r="H227" t="s">
        <v>108</v>
      </c>
      <c r="I227" t="s">
        <v>113</v>
      </c>
      <c r="J227">
        <v>0.2</v>
      </c>
      <c r="K227">
        <v>0.21210000000000001</v>
      </c>
      <c r="L227">
        <v>0.4</v>
      </c>
      <c r="M227">
        <v>0.1343</v>
      </c>
      <c r="N227">
        <v>4</v>
      </c>
      <c r="O227">
        <v>70</v>
      </c>
      <c r="P227">
        <v>74</v>
      </c>
    </row>
    <row r="228" spans="1:16" x14ac:dyDescent="0.35">
      <c r="A228">
        <v>227</v>
      </c>
      <c r="B228" s="37">
        <v>40553</v>
      </c>
      <c r="C228">
        <v>1</v>
      </c>
      <c r="D228">
        <v>0</v>
      </c>
      <c r="E228" t="s">
        <v>104</v>
      </c>
      <c r="F228">
        <v>17</v>
      </c>
      <c r="G228" t="b">
        <v>0</v>
      </c>
      <c r="H228" t="s">
        <v>108</v>
      </c>
      <c r="I228" t="s">
        <v>113</v>
      </c>
      <c r="J228">
        <v>0.2</v>
      </c>
      <c r="K228">
        <v>0.2273</v>
      </c>
      <c r="L228">
        <v>0.4</v>
      </c>
      <c r="M228">
        <v>0.1045</v>
      </c>
      <c r="N228">
        <v>4</v>
      </c>
      <c r="O228">
        <v>174</v>
      </c>
      <c r="P228">
        <v>178</v>
      </c>
    </row>
    <row r="229" spans="1:16" x14ac:dyDescent="0.35">
      <c r="A229">
        <v>228</v>
      </c>
      <c r="B229" s="37">
        <v>40553</v>
      </c>
      <c r="C229">
        <v>1</v>
      </c>
      <c r="D229">
        <v>0</v>
      </c>
      <c r="E229" t="s">
        <v>104</v>
      </c>
      <c r="F229">
        <v>18</v>
      </c>
      <c r="G229" t="b">
        <v>0</v>
      </c>
      <c r="H229" t="s">
        <v>108</v>
      </c>
      <c r="I229" t="s">
        <v>113</v>
      </c>
      <c r="J229">
        <v>0.2</v>
      </c>
      <c r="K229">
        <v>0.19700000000000001</v>
      </c>
      <c r="L229">
        <v>0.4</v>
      </c>
      <c r="M229">
        <v>0.22389999999999999</v>
      </c>
      <c r="N229">
        <v>1</v>
      </c>
      <c r="O229">
        <v>154</v>
      </c>
      <c r="P229">
        <v>155</v>
      </c>
    </row>
    <row r="230" spans="1:16" x14ac:dyDescent="0.35">
      <c r="A230">
        <v>229</v>
      </c>
      <c r="B230" s="37">
        <v>40553</v>
      </c>
      <c r="C230">
        <v>1</v>
      </c>
      <c r="D230">
        <v>0</v>
      </c>
      <c r="E230" t="s">
        <v>104</v>
      </c>
      <c r="F230">
        <v>19</v>
      </c>
      <c r="G230" t="b">
        <v>0</v>
      </c>
      <c r="H230" t="s">
        <v>108</v>
      </c>
      <c r="I230" t="s">
        <v>113</v>
      </c>
      <c r="J230">
        <v>0.16</v>
      </c>
      <c r="K230">
        <v>0.16669999999999999</v>
      </c>
      <c r="L230">
        <v>0.47</v>
      </c>
      <c r="M230">
        <v>0.16420000000000001</v>
      </c>
      <c r="N230">
        <v>3</v>
      </c>
      <c r="O230">
        <v>92</v>
      </c>
      <c r="P230">
        <v>95</v>
      </c>
    </row>
    <row r="231" spans="1:16" x14ac:dyDescent="0.35">
      <c r="A231">
        <v>230</v>
      </c>
      <c r="B231" s="37">
        <v>40553</v>
      </c>
      <c r="C231">
        <v>1</v>
      </c>
      <c r="D231">
        <v>0</v>
      </c>
      <c r="E231" t="s">
        <v>104</v>
      </c>
      <c r="F231">
        <v>20</v>
      </c>
      <c r="G231" t="b">
        <v>0</v>
      </c>
      <c r="H231" t="s">
        <v>108</v>
      </c>
      <c r="I231" t="s">
        <v>113</v>
      </c>
      <c r="J231">
        <v>0.16</v>
      </c>
      <c r="K231">
        <v>0.16669999999999999</v>
      </c>
      <c r="L231">
        <v>0.5</v>
      </c>
      <c r="M231">
        <v>0.16420000000000001</v>
      </c>
      <c r="N231">
        <v>1</v>
      </c>
      <c r="O231">
        <v>73</v>
      </c>
      <c r="P231">
        <v>74</v>
      </c>
    </row>
    <row r="232" spans="1:16" x14ac:dyDescent="0.35">
      <c r="A232">
        <v>231</v>
      </c>
      <c r="B232" s="37">
        <v>40553</v>
      </c>
      <c r="C232">
        <v>1</v>
      </c>
      <c r="D232">
        <v>0</v>
      </c>
      <c r="E232" t="s">
        <v>104</v>
      </c>
      <c r="F232">
        <v>21</v>
      </c>
      <c r="G232" t="b">
        <v>0</v>
      </c>
      <c r="H232" t="s">
        <v>108</v>
      </c>
      <c r="I232" t="s">
        <v>113</v>
      </c>
      <c r="J232">
        <v>0.14000000000000001</v>
      </c>
      <c r="K232">
        <v>0.13639999999999999</v>
      </c>
      <c r="L232">
        <v>0.59</v>
      </c>
      <c r="M232">
        <v>0.19400000000000001</v>
      </c>
      <c r="N232">
        <v>1</v>
      </c>
      <c r="O232">
        <v>37</v>
      </c>
      <c r="P232">
        <v>38</v>
      </c>
    </row>
    <row r="233" spans="1:16" x14ac:dyDescent="0.35">
      <c r="A233">
        <v>232</v>
      </c>
      <c r="B233" s="37">
        <v>40553</v>
      </c>
      <c r="C233">
        <v>1</v>
      </c>
      <c r="D233">
        <v>0</v>
      </c>
      <c r="E233" t="s">
        <v>104</v>
      </c>
      <c r="F233">
        <v>22</v>
      </c>
      <c r="G233" t="b">
        <v>0</v>
      </c>
      <c r="H233" t="s">
        <v>108</v>
      </c>
      <c r="I233" t="s">
        <v>113</v>
      </c>
      <c r="J233">
        <v>0.14000000000000001</v>
      </c>
      <c r="K233">
        <v>0.1515</v>
      </c>
      <c r="L233">
        <v>0.59</v>
      </c>
      <c r="M233">
        <v>0.16420000000000001</v>
      </c>
      <c r="N233">
        <v>2</v>
      </c>
      <c r="O233">
        <v>22</v>
      </c>
      <c r="P233">
        <v>24</v>
      </c>
    </row>
    <row r="234" spans="1:16" x14ac:dyDescent="0.35">
      <c r="A234">
        <v>233</v>
      </c>
      <c r="B234" s="37">
        <v>40553</v>
      </c>
      <c r="C234">
        <v>1</v>
      </c>
      <c r="D234">
        <v>0</v>
      </c>
      <c r="E234" t="s">
        <v>104</v>
      </c>
      <c r="F234">
        <v>23</v>
      </c>
      <c r="G234" t="b">
        <v>0</v>
      </c>
      <c r="H234" t="s">
        <v>108</v>
      </c>
      <c r="I234" t="s">
        <v>113</v>
      </c>
      <c r="J234">
        <v>0.14000000000000001</v>
      </c>
      <c r="K234">
        <v>0.1515</v>
      </c>
      <c r="L234">
        <v>0.59</v>
      </c>
      <c r="M234">
        <v>0.16420000000000001</v>
      </c>
      <c r="N234">
        <v>0</v>
      </c>
      <c r="O234">
        <v>18</v>
      </c>
      <c r="P234">
        <v>18</v>
      </c>
    </row>
    <row r="235" spans="1:16" x14ac:dyDescent="0.35">
      <c r="A235">
        <v>234</v>
      </c>
      <c r="B235" s="37">
        <v>40554</v>
      </c>
      <c r="C235">
        <v>1</v>
      </c>
      <c r="D235">
        <v>0</v>
      </c>
      <c r="E235" t="s">
        <v>104</v>
      </c>
      <c r="F235">
        <v>0</v>
      </c>
      <c r="G235" t="b">
        <v>0</v>
      </c>
      <c r="H235" t="s">
        <v>109</v>
      </c>
      <c r="I235" t="s">
        <v>113</v>
      </c>
      <c r="J235">
        <v>0.14000000000000001</v>
      </c>
      <c r="K235">
        <v>0.16669999999999999</v>
      </c>
      <c r="L235">
        <v>0.59</v>
      </c>
      <c r="M235">
        <v>0.1045</v>
      </c>
      <c r="N235">
        <v>2</v>
      </c>
      <c r="O235">
        <v>10</v>
      </c>
      <c r="P235">
        <v>12</v>
      </c>
    </row>
    <row r="236" spans="1:16" x14ac:dyDescent="0.35">
      <c r="A236">
        <v>235</v>
      </c>
      <c r="B236" s="37">
        <v>40554</v>
      </c>
      <c r="C236">
        <v>1</v>
      </c>
      <c r="D236">
        <v>0</v>
      </c>
      <c r="E236" t="s">
        <v>104</v>
      </c>
      <c r="F236">
        <v>1</v>
      </c>
      <c r="G236" t="b">
        <v>0</v>
      </c>
      <c r="H236" t="s">
        <v>109</v>
      </c>
      <c r="I236" t="s">
        <v>113</v>
      </c>
      <c r="J236">
        <v>0.14000000000000001</v>
      </c>
      <c r="K236">
        <v>0.1515</v>
      </c>
      <c r="L236">
        <v>0.59</v>
      </c>
      <c r="M236">
        <v>0.16420000000000001</v>
      </c>
      <c r="N236">
        <v>0</v>
      </c>
      <c r="O236">
        <v>3</v>
      </c>
      <c r="P236">
        <v>3</v>
      </c>
    </row>
    <row r="237" spans="1:16" x14ac:dyDescent="0.35">
      <c r="A237">
        <v>236</v>
      </c>
      <c r="B237" s="37">
        <v>40554</v>
      </c>
      <c r="C237">
        <v>1</v>
      </c>
      <c r="D237">
        <v>0</v>
      </c>
      <c r="E237" t="s">
        <v>104</v>
      </c>
      <c r="F237">
        <v>2</v>
      </c>
      <c r="G237" t="b">
        <v>0</v>
      </c>
      <c r="H237" t="s">
        <v>109</v>
      </c>
      <c r="I237" t="s">
        <v>114</v>
      </c>
      <c r="J237">
        <v>0.16</v>
      </c>
      <c r="K237">
        <v>0.1515</v>
      </c>
      <c r="L237">
        <v>0.55000000000000004</v>
      </c>
      <c r="M237">
        <v>0.19400000000000001</v>
      </c>
      <c r="N237">
        <v>0</v>
      </c>
      <c r="O237">
        <v>3</v>
      </c>
      <c r="P237">
        <v>3</v>
      </c>
    </row>
    <row r="238" spans="1:16" x14ac:dyDescent="0.35">
      <c r="A238">
        <v>237</v>
      </c>
      <c r="B238" s="37">
        <v>40554</v>
      </c>
      <c r="C238">
        <v>1</v>
      </c>
      <c r="D238">
        <v>0</v>
      </c>
      <c r="E238" t="s">
        <v>104</v>
      </c>
      <c r="F238">
        <v>5</v>
      </c>
      <c r="G238" t="b">
        <v>0</v>
      </c>
      <c r="H238" t="s">
        <v>109</v>
      </c>
      <c r="I238" t="s">
        <v>114</v>
      </c>
      <c r="J238">
        <v>0.16</v>
      </c>
      <c r="K238">
        <v>0.18179999999999999</v>
      </c>
      <c r="L238">
        <v>0.55000000000000004</v>
      </c>
      <c r="M238">
        <v>0.1343</v>
      </c>
      <c r="N238">
        <v>0</v>
      </c>
      <c r="O238">
        <v>6</v>
      </c>
      <c r="P238">
        <v>6</v>
      </c>
    </row>
    <row r="239" spans="1:16" x14ac:dyDescent="0.35">
      <c r="A239">
        <v>238</v>
      </c>
      <c r="B239" s="37">
        <v>40554</v>
      </c>
      <c r="C239">
        <v>1</v>
      </c>
      <c r="D239">
        <v>0</v>
      </c>
      <c r="E239" t="s">
        <v>104</v>
      </c>
      <c r="F239">
        <v>6</v>
      </c>
      <c r="G239" t="b">
        <v>0</v>
      </c>
      <c r="H239" t="s">
        <v>109</v>
      </c>
      <c r="I239" t="s">
        <v>114</v>
      </c>
      <c r="J239">
        <v>0.16</v>
      </c>
      <c r="K239">
        <v>0.18179999999999999</v>
      </c>
      <c r="L239">
        <v>0.55000000000000004</v>
      </c>
      <c r="M239">
        <v>0.1343</v>
      </c>
      <c r="N239">
        <v>0</v>
      </c>
      <c r="O239">
        <v>27</v>
      </c>
      <c r="P239">
        <v>27</v>
      </c>
    </row>
    <row r="240" spans="1:16" x14ac:dyDescent="0.35">
      <c r="A240">
        <v>239</v>
      </c>
      <c r="B240" s="37">
        <v>40554</v>
      </c>
      <c r="C240">
        <v>1</v>
      </c>
      <c r="D240">
        <v>0</v>
      </c>
      <c r="E240" t="s">
        <v>104</v>
      </c>
      <c r="F240">
        <v>7</v>
      </c>
      <c r="G240" t="b">
        <v>0</v>
      </c>
      <c r="H240" t="s">
        <v>109</v>
      </c>
      <c r="I240" t="s">
        <v>114</v>
      </c>
      <c r="J240">
        <v>0.16</v>
      </c>
      <c r="K240">
        <v>0.2273</v>
      </c>
      <c r="L240">
        <v>0.55000000000000004</v>
      </c>
      <c r="M240">
        <v>0</v>
      </c>
      <c r="N240">
        <v>2</v>
      </c>
      <c r="O240">
        <v>97</v>
      </c>
      <c r="P240">
        <v>99</v>
      </c>
    </row>
    <row r="241" spans="1:16" x14ac:dyDescent="0.35">
      <c r="A241">
        <v>240</v>
      </c>
      <c r="B241" s="37">
        <v>40554</v>
      </c>
      <c r="C241">
        <v>1</v>
      </c>
      <c r="D241">
        <v>0</v>
      </c>
      <c r="E241" t="s">
        <v>104</v>
      </c>
      <c r="F241">
        <v>8</v>
      </c>
      <c r="G241" t="b">
        <v>0</v>
      </c>
      <c r="H241" t="s">
        <v>109</v>
      </c>
      <c r="I241" t="s">
        <v>114</v>
      </c>
      <c r="J241">
        <v>0.18</v>
      </c>
      <c r="K241">
        <v>0.21210000000000001</v>
      </c>
      <c r="L241">
        <v>0.51</v>
      </c>
      <c r="M241">
        <v>8.9599999999999999E-2</v>
      </c>
      <c r="N241">
        <v>3</v>
      </c>
      <c r="O241">
        <v>214</v>
      </c>
      <c r="P241">
        <v>217</v>
      </c>
    </row>
    <row r="242" spans="1:16" x14ac:dyDescent="0.35">
      <c r="A242">
        <v>241</v>
      </c>
      <c r="B242" s="37">
        <v>40554</v>
      </c>
      <c r="C242">
        <v>1</v>
      </c>
      <c r="D242">
        <v>0</v>
      </c>
      <c r="E242" t="s">
        <v>104</v>
      </c>
      <c r="F242">
        <v>9</v>
      </c>
      <c r="G242" t="b">
        <v>0</v>
      </c>
      <c r="H242" t="s">
        <v>109</v>
      </c>
      <c r="I242" t="s">
        <v>114</v>
      </c>
      <c r="J242">
        <v>0.18</v>
      </c>
      <c r="K242">
        <v>0.19700000000000001</v>
      </c>
      <c r="L242">
        <v>0.51</v>
      </c>
      <c r="M242">
        <v>0.16420000000000001</v>
      </c>
      <c r="N242">
        <v>3</v>
      </c>
      <c r="O242">
        <v>127</v>
      </c>
      <c r="P242">
        <v>130</v>
      </c>
    </row>
    <row r="243" spans="1:16" x14ac:dyDescent="0.35">
      <c r="A243">
        <v>242</v>
      </c>
      <c r="B243" s="37">
        <v>40554</v>
      </c>
      <c r="C243">
        <v>1</v>
      </c>
      <c r="D243">
        <v>0</v>
      </c>
      <c r="E243" t="s">
        <v>104</v>
      </c>
      <c r="F243">
        <v>10</v>
      </c>
      <c r="G243" t="b">
        <v>0</v>
      </c>
      <c r="H243" t="s">
        <v>109</v>
      </c>
      <c r="I243" t="s">
        <v>114</v>
      </c>
      <c r="J243">
        <v>0.2</v>
      </c>
      <c r="K243">
        <v>0.21210000000000001</v>
      </c>
      <c r="L243">
        <v>0.51</v>
      </c>
      <c r="M243">
        <v>0.16420000000000001</v>
      </c>
      <c r="N243">
        <v>3</v>
      </c>
      <c r="O243">
        <v>51</v>
      </c>
      <c r="P243">
        <v>54</v>
      </c>
    </row>
    <row r="244" spans="1:16" x14ac:dyDescent="0.35">
      <c r="A244">
        <v>243</v>
      </c>
      <c r="B244" s="37">
        <v>40554</v>
      </c>
      <c r="C244">
        <v>1</v>
      </c>
      <c r="D244">
        <v>0</v>
      </c>
      <c r="E244" t="s">
        <v>104</v>
      </c>
      <c r="F244">
        <v>11</v>
      </c>
      <c r="G244" t="b">
        <v>0</v>
      </c>
      <c r="H244" t="s">
        <v>109</v>
      </c>
      <c r="I244" t="s">
        <v>114</v>
      </c>
      <c r="J244">
        <v>0.2</v>
      </c>
      <c r="K244">
        <v>0.21210000000000001</v>
      </c>
      <c r="L244">
        <v>0.47</v>
      </c>
      <c r="M244">
        <v>0.1343</v>
      </c>
      <c r="N244">
        <v>4</v>
      </c>
      <c r="O244">
        <v>31</v>
      </c>
      <c r="P244">
        <v>35</v>
      </c>
    </row>
    <row r="245" spans="1:16" x14ac:dyDescent="0.35">
      <c r="A245">
        <v>244</v>
      </c>
      <c r="B245" s="37">
        <v>40554</v>
      </c>
      <c r="C245">
        <v>1</v>
      </c>
      <c r="D245">
        <v>0</v>
      </c>
      <c r="E245" t="s">
        <v>104</v>
      </c>
      <c r="F245">
        <v>12</v>
      </c>
      <c r="G245" t="b">
        <v>0</v>
      </c>
      <c r="H245" t="s">
        <v>109</v>
      </c>
      <c r="I245" t="s">
        <v>114</v>
      </c>
      <c r="J245">
        <v>0.2</v>
      </c>
      <c r="K245">
        <v>0.2273</v>
      </c>
      <c r="L245">
        <v>0.51</v>
      </c>
      <c r="M245">
        <v>0.1045</v>
      </c>
      <c r="N245">
        <v>2</v>
      </c>
      <c r="O245">
        <v>55</v>
      </c>
      <c r="P245">
        <v>57</v>
      </c>
    </row>
    <row r="246" spans="1:16" x14ac:dyDescent="0.35">
      <c r="A246">
        <v>245</v>
      </c>
      <c r="B246" s="37">
        <v>40554</v>
      </c>
      <c r="C246">
        <v>1</v>
      </c>
      <c r="D246">
        <v>0</v>
      </c>
      <c r="E246" t="s">
        <v>104</v>
      </c>
      <c r="F246">
        <v>13</v>
      </c>
      <c r="G246" t="b">
        <v>0</v>
      </c>
      <c r="H246" t="s">
        <v>109</v>
      </c>
      <c r="I246" t="s">
        <v>114</v>
      </c>
      <c r="J246">
        <v>0.2</v>
      </c>
      <c r="K246">
        <v>0.2273</v>
      </c>
      <c r="L246">
        <v>0.59</v>
      </c>
      <c r="M246">
        <v>8.9599999999999999E-2</v>
      </c>
      <c r="N246">
        <v>6</v>
      </c>
      <c r="O246">
        <v>46</v>
      </c>
      <c r="P246">
        <v>52</v>
      </c>
    </row>
    <row r="247" spans="1:16" x14ac:dyDescent="0.35">
      <c r="A247">
        <v>246</v>
      </c>
      <c r="B247" s="37">
        <v>40554</v>
      </c>
      <c r="C247">
        <v>1</v>
      </c>
      <c r="D247">
        <v>0</v>
      </c>
      <c r="E247" t="s">
        <v>104</v>
      </c>
      <c r="F247">
        <v>14</v>
      </c>
      <c r="G247" t="b">
        <v>0</v>
      </c>
      <c r="H247" t="s">
        <v>109</v>
      </c>
      <c r="I247" t="s">
        <v>114</v>
      </c>
      <c r="J247">
        <v>0.2</v>
      </c>
      <c r="K247">
        <v>0.2273</v>
      </c>
      <c r="L247">
        <v>0.59</v>
      </c>
      <c r="M247">
        <v>8.9599999999999999E-2</v>
      </c>
      <c r="N247">
        <v>3</v>
      </c>
      <c r="O247">
        <v>60</v>
      </c>
      <c r="P247">
        <v>63</v>
      </c>
    </row>
    <row r="248" spans="1:16" x14ac:dyDescent="0.35">
      <c r="A248">
        <v>247</v>
      </c>
      <c r="B248" s="37">
        <v>40554</v>
      </c>
      <c r="C248">
        <v>1</v>
      </c>
      <c r="D248">
        <v>0</v>
      </c>
      <c r="E248" t="s">
        <v>104</v>
      </c>
      <c r="F248">
        <v>15</v>
      </c>
      <c r="G248" t="b">
        <v>0</v>
      </c>
      <c r="H248" t="s">
        <v>109</v>
      </c>
      <c r="I248" t="s">
        <v>114</v>
      </c>
      <c r="J248">
        <v>0.16</v>
      </c>
      <c r="K248">
        <v>0.19700000000000001</v>
      </c>
      <c r="L248">
        <v>0.8</v>
      </c>
      <c r="M248">
        <v>8.9599999999999999E-2</v>
      </c>
      <c r="N248">
        <v>2</v>
      </c>
      <c r="O248">
        <v>45</v>
      </c>
      <c r="P248">
        <v>47</v>
      </c>
    </row>
    <row r="249" spans="1:16" x14ac:dyDescent="0.35">
      <c r="A249">
        <v>248</v>
      </c>
      <c r="B249" s="37">
        <v>40554</v>
      </c>
      <c r="C249">
        <v>1</v>
      </c>
      <c r="D249">
        <v>0</v>
      </c>
      <c r="E249" t="s">
        <v>104</v>
      </c>
      <c r="F249">
        <v>16</v>
      </c>
      <c r="G249" t="b">
        <v>0</v>
      </c>
      <c r="H249" t="s">
        <v>109</v>
      </c>
      <c r="I249" t="s">
        <v>114</v>
      </c>
      <c r="J249">
        <v>0.16</v>
      </c>
      <c r="K249">
        <v>0.1515</v>
      </c>
      <c r="L249">
        <v>0.86</v>
      </c>
      <c r="M249">
        <v>0.22389999999999999</v>
      </c>
      <c r="N249">
        <v>4</v>
      </c>
      <c r="O249">
        <v>72</v>
      </c>
      <c r="P249">
        <v>76</v>
      </c>
    </row>
    <row r="250" spans="1:16" x14ac:dyDescent="0.35">
      <c r="A250">
        <v>249</v>
      </c>
      <c r="B250" s="37">
        <v>40554</v>
      </c>
      <c r="C250">
        <v>1</v>
      </c>
      <c r="D250">
        <v>0</v>
      </c>
      <c r="E250" t="s">
        <v>104</v>
      </c>
      <c r="F250">
        <v>17</v>
      </c>
      <c r="G250" t="b">
        <v>0</v>
      </c>
      <c r="H250" t="s">
        <v>109</v>
      </c>
      <c r="I250" t="s">
        <v>114</v>
      </c>
      <c r="J250">
        <v>0.16</v>
      </c>
      <c r="K250">
        <v>0.1515</v>
      </c>
      <c r="L250">
        <v>0.86</v>
      </c>
      <c r="M250">
        <v>0.22389999999999999</v>
      </c>
      <c r="N250">
        <v>6</v>
      </c>
      <c r="O250">
        <v>130</v>
      </c>
      <c r="P250">
        <v>136</v>
      </c>
    </row>
    <row r="251" spans="1:16" x14ac:dyDescent="0.35">
      <c r="A251">
        <v>250</v>
      </c>
      <c r="B251" s="37">
        <v>40554</v>
      </c>
      <c r="C251">
        <v>1</v>
      </c>
      <c r="D251">
        <v>0</v>
      </c>
      <c r="E251" t="s">
        <v>104</v>
      </c>
      <c r="F251">
        <v>18</v>
      </c>
      <c r="G251" t="b">
        <v>0</v>
      </c>
      <c r="H251" t="s">
        <v>109</v>
      </c>
      <c r="I251" t="s">
        <v>115</v>
      </c>
      <c r="J251">
        <v>0.16</v>
      </c>
      <c r="K251">
        <v>0.18179999999999999</v>
      </c>
      <c r="L251">
        <v>0.93</v>
      </c>
      <c r="M251">
        <v>0.1045</v>
      </c>
      <c r="N251">
        <v>1</v>
      </c>
      <c r="O251">
        <v>94</v>
      </c>
      <c r="P251">
        <v>95</v>
      </c>
    </row>
    <row r="252" spans="1:16" x14ac:dyDescent="0.35">
      <c r="A252">
        <v>251</v>
      </c>
      <c r="B252" s="37">
        <v>40554</v>
      </c>
      <c r="C252">
        <v>1</v>
      </c>
      <c r="D252">
        <v>0</v>
      </c>
      <c r="E252" t="s">
        <v>104</v>
      </c>
      <c r="F252">
        <v>19</v>
      </c>
      <c r="G252" t="b">
        <v>0</v>
      </c>
      <c r="H252" t="s">
        <v>109</v>
      </c>
      <c r="I252" t="s">
        <v>115</v>
      </c>
      <c r="J252">
        <v>0.16</v>
      </c>
      <c r="K252">
        <v>0.2273</v>
      </c>
      <c r="L252">
        <v>0.93</v>
      </c>
      <c r="M252">
        <v>0</v>
      </c>
      <c r="N252">
        <v>0</v>
      </c>
      <c r="O252">
        <v>51</v>
      </c>
      <c r="P252">
        <v>51</v>
      </c>
    </row>
    <row r="253" spans="1:16" x14ac:dyDescent="0.35">
      <c r="A253">
        <v>252</v>
      </c>
      <c r="B253" s="37">
        <v>40554</v>
      </c>
      <c r="C253">
        <v>1</v>
      </c>
      <c r="D253">
        <v>0</v>
      </c>
      <c r="E253" t="s">
        <v>104</v>
      </c>
      <c r="F253">
        <v>20</v>
      </c>
      <c r="G253" t="b">
        <v>0</v>
      </c>
      <c r="H253" t="s">
        <v>109</v>
      </c>
      <c r="I253" t="s">
        <v>115</v>
      </c>
      <c r="J253">
        <v>0.16</v>
      </c>
      <c r="K253">
        <v>0.1515</v>
      </c>
      <c r="L253">
        <v>0.93</v>
      </c>
      <c r="M253">
        <v>0.19400000000000001</v>
      </c>
      <c r="N253">
        <v>0</v>
      </c>
      <c r="O253">
        <v>32</v>
      </c>
      <c r="P253">
        <v>32</v>
      </c>
    </row>
    <row r="254" spans="1:16" x14ac:dyDescent="0.35">
      <c r="A254">
        <v>253</v>
      </c>
      <c r="B254" s="37">
        <v>40554</v>
      </c>
      <c r="C254">
        <v>1</v>
      </c>
      <c r="D254">
        <v>0</v>
      </c>
      <c r="E254" t="s">
        <v>104</v>
      </c>
      <c r="F254">
        <v>21</v>
      </c>
      <c r="G254" t="b">
        <v>0</v>
      </c>
      <c r="H254" t="s">
        <v>109</v>
      </c>
      <c r="I254" t="s">
        <v>115</v>
      </c>
      <c r="J254">
        <v>0.16</v>
      </c>
      <c r="K254">
        <v>0.19700000000000001</v>
      </c>
      <c r="L254">
        <v>0.86</v>
      </c>
      <c r="M254">
        <v>8.9599999999999999E-2</v>
      </c>
      <c r="N254">
        <v>0</v>
      </c>
      <c r="O254">
        <v>20</v>
      </c>
      <c r="P254">
        <v>20</v>
      </c>
    </row>
    <row r="255" spans="1:16" x14ac:dyDescent="0.35">
      <c r="A255">
        <v>254</v>
      </c>
      <c r="B255" s="37">
        <v>40554</v>
      </c>
      <c r="C255">
        <v>1</v>
      </c>
      <c r="D255">
        <v>0</v>
      </c>
      <c r="E255" t="s">
        <v>104</v>
      </c>
      <c r="F255">
        <v>22</v>
      </c>
      <c r="G255" t="b">
        <v>0</v>
      </c>
      <c r="H255" t="s">
        <v>109</v>
      </c>
      <c r="I255" t="s">
        <v>115</v>
      </c>
      <c r="J255">
        <v>0.16</v>
      </c>
      <c r="K255">
        <v>0.18179999999999999</v>
      </c>
      <c r="L255">
        <v>0.93</v>
      </c>
      <c r="M255">
        <v>0.1045</v>
      </c>
      <c r="N255">
        <v>1</v>
      </c>
      <c r="O255">
        <v>28</v>
      </c>
      <c r="P255">
        <v>29</v>
      </c>
    </row>
    <row r="256" spans="1:16" x14ac:dyDescent="0.35">
      <c r="A256">
        <v>255</v>
      </c>
      <c r="B256" s="37">
        <v>40554</v>
      </c>
      <c r="C256">
        <v>1</v>
      </c>
      <c r="D256">
        <v>0</v>
      </c>
      <c r="E256" t="s">
        <v>104</v>
      </c>
      <c r="F256">
        <v>23</v>
      </c>
      <c r="G256" t="b">
        <v>0</v>
      </c>
      <c r="H256" t="s">
        <v>109</v>
      </c>
      <c r="I256" t="s">
        <v>115</v>
      </c>
      <c r="J256">
        <v>0.16</v>
      </c>
      <c r="K256">
        <v>0.19700000000000001</v>
      </c>
      <c r="L256">
        <v>0.93</v>
      </c>
      <c r="M256">
        <v>8.9599999999999999E-2</v>
      </c>
      <c r="N256">
        <v>1</v>
      </c>
      <c r="O256">
        <v>18</v>
      </c>
      <c r="P256">
        <v>19</v>
      </c>
    </row>
    <row r="257" spans="1:16" x14ac:dyDescent="0.35">
      <c r="A257">
        <v>256</v>
      </c>
      <c r="B257" s="37">
        <v>40555</v>
      </c>
      <c r="C257">
        <v>1</v>
      </c>
      <c r="D257">
        <v>0</v>
      </c>
      <c r="E257" t="s">
        <v>104</v>
      </c>
      <c r="F257">
        <v>0</v>
      </c>
      <c r="G257" t="b">
        <v>0</v>
      </c>
      <c r="H257" t="s">
        <v>110</v>
      </c>
      <c r="I257" t="s">
        <v>114</v>
      </c>
      <c r="J257">
        <v>0.16</v>
      </c>
      <c r="K257">
        <v>0.19700000000000001</v>
      </c>
      <c r="L257">
        <v>0.86</v>
      </c>
      <c r="M257">
        <v>8.9599999999999999E-2</v>
      </c>
      <c r="N257">
        <v>0</v>
      </c>
      <c r="O257">
        <v>7</v>
      </c>
      <c r="P257">
        <v>7</v>
      </c>
    </row>
    <row r="258" spans="1:16" x14ac:dyDescent="0.35">
      <c r="A258">
        <v>257</v>
      </c>
      <c r="B258" s="37">
        <v>40555</v>
      </c>
      <c r="C258">
        <v>1</v>
      </c>
      <c r="D258">
        <v>0</v>
      </c>
      <c r="E258" t="s">
        <v>104</v>
      </c>
      <c r="F258">
        <v>1</v>
      </c>
      <c r="G258" t="b">
        <v>0</v>
      </c>
      <c r="H258" t="s">
        <v>110</v>
      </c>
      <c r="I258" t="s">
        <v>114</v>
      </c>
      <c r="J258">
        <v>0.16</v>
      </c>
      <c r="K258">
        <v>0.18179999999999999</v>
      </c>
      <c r="L258">
        <v>0.86</v>
      </c>
      <c r="M258">
        <v>0.1045</v>
      </c>
      <c r="N258">
        <v>0</v>
      </c>
      <c r="O258">
        <v>6</v>
      </c>
      <c r="P258">
        <v>6</v>
      </c>
    </row>
    <row r="259" spans="1:16" x14ac:dyDescent="0.35">
      <c r="A259">
        <v>258</v>
      </c>
      <c r="B259" s="37">
        <v>40555</v>
      </c>
      <c r="C259">
        <v>1</v>
      </c>
      <c r="D259">
        <v>0</v>
      </c>
      <c r="E259" t="s">
        <v>104</v>
      </c>
      <c r="F259">
        <v>2</v>
      </c>
      <c r="G259" t="b">
        <v>0</v>
      </c>
      <c r="H259" t="s">
        <v>110</v>
      </c>
      <c r="I259" t="s">
        <v>113</v>
      </c>
      <c r="J259">
        <v>0.14000000000000001</v>
      </c>
      <c r="K259">
        <v>0.1515</v>
      </c>
      <c r="L259">
        <v>0.86</v>
      </c>
      <c r="M259">
        <v>0.1343</v>
      </c>
      <c r="N259">
        <v>0</v>
      </c>
      <c r="O259">
        <v>1</v>
      </c>
      <c r="P259">
        <v>1</v>
      </c>
    </row>
    <row r="260" spans="1:16" x14ac:dyDescent="0.35">
      <c r="A260">
        <v>259</v>
      </c>
      <c r="B260" s="37">
        <v>40555</v>
      </c>
      <c r="C260">
        <v>1</v>
      </c>
      <c r="D260">
        <v>0</v>
      </c>
      <c r="E260" t="s">
        <v>104</v>
      </c>
      <c r="F260">
        <v>5</v>
      </c>
      <c r="G260" t="b">
        <v>0</v>
      </c>
      <c r="H260" t="s">
        <v>110</v>
      </c>
      <c r="I260" t="s">
        <v>113</v>
      </c>
      <c r="J260">
        <v>0.14000000000000001</v>
      </c>
      <c r="K260">
        <v>0.1515</v>
      </c>
      <c r="L260">
        <v>0.86</v>
      </c>
      <c r="M260">
        <v>0.16420000000000001</v>
      </c>
      <c r="N260">
        <v>0</v>
      </c>
      <c r="O260">
        <v>5</v>
      </c>
      <c r="P260">
        <v>5</v>
      </c>
    </row>
    <row r="261" spans="1:16" x14ac:dyDescent="0.35">
      <c r="A261">
        <v>260</v>
      </c>
      <c r="B261" s="37">
        <v>40555</v>
      </c>
      <c r="C261">
        <v>1</v>
      </c>
      <c r="D261">
        <v>0</v>
      </c>
      <c r="E261" t="s">
        <v>104</v>
      </c>
      <c r="F261">
        <v>6</v>
      </c>
      <c r="G261" t="b">
        <v>0</v>
      </c>
      <c r="H261" t="s">
        <v>110</v>
      </c>
      <c r="I261" t="s">
        <v>113</v>
      </c>
      <c r="J261">
        <v>0.12</v>
      </c>
      <c r="K261">
        <v>0.1515</v>
      </c>
      <c r="L261">
        <v>0.93</v>
      </c>
      <c r="M261">
        <v>0.1343</v>
      </c>
      <c r="N261">
        <v>0</v>
      </c>
      <c r="O261">
        <v>16</v>
      </c>
      <c r="P261">
        <v>16</v>
      </c>
    </row>
    <row r="262" spans="1:16" x14ac:dyDescent="0.35">
      <c r="A262">
        <v>261</v>
      </c>
      <c r="B262" s="37">
        <v>40555</v>
      </c>
      <c r="C262">
        <v>1</v>
      </c>
      <c r="D262">
        <v>0</v>
      </c>
      <c r="E262" t="s">
        <v>104</v>
      </c>
      <c r="F262">
        <v>7</v>
      </c>
      <c r="G262" t="b">
        <v>0</v>
      </c>
      <c r="H262" t="s">
        <v>110</v>
      </c>
      <c r="I262" t="s">
        <v>113</v>
      </c>
      <c r="J262">
        <v>0.14000000000000001</v>
      </c>
      <c r="K262">
        <v>0.1515</v>
      </c>
      <c r="L262">
        <v>0.69</v>
      </c>
      <c r="M262">
        <v>0.1343</v>
      </c>
      <c r="N262">
        <v>0</v>
      </c>
      <c r="O262">
        <v>54</v>
      </c>
      <c r="P262">
        <v>54</v>
      </c>
    </row>
    <row r="263" spans="1:16" x14ac:dyDescent="0.35">
      <c r="A263">
        <v>262</v>
      </c>
      <c r="B263" s="37">
        <v>40555</v>
      </c>
      <c r="C263">
        <v>1</v>
      </c>
      <c r="D263">
        <v>0</v>
      </c>
      <c r="E263" t="s">
        <v>104</v>
      </c>
      <c r="F263">
        <v>8</v>
      </c>
      <c r="G263" t="b">
        <v>0</v>
      </c>
      <c r="H263" t="s">
        <v>110</v>
      </c>
      <c r="I263" t="s">
        <v>113</v>
      </c>
      <c r="J263">
        <v>0.16</v>
      </c>
      <c r="K263">
        <v>0.16669999999999999</v>
      </c>
      <c r="L263">
        <v>0.59</v>
      </c>
      <c r="M263">
        <v>0.16420000000000001</v>
      </c>
      <c r="N263">
        <v>3</v>
      </c>
      <c r="O263">
        <v>125</v>
      </c>
      <c r="P263">
        <v>128</v>
      </c>
    </row>
    <row r="264" spans="1:16" x14ac:dyDescent="0.35">
      <c r="A264">
        <v>263</v>
      </c>
      <c r="B264" s="37">
        <v>40555</v>
      </c>
      <c r="C264">
        <v>1</v>
      </c>
      <c r="D264">
        <v>0</v>
      </c>
      <c r="E264" t="s">
        <v>104</v>
      </c>
      <c r="F264">
        <v>9</v>
      </c>
      <c r="G264" t="b">
        <v>0</v>
      </c>
      <c r="H264" t="s">
        <v>110</v>
      </c>
      <c r="I264" t="s">
        <v>113</v>
      </c>
      <c r="J264">
        <v>0.16</v>
      </c>
      <c r="K264">
        <v>0.13639999999999999</v>
      </c>
      <c r="L264">
        <v>0.59</v>
      </c>
      <c r="M264">
        <v>0.32840000000000003</v>
      </c>
      <c r="N264">
        <v>3</v>
      </c>
      <c r="O264">
        <v>78</v>
      </c>
      <c r="P264">
        <v>81</v>
      </c>
    </row>
    <row r="265" spans="1:16" x14ac:dyDescent="0.35">
      <c r="A265">
        <v>264</v>
      </c>
      <c r="B265" s="37">
        <v>40555</v>
      </c>
      <c r="C265">
        <v>1</v>
      </c>
      <c r="D265">
        <v>0</v>
      </c>
      <c r="E265" t="s">
        <v>104</v>
      </c>
      <c r="F265">
        <v>10</v>
      </c>
      <c r="G265" t="b">
        <v>0</v>
      </c>
      <c r="H265" t="s">
        <v>110</v>
      </c>
      <c r="I265" t="s">
        <v>113</v>
      </c>
      <c r="J265">
        <v>0.18</v>
      </c>
      <c r="K265">
        <v>0.18179999999999999</v>
      </c>
      <c r="L265">
        <v>0.55000000000000004</v>
      </c>
      <c r="M265">
        <v>0.22389999999999999</v>
      </c>
      <c r="N265">
        <v>0</v>
      </c>
      <c r="O265">
        <v>39</v>
      </c>
      <c r="P265">
        <v>39</v>
      </c>
    </row>
    <row r="266" spans="1:16" x14ac:dyDescent="0.35">
      <c r="A266">
        <v>265</v>
      </c>
      <c r="B266" s="37">
        <v>40555</v>
      </c>
      <c r="C266">
        <v>1</v>
      </c>
      <c r="D266">
        <v>0</v>
      </c>
      <c r="E266" t="s">
        <v>104</v>
      </c>
      <c r="F266">
        <v>11</v>
      </c>
      <c r="G266" t="b">
        <v>0</v>
      </c>
      <c r="H266" t="s">
        <v>110</v>
      </c>
      <c r="I266" t="s">
        <v>113</v>
      </c>
      <c r="J266">
        <v>0.2</v>
      </c>
      <c r="K266">
        <v>0.18179999999999999</v>
      </c>
      <c r="L266">
        <v>0.51</v>
      </c>
      <c r="M266">
        <v>0.3881</v>
      </c>
      <c r="N266">
        <v>3</v>
      </c>
      <c r="O266">
        <v>32</v>
      </c>
      <c r="P266">
        <v>35</v>
      </c>
    </row>
    <row r="267" spans="1:16" x14ac:dyDescent="0.35">
      <c r="A267">
        <v>266</v>
      </c>
      <c r="B267" s="37">
        <v>40555</v>
      </c>
      <c r="C267">
        <v>1</v>
      </c>
      <c r="D267">
        <v>0</v>
      </c>
      <c r="E267" t="s">
        <v>104</v>
      </c>
      <c r="F267">
        <v>12</v>
      </c>
      <c r="G267" t="b">
        <v>0</v>
      </c>
      <c r="H267" t="s">
        <v>110</v>
      </c>
      <c r="I267" t="s">
        <v>113</v>
      </c>
      <c r="J267">
        <v>0.2</v>
      </c>
      <c r="K267">
        <v>0.1515</v>
      </c>
      <c r="L267">
        <v>0.47</v>
      </c>
      <c r="M267">
        <v>0.58209999999999995</v>
      </c>
      <c r="N267">
        <v>3</v>
      </c>
      <c r="O267">
        <v>52</v>
      </c>
      <c r="P267">
        <v>55</v>
      </c>
    </row>
    <row r="268" spans="1:16" x14ac:dyDescent="0.35">
      <c r="A268">
        <v>267</v>
      </c>
      <c r="B268" s="37">
        <v>40555</v>
      </c>
      <c r="C268">
        <v>1</v>
      </c>
      <c r="D268">
        <v>0</v>
      </c>
      <c r="E268" t="s">
        <v>104</v>
      </c>
      <c r="F268">
        <v>13</v>
      </c>
      <c r="G268" t="b">
        <v>0</v>
      </c>
      <c r="H268" t="s">
        <v>110</v>
      </c>
      <c r="I268" t="s">
        <v>113</v>
      </c>
      <c r="J268">
        <v>0.22</v>
      </c>
      <c r="K268">
        <v>0.19700000000000001</v>
      </c>
      <c r="L268">
        <v>0.44</v>
      </c>
      <c r="M268">
        <v>0.35820000000000002</v>
      </c>
      <c r="N268">
        <v>0</v>
      </c>
      <c r="O268">
        <v>49</v>
      </c>
      <c r="P268">
        <v>49</v>
      </c>
    </row>
    <row r="269" spans="1:16" x14ac:dyDescent="0.35">
      <c r="A269">
        <v>268</v>
      </c>
      <c r="B269" s="37">
        <v>40555</v>
      </c>
      <c r="C269">
        <v>1</v>
      </c>
      <c r="D269">
        <v>0</v>
      </c>
      <c r="E269" t="s">
        <v>104</v>
      </c>
      <c r="F269">
        <v>14</v>
      </c>
      <c r="G269" t="b">
        <v>0</v>
      </c>
      <c r="H269" t="s">
        <v>110</v>
      </c>
      <c r="I269" t="s">
        <v>113</v>
      </c>
      <c r="J269">
        <v>0.2</v>
      </c>
      <c r="K269">
        <v>0.18179999999999999</v>
      </c>
      <c r="L269">
        <v>0.47</v>
      </c>
      <c r="M269">
        <v>0.32840000000000003</v>
      </c>
      <c r="N269">
        <v>0</v>
      </c>
      <c r="O269">
        <v>44</v>
      </c>
      <c r="P269">
        <v>44</v>
      </c>
    </row>
    <row r="270" spans="1:16" x14ac:dyDescent="0.35">
      <c r="A270">
        <v>269</v>
      </c>
      <c r="B270" s="37">
        <v>40555</v>
      </c>
      <c r="C270">
        <v>1</v>
      </c>
      <c r="D270">
        <v>0</v>
      </c>
      <c r="E270" t="s">
        <v>104</v>
      </c>
      <c r="F270">
        <v>15</v>
      </c>
      <c r="G270" t="b">
        <v>0</v>
      </c>
      <c r="H270" t="s">
        <v>110</v>
      </c>
      <c r="I270" t="s">
        <v>113</v>
      </c>
      <c r="J270">
        <v>0.2</v>
      </c>
      <c r="K270">
        <v>0.16669999999999999</v>
      </c>
      <c r="L270">
        <v>0.47</v>
      </c>
      <c r="M270">
        <v>0.41789999999999999</v>
      </c>
      <c r="N270">
        <v>1</v>
      </c>
      <c r="O270">
        <v>48</v>
      </c>
      <c r="P270">
        <v>49</v>
      </c>
    </row>
    <row r="271" spans="1:16" x14ac:dyDescent="0.35">
      <c r="A271">
        <v>270</v>
      </c>
      <c r="B271" s="37">
        <v>40555</v>
      </c>
      <c r="C271">
        <v>1</v>
      </c>
      <c r="D271">
        <v>0</v>
      </c>
      <c r="E271" t="s">
        <v>104</v>
      </c>
      <c r="F271">
        <v>16</v>
      </c>
      <c r="G271" t="b">
        <v>0</v>
      </c>
      <c r="H271" t="s">
        <v>110</v>
      </c>
      <c r="I271" t="s">
        <v>113</v>
      </c>
      <c r="J271">
        <v>0.22</v>
      </c>
      <c r="K271">
        <v>0.19700000000000001</v>
      </c>
      <c r="L271">
        <v>0.44</v>
      </c>
      <c r="M271">
        <v>0.32840000000000003</v>
      </c>
      <c r="N271">
        <v>5</v>
      </c>
      <c r="O271">
        <v>63</v>
      </c>
      <c r="P271">
        <v>68</v>
      </c>
    </row>
    <row r="272" spans="1:16" x14ac:dyDescent="0.35">
      <c r="A272">
        <v>271</v>
      </c>
      <c r="B272" s="37">
        <v>40555</v>
      </c>
      <c r="C272">
        <v>1</v>
      </c>
      <c r="D272">
        <v>0</v>
      </c>
      <c r="E272" t="s">
        <v>104</v>
      </c>
      <c r="F272">
        <v>17</v>
      </c>
      <c r="G272" t="b">
        <v>0</v>
      </c>
      <c r="H272" t="s">
        <v>110</v>
      </c>
      <c r="I272" t="s">
        <v>113</v>
      </c>
      <c r="J272">
        <v>0.2</v>
      </c>
      <c r="K272">
        <v>0.18179999999999999</v>
      </c>
      <c r="L272">
        <v>0.47</v>
      </c>
      <c r="M272">
        <v>0.35820000000000002</v>
      </c>
      <c r="N272">
        <v>0</v>
      </c>
      <c r="O272">
        <v>139</v>
      </c>
      <c r="P272">
        <v>139</v>
      </c>
    </row>
    <row r="273" spans="1:16" x14ac:dyDescent="0.35">
      <c r="A273">
        <v>272</v>
      </c>
      <c r="B273" s="37">
        <v>40555</v>
      </c>
      <c r="C273">
        <v>1</v>
      </c>
      <c r="D273">
        <v>0</v>
      </c>
      <c r="E273" t="s">
        <v>104</v>
      </c>
      <c r="F273">
        <v>18</v>
      </c>
      <c r="G273" t="b">
        <v>0</v>
      </c>
      <c r="H273" t="s">
        <v>110</v>
      </c>
      <c r="I273" t="s">
        <v>113</v>
      </c>
      <c r="J273">
        <v>0.2</v>
      </c>
      <c r="K273">
        <v>0.1515</v>
      </c>
      <c r="L273">
        <v>0.47</v>
      </c>
      <c r="M273">
        <v>0.52239999999999998</v>
      </c>
      <c r="N273">
        <v>2</v>
      </c>
      <c r="O273">
        <v>135</v>
      </c>
      <c r="P273">
        <v>137</v>
      </c>
    </row>
    <row r="274" spans="1:16" x14ac:dyDescent="0.35">
      <c r="A274">
        <v>273</v>
      </c>
      <c r="B274" s="37">
        <v>40555</v>
      </c>
      <c r="C274">
        <v>1</v>
      </c>
      <c r="D274">
        <v>0</v>
      </c>
      <c r="E274" t="s">
        <v>104</v>
      </c>
      <c r="F274">
        <v>19</v>
      </c>
      <c r="G274" t="b">
        <v>0</v>
      </c>
      <c r="H274" t="s">
        <v>110</v>
      </c>
      <c r="I274" t="s">
        <v>113</v>
      </c>
      <c r="J274">
        <v>0.18</v>
      </c>
      <c r="K274">
        <v>0.1515</v>
      </c>
      <c r="L274">
        <v>0.47</v>
      </c>
      <c r="M274">
        <v>0.41789999999999999</v>
      </c>
      <c r="N274">
        <v>1</v>
      </c>
      <c r="O274">
        <v>82</v>
      </c>
      <c r="P274">
        <v>83</v>
      </c>
    </row>
    <row r="275" spans="1:16" x14ac:dyDescent="0.35">
      <c r="A275">
        <v>274</v>
      </c>
      <c r="B275" s="37">
        <v>40555</v>
      </c>
      <c r="C275">
        <v>1</v>
      </c>
      <c r="D275">
        <v>0</v>
      </c>
      <c r="E275" t="s">
        <v>104</v>
      </c>
      <c r="F275">
        <v>20</v>
      </c>
      <c r="G275" t="b">
        <v>0</v>
      </c>
      <c r="H275" t="s">
        <v>110</v>
      </c>
      <c r="I275" t="s">
        <v>113</v>
      </c>
      <c r="J275">
        <v>0.16</v>
      </c>
      <c r="K275">
        <v>0.13639999999999999</v>
      </c>
      <c r="L275">
        <v>0.5</v>
      </c>
      <c r="M275">
        <v>0.32840000000000003</v>
      </c>
      <c r="N275">
        <v>2</v>
      </c>
      <c r="O275">
        <v>54</v>
      </c>
      <c r="P275">
        <v>56</v>
      </c>
    </row>
    <row r="276" spans="1:16" x14ac:dyDescent="0.35">
      <c r="A276">
        <v>275</v>
      </c>
      <c r="B276" s="37">
        <v>40555</v>
      </c>
      <c r="C276">
        <v>1</v>
      </c>
      <c r="D276">
        <v>0</v>
      </c>
      <c r="E276" t="s">
        <v>104</v>
      </c>
      <c r="F276">
        <v>21</v>
      </c>
      <c r="G276" t="b">
        <v>0</v>
      </c>
      <c r="H276" t="s">
        <v>110</v>
      </c>
      <c r="I276" t="s">
        <v>113</v>
      </c>
      <c r="J276">
        <v>0.16</v>
      </c>
      <c r="K276">
        <v>0.13639999999999999</v>
      </c>
      <c r="L276">
        <v>0.55000000000000004</v>
      </c>
      <c r="M276">
        <v>0.32840000000000003</v>
      </c>
      <c r="N276">
        <v>0</v>
      </c>
      <c r="O276">
        <v>57</v>
      </c>
      <c r="P276">
        <v>57</v>
      </c>
    </row>
    <row r="277" spans="1:16" x14ac:dyDescent="0.35">
      <c r="A277">
        <v>276</v>
      </c>
      <c r="B277" s="37">
        <v>40555</v>
      </c>
      <c r="C277">
        <v>1</v>
      </c>
      <c r="D277">
        <v>0</v>
      </c>
      <c r="E277" t="s">
        <v>104</v>
      </c>
      <c r="F277">
        <v>22</v>
      </c>
      <c r="G277" t="b">
        <v>0</v>
      </c>
      <c r="H277" t="s">
        <v>110</v>
      </c>
      <c r="I277" t="s">
        <v>113</v>
      </c>
      <c r="J277">
        <v>0.16</v>
      </c>
      <c r="K277">
        <v>0.1212</v>
      </c>
      <c r="L277">
        <v>0.55000000000000004</v>
      </c>
      <c r="M277">
        <v>0.44779999999999998</v>
      </c>
      <c r="N277">
        <v>1</v>
      </c>
      <c r="O277">
        <v>32</v>
      </c>
      <c r="P277">
        <v>33</v>
      </c>
    </row>
    <row r="278" spans="1:16" x14ac:dyDescent="0.35">
      <c r="A278">
        <v>277</v>
      </c>
      <c r="B278" s="37">
        <v>40555</v>
      </c>
      <c r="C278">
        <v>1</v>
      </c>
      <c r="D278">
        <v>0</v>
      </c>
      <c r="E278" t="s">
        <v>104</v>
      </c>
      <c r="F278">
        <v>23</v>
      </c>
      <c r="G278" t="b">
        <v>0</v>
      </c>
      <c r="H278" t="s">
        <v>110</v>
      </c>
      <c r="I278" t="s">
        <v>113</v>
      </c>
      <c r="J278">
        <v>0.14000000000000001</v>
      </c>
      <c r="K278">
        <v>0.1061</v>
      </c>
      <c r="L278">
        <v>0.59</v>
      </c>
      <c r="M278">
        <v>0.41789999999999999</v>
      </c>
      <c r="N278">
        <v>1</v>
      </c>
      <c r="O278">
        <v>19</v>
      </c>
      <c r="P278">
        <v>20</v>
      </c>
    </row>
    <row r="279" spans="1:16" x14ac:dyDescent="0.35">
      <c r="A279">
        <v>278</v>
      </c>
      <c r="B279" s="37">
        <v>40556</v>
      </c>
      <c r="C279">
        <v>1</v>
      </c>
      <c r="D279">
        <v>0</v>
      </c>
      <c r="E279" t="s">
        <v>104</v>
      </c>
      <c r="F279">
        <v>0</v>
      </c>
      <c r="G279" t="b">
        <v>0</v>
      </c>
      <c r="H279" t="s">
        <v>111</v>
      </c>
      <c r="I279" t="s">
        <v>113</v>
      </c>
      <c r="J279">
        <v>0.14000000000000001</v>
      </c>
      <c r="K279">
        <v>0.1212</v>
      </c>
      <c r="L279">
        <v>0.59</v>
      </c>
      <c r="M279">
        <v>0.28360000000000002</v>
      </c>
      <c r="N279">
        <v>1</v>
      </c>
      <c r="O279">
        <v>6</v>
      </c>
      <c r="P279">
        <v>7</v>
      </c>
    </row>
    <row r="280" spans="1:16" x14ac:dyDescent="0.35">
      <c r="A280">
        <v>279</v>
      </c>
      <c r="B280" s="37">
        <v>40556</v>
      </c>
      <c r="C280">
        <v>1</v>
      </c>
      <c r="D280">
        <v>0</v>
      </c>
      <c r="E280" t="s">
        <v>104</v>
      </c>
      <c r="F280">
        <v>1</v>
      </c>
      <c r="G280" t="b">
        <v>0</v>
      </c>
      <c r="H280" t="s">
        <v>111</v>
      </c>
      <c r="I280" t="s">
        <v>113</v>
      </c>
      <c r="J280">
        <v>0.14000000000000001</v>
      </c>
      <c r="K280">
        <v>0.1212</v>
      </c>
      <c r="L280">
        <v>0.5</v>
      </c>
      <c r="M280">
        <v>0.28360000000000002</v>
      </c>
      <c r="N280">
        <v>0</v>
      </c>
      <c r="O280">
        <v>2</v>
      </c>
      <c r="P280">
        <v>2</v>
      </c>
    </row>
    <row r="281" spans="1:16" x14ac:dyDescent="0.35">
      <c r="A281">
        <v>280</v>
      </c>
      <c r="B281" s="37">
        <v>40556</v>
      </c>
      <c r="C281">
        <v>1</v>
      </c>
      <c r="D281">
        <v>0</v>
      </c>
      <c r="E281" t="s">
        <v>104</v>
      </c>
      <c r="F281">
        <v>2</v>
      </c>
      <c r="G281" t="b">
        <v>0</v>
      </c>
      <c r="H281" t="s">
        <v>111</v>
      </c>
      <c r="I281" t="s">
        <v>113</v>
      </c>
      <c r="J281">
        <v>0.14000000000000001</v>
      </c>
      <c r="K281">
        <v>0.1212</v>
      </c>
      <c r="L281">
        <v>0.5</v>
      </c>
      <c r="M281">
        <v>0.35820000000000002</v>
      </c>
      <c r="N281">
        <v>0</v>
      </c>
      <c r="O281">
        <v>2</v>
      </c>
      <c r="P281">
        <v>2</v>
      </c>
    </row>
    <row r="282" spans="1:16" x14ac:dyDescent="0.35">
      <c r="A282">
        <v>281</v>
      </c>
      <c r="B282" s="37">
        <v>40556</v>
      </c>
      <c r="C282">
        <v>1</v>
      </c>
      <c r="D282">
        <v>0</v>
      </c>
      <c r="E282" t="s">
        <v>104</v>
      </c>
      <c r="F282">
        <v>3</v>
      </c>
      <c r="G282" t="b">
        <v>0</v>
      </c>
      <c r="H282" t="s">
        <v>111</v>
      </c>
      <c r="I282" t="s">
        <v>113</v>
      </c>
      <c r="J282">
        <v>0.14000000000000001</v>
      </c>
      <c r="K282">
        <v>0.1212</v>
      </c>
      <c r="L282">
        <v>0.5</v>
      </c>
      <c r="M282">
        <v>0.32840000000000003</v>
      </c>
      <c r="N282">
        <v>0</v>
      </c>
      <c r="O282">
        <v>3</v>
      </c>
      <c r="P282">
        <v>3</v>
      </c>
    </row>
    <row r="283" spans="1:16" x14ac:dyDescent="0.35">
      <c r="A283">
        <v>282</v>
      </c>
      <c r="B283" s="37">
        <v>40556</v>
      </c>
      <c r="C283">
        <v>1</v>
      </c>
      <c r="D283">
        <v>0</v>
      </c>
      <c r="E283" t="s">
        <v>104</v>
      </c>
      <c r="F283">
        <v>4</v>
      </c>
      <c r="G283" t="b">
        <v>0</v>
      </c>
      <c r="H283" t="s">
        <v>111</v>
      </c>
      <c r="I283" t="s">
        <v>113</v>
      </c>
      <c r="J283">
        <v>0.14000000000000001</v>
      </c>
      <c r="K283">
        <v>0.1212</v>
      </c>
      <c r="L283">
        <v>0.5</v>
      </c>
      <c r="M283">
        <v>0.25369999999999998</v>
      </c>
      <c r="N283">
        <v>0</v>
      </c>
      <c r="O283">
        <v>4</v>
      </c>
      <c r="P283">
        <v>4</v>
      </c>
    </row>
    <row r="284" spans="1:16" x14ac:dyDescent="0.35">
      <c r="A284">
        <v>283</v>
      </c>
      <c r="B284" s="37">
        <v>40556</v>
      </c>
      <c r="C284">
        <v>1</v>
      </c>
      <c r="D284">
        <v>0</v>
      </c>
      <c r="E284" t="s">
        <v>104</v>
      </c>
      <c r="F284">
        <v>5</v>
      </c>
      <c r="G284" t="b">
        <v>0</v>
      </c>
      <c r="H284" t="s">
        <v>111</v>
      </c>
      <c r="I284" t="s">
        <v>113</v>
      </c>
      <c r="J284">
        <v>0.14000000000000001</v>
      </c>
      <c r="K284">
        <v>0.1212</v>
      </c>
      <c r="L284">
        <v>0.5</v>
      </c>
      <c r="M284">
        <v>0.29849999999999999</v>
      </c>
      <c r="N284">
        <v>0</v>
      </c>
      <c r="O284">
        <v>3</v>
      </c>
      <c r="P284">
        <v>3</v>
      </c>
    </row>
    <row r="285" spans="1:16" x14ac:dyDescent="0.35">
      <c r="A285">
        <v>284</v>
      </c>
      <c r="B285" s="37">
        <v>40556</v>
      </c>
      <c r="C285">
        <v>1</v>
      </c>
      <c r="D285">
        <v>0</v>
      </c>
      <c r="E285" t="s">
        <v>104</v>
      </c>
      <c r="F285">
        <v>6</v>
      </c>
      <c r="G285" t="b">
        <v>0</v>
      </c>
      <c r="H285" t="s">
        <v>111</v>
      </c>
      <c r="I285" t="s">
        <v>113</v>
      </c>
      <c r="J285">
        <v>0.12</v>
      </c>
      <c r="K285">
        <v>0.1515</v>
      </c>
      <c r="L285">
        <v>0.54</v>
      </c>
      <c r="M285">
        <v>0.1343</v>
      </c>
      <c r="N285">
        <v>0</v>
      </c>
      <c r="O285">
        <v>28</v>
      </c>
      <c r="P285">
        <v>28</v>
      </c>
    </row>
    <row r="286" spans="1:16" x14ac:dyDescent="0.35">
      <c r="A286">
        <v>285</v>
      </c>
      <c r="B286" s="37">
        <v>40556</v>
      </c>
      <c r="C286">
        <v>1</v>
      </c>
      <c r="D286">
        <v>0</v>
      </c>
      <c r="E286" t="s">
        <v>104</v>
      </c>
      <c r="F286">
        <v>7</v>
      </c>
      <c r="G286" t="b">
        <v>0</v>
      </c>
      <c r="H286" t="s">
        <v>111</v>
      </c>
      <c r="I286" t="s">
        <v>113</v>
      </c>
      <c r="J286">
        <v>0.12</v>
      </c>
      <c r="K286">
        <v>0.1515</v>
      </c>
      <c r="L286">
        <v>0.54</v>
      </c>
      <c r="M286">
        <v>0.1343</v>
      </c>
      <c r="N286">
        <v>0</v>
      </c>
      <c r="O286">
        <v>72</v>
      </c>
      <c r="P286">
        <v>72</v>
      </c>
    </row>
    <row r="287" spans="1:16" x14ac:dyDescent="0.35">
      <c r="A287">
        <v>286</v>
      </c>
      <c r="B287" s="37">
        <v>40556</v>
      </c>
      <c r="C287">
        <v>1</v>
      </c>
      <c r="D287">
        <v>0</v>
      </c>
      <c r="E287" t="s">
        <v>104</v>
      </c>
      <c r="F287">
        <v>8</v>
      </c>
      <c r="G287" t="b">
        <v>0</v>
      </c>
      <c r="H287" t="s">
        <v>111</v>
      </c>
      <c r="I287" t="s">
        <v>113</v>
      </c>
      <c r="J287">
        <v>0.14000000000000001</v>
      </c>
      <c r="K287">
        <v>0.13639999999999999</v>
      </c>
      <c r="L287">
        <v>0.5</v>
      </c>
      <c r="M287">
        <v>0.19400000000000001</v>
      </c>
      <c r="N287">
        <v>5</v>
      </c>
      <c r="O287">
        <v>197</v>
      </c>
      <c r="P287">
        <v>202</v>
      </c>
    </row>
    <row r="288" spans="1:16" x14ac:dyDescent="0.35">
      <c r="A288">
        <v>287</v>
      </c>
      <c r="B288" s="37">
        <v>40556</v>
      </c>
      <c r="C288">
        <v>1</v>
      </c>
      <c r="D288">
        <v>0</v>
      </c>
      <c r="E288" t="s">
        <v>104</v>
      </c>
      <c r="F288">
        <v>9</v>
      </c>
      <c r="G288" t="b">
        <v>0</v>
      </c>
      <c r="H288" t="s">
        <v>111</v>
      </c>
      <c r="I288" t="s">
        <v>113</v>
      </c>
      <c r="J288">
        <v>0.14000000000000001</v>
      </c>
      <c r="K288">
        <v>0.1212</v>
      </c>
      <c r="L288">
        <v>0.5</v>
      </c>
      <c r="M288">
        <v>0.32840000000000003</v>
      </c>
      <c r="N288">
        <v>2</v>
      </c>
      <c r="O288">
        <v>137</v>
      </c>
      <c r="P288">
        <v>139</v>
      </c>
    </row>
    <row r="289" spans="1:16" x14ac:dyDescent="0.35">
      <c r="A289">
        <v>288</v>
      </c>
      <c r="B289" s="37">
        <v>40556</v>
      </c>
      <c r="C289">
        <v>1</v>
      </c>
      <c r="D289">
        <v>0</v>
      </c>
      <c r="E289" t="s">
        <v>104</v>
      </c>
      <c r="F289">
        <v>10</v>
      </c>
      <c r="G289" t="b">
        <v>0</v>
      </c>
      <c r="H289" t="s">
        <v>111</v>
      </c>
      <c r="I289" t="s">
        <v>114</v>
      </c>
      <c r="J289">
        <v>0.16</v>
      </c>
      <c r="K289">
        <v>0.13639999999999999</v>
      </c>
      <c r="L289">
        <v>0.5</v>
      </c>
      <c r="M289">
        <v>0.35820000000000002</v>
      </c>
      <c r="N289">
        <v>2</v>
      </c>
      <c r="O289">
        <v>36</v>
      </c>
      <c r="P289">
        <v>38</v>
      </c>
    </row>
    <row r="290" spans="1:16" x14ac:dyDescent="0.35">
      <c r="A290">
        <v>289</v>
      </c>
      <c r="B290" s="37">
        <v>40556</v>
      </c>
      <c r="C290">
        <v>1</v>
      </c>
      <c r="D290">
        <v>0</v>
      </c>
      <c r="E290" t="s">
        <v>104</v>
      </c>
      <c r="F290">
        <v>11</v>
      </c>
      <c r="G290" t="b">
        <v>0</v>
      </c>
      <c r="H290" t="s">
        <v>111</v>
      </c>
      <c r="I290" t="s">
        <v>114</v>
      </c>
      <c r="J290">
        <v>0.2</v>
      </c>
      <c r="K290">
        <v>0.16669999999999999</v>
      </c>
      <c r="L290">
        <v>0.44</v>
      </c>
      <c r="M290">
        <v>0.44779999999999998</v>
      </c>
      <c r="N290">
        <v>4</v>
      </c>
      <c r="O290">
        <v>33</v>
      </c>
      <c r="P290">
        <v>37</v>
      </c>
    </row>
    <row r="291" spans="1:16" x14ac:dyDescent="0.35">
      <c r="A291">
        <v>290</v>
      </c>
      <c r="B291" s="37">
        <v>40556</v>
      </c>
      <c r="C291">
        <v>1</v>
      </c>
      <c r="D291">
        <v>0</v>
      </c>
      <c r="E291" t="s">
        <v>104</v>
      </c>
      <c r="F291">
        <v>12</v>
      </c>
      <c r="G291" t="b">
        <v>0</v>
      </c>
      <c r="H291" t="s">
        <v>111</v>
      </c>
      <c r="I291" t="s">
        <v>113</v>
      </c>
      <c r="J291">
        <v>0.2</v>
      </c>
      <c r="K291">
        <v>0.16669999999999999</v>
      </c>
      <c r="L291">
        <v>0.44</v>
      </c>
      <c r="M291">
        <v>0.41789999999999999</v>
      </c>
      <c r="N291">
        <v>3</v>
      </c>
      <c r="O291">
        <v>49</v>
      </c>
      <c r="P291">
        <v>52</v>
      </c>
    </row>
    <row r="292" spans="1:16" x14ac:dyDescent="0.35">
      <c r="A292">
        <v>291</v>
      </c>
      <c r="B292" s="37">
        <v>40556</v>
      </c>
      <c r="C292">
        <v>1</v>
      </c>
      <c r="D292">
        <v>0</v>
      </c>
      <c r="E292" t="s">
        <v>104</v>
      </c>
      <c r="F292">
        <v>13</v>
      </c>
      <c r="G292" t="b">
        <v>0</v>
      </c>
      <c r="H292" t="s">
        <v>111</v>
      </c>
      <c r="I292" t="s">
        <v>113</v>
      </c>
      <c r="J292">
        <v>0.22</v>
      </c>
      <c r="K292">
        <v>0.19700000000000001</v>
      </c>
      <c r="L292">
        <v>0.41</v>
      </c>
      <c r="M292">
        <v>0.44779999999999998</v>
      </c>
      <c r="N292">
        <v>2</v>
      </c>
      <c r="O292">
        <v>81</v>
      </c>
      <c r="P292">
        <v>83</v>
      </c>
    </row>
    <row r="293" spans="1:16" x14ac:dyDescent="0.35">
      <c r="A293">
        <v>292</v>
      </c>
      <c r="B293" s="37">
        <v>40556</v>
      </c>
      <c r="C293">
        <v>1</v>
      </c>
      <c r="D293">
        <v>0</v>
      </c>
      <c r="E293" t="s">
        <v>104</v>
      </c>
      <c r="F293">
        <v>14</v>
      </c>
      <c r="G293" t="b">
        <v>0</v>
      </c>
      <c r="H293" t="s">
        <v>111</v>
      </c>
      <c r="I293" t="s">
        <v>113</v>
      </c>
      <c r="J293">
        <v>0.22</v>
      </c>
      <c r="K293">
        <v>0.19700000000000001</v>
      </c>
      <c r="L293">
        <v>0.41</v>
      </c>
      <c r="M293">
        <v>0.3881</v>
      </c>
      <c r="N293">
        <v>3</v>
      </c>
      <c r="O293">
        <v>39</v>
      </c>
      <c r="P293">
        <v>42</v>
      </c>
    </row>
    <row r="294" spans="1:16" x14ac:dyDescent="0.35">
      <c r="A294">
        <v>293</v>
      </c>
      <c r="B294" s="37">
        <v>40556</v>
      </c>
      <c r="C294">
        <v>1</v>
      </c>
      <c r="D294">
        <v>0</v>
      </c>
      <c r="E294" t="s">
        <v>104</v>
      </c>
      <c r="F294">
        <v>15</v>
      </c>
      <c r="G294" t="b">
        <v>0</v>
      </c>
      <c r="H294" t="s">
        <v>111</v>
      </c>
      <c r="I294" t="s">
        <v>113</v>
      </c>
      <c r="J294">
        <v>0.24</v>
      </c>
      <c r="K294">
        <v>0.21210000000000001</v>
      </c>
      <c r="L294">
        <v>0.38</v>
      </c>
      <c r="M294">
        <v>0.29849999999999999</v>
      </c>
      <c r="N294">
        <v>5</v>
      </c>
      <c r="O294">
        <v>55</v>
      </c>
      <c r="P294">
        <v>60</v>
      </c>
    </row>
    <row r="295" spans="1:16" x14ac:dyDescent="0.35">
      <c r="A295">
        <v>294</v>
      </c>
      <c r="B295" s="37">
        <v>40556</v>
      </c>
      <c r="C295">
        <v>1</v>
      </c>
      <c r="D295">
        <v>0</v>
      </c>
      <c r="E295" t="s">
        <v>104</v>
      </c>
      <c r="F295">
        <v>16</v>
      </c>
      <c r="G295" t="b">
        <v>0</v>
      </c>
      <c r="H295" t="s">
        <v>111</v>
      </c>
      <c r="I295" t="s">
        <v>113</v>
      </c>
      <c r="J295">
        <v>0.24</v>
      </c>
      <c r="K295">
        <v>0.21210000000000001</v>
      </c>
      <c r="L295">
        <v>0.38</v>
      </c>
      <c r="M295">
        <v>0.35820000000000002</v>
      </c>
      <c r="N295">
        <v>2</v>
      </c>
      <c r="O295">
        <v>76</v>
      </c>
      <c r="P295">
        <v>78</v>
      </c>
    </row>
    <row r="296" spans="1:16" x14ac:dyDescent="0.35">
      <c r="A296">
        <v>295</v>
      </c>
      <c r="B296" s="37">
        <v>40556</v>
      </c>
      <c r="C296">
        <v>1</v>
      </c>
      <c r="D296">
        <v>0</v>
      </c>
      <c r="E296" t="s">
        <v>104</v>
      </c>
      <c r="F296">
        <v>17</v>
      </c>
      <c r="G296" t="b">
        <v>0</v>
      </c>
      <c r="H296" t="s">
        <v>111</v>
      </c>
      <c r="I296" t="s">
        <v>113</v>
      </c>
      <c r="J296">
        <v>0.2</v>
      </c>
      <c r="K296">
        <v>0.18179999999999999</v>
      </c>
      <c r="L296">
        <v>0.4</v>
      </c>
      <c r="M296">
        <v>0.28360000000000002</v>
      </c>
      <c r="N296">
        <v>4</v>
      </c>
      <c r="O296">
        <v>158</v>
      </c>
      <c r="P296">
        <v>162</v>
      </c>
    </row>
    <row r="297" spans="1:16" x14ac:dyDescent="0.35">
      <c r="A297">
        <v>296</v>
      </c>
      <c r="B297" s="37">
        <v>40556</v>
      </c>
      <c r="C297">
        <v>1</v>
      </c>
      <c r="D297">
        <v>0</v>
      </c>
      <c r="E297" t="s">
        <v>104</v>
      </c>
      <c r="F297">
        <v>18</v>
      </c>
      <c r="G297" t="b">
        <v>0</v>
      </c>
      <c r="H297" t="s">
        <v>111</v>
      </c>
      <c r="I297" t="s">
        <v>113</v>
      </c>
      <c r="J297">
        <v>0.2</v>
      </c>
      <c r="K297">
        <v>0.18179999999999999</v>
      </c>
      <c r="L297">
        <v>0.4</v>
      </c>
      <c r="M297">
        <v>0.32840000000000003</v>
      </c>
      <c r="N297">
        <v>3</v>
      </c>
      <c r="O297">
        <v>141</v>
      </c>
      <c r="P297">
        <v>144</v>
      </c>
    </row>
    <row r="298" spans="1:16" x14ac:dyDescent="0.35">
      <c r="A298">
        <v>297</v>
      </c>
      <c r="B298" s="37">
        <v>40556</v>
      </c>
      <c r="C298">
        <v>1</v>
      </c>
      <c r="D298">
        <v>0</v>
      </c>
      <c r="E298" t="s">
        <v>104</v>
      </c>
      <c r="F298">
        <v>19</v>
      </c>
      <c r="G298" t="b">
        <v>0</v>
      </c>
      <c r="H298" t="s">
        <v>111</v>
      </c>
      <c r="I298" t="s">
        <v>113</v>
      </c>
      <c r="J298">
        <v>0.16</v>
      </c>
      <c r="K298">
        <v>0.1515</v>
      </c>
      <c r="L298">
        <v>0.47</v>
      </c>
      <c r="M298">
        <v>0.25369999999999998</v>
      </c>
      <c r="N298">
        <v>1</v>
      </c>
      <c r="O298">
        <v>98</v>
      </c>
      <c r="P298">
        <v>99</v>
      </c>
    </row>
    <row r="299" spans="1:16" x14ac:dyDescent="0.35">
      <c r="A299">
        <v>298</v>
      </c>
      <c r="B299" s="37">
        <v>40556</v>
      </c>
      <c r="C299">
        <v>1</v>
      </c>
      <c r="D299">
        <v>0</v>
      </c>
      <c r="E299" t="s">
        <v>104</v>
      </c>
      <c r="F299">
        <v>20</v>
      </c>
      <c r="G299" t="b">
        <v>0</v>
      </c>
      <c r="H299" t="s">
        <v>111</v>
      </c>
      <c r="I299" t="s">
        <v>113</v>
      </c>
      <c r="J299">
        <v>0.16</v>
      </c>
      <c r="K299">
        <v>0.1515</v>
      </c>
      <c r="L299">
        <v>0.47</v>
      </c>
      <c r="M299">
        <v>0.22389999999999999</v>
      </c>
      <c r="N299">
        <v>0</v>
      </c>
      <c r="O299">
        <v>64</v>
      </c>
      <c r="P299">
        <v>64</v>
      </c>
    </row>
    <row r="300" spans="1:16" x14ac:dyDescent="0.35">
      <c r="A300">
        <v>299</v>
      </c>
      <c r="B300" s="37">
        <v>40556</v>
      </c>
      <c r="C300">
        <v>1</v>
      </c>
      <c r="D300">
        <v>0</v>
      </c>
      <c r="E300" t="s">
        <v>104</v>
      </c>
      <c r="F300">
        <v>21</v>
      </c>
      <c r="G300" t="b">
        <v>0</v>
      </c>
      <c r="H300" t="s">
        <v>111</v>
      </c>
      <c r="I300" t="s">
        <v>113</v>
      </c>
      <c r="J300">
        <v>0.14000000000000001</v>
      </c>
      <c r="K300">
        <v>0.1212</v>
      </c>
      <c r="L300">
        <v>0.46</v>
      </c>
      <c r="M300">
        <v>0.29849999999999999</v>
      </c>
      <c r="N300">
        <v>0</v>
      </c>
      <c r="O300">
        <v>40</v>
      </c>
      <c r="P300">
        <v>40</v>
      </c>
    </row>
    <row r="301" spans="1:16" x14ac:dyDescent="0.35">
      <c r="A301">
        <v>300</v>
      </c>
      <c r="B301" s="37">
        <v>40556</v>
      </c>
      <c r="C301">
        <v>1</v>
      </c>
      <c r="D301">
        <v>0</v>
      </c>
      <c r="E301" t="s">
        <v>104</v>
      </c>
      <c r="F301">
        <v>22</v>
      </c>
      <c r="G301" t="b">
        <v>0</v>
      </c>
      <c r="H301" t="s">
        <v>111</v>
      </c>
      <c r="I301" t="s">
        <v>113</v>
      </c>
      <c r="J301">
        <v>0.14000000000000001</v>
      </c>
      <c r="K301">
        <v>0.1212</v>
      </c>
      <c r="L301">
        <v>0.46</v>
      </c>
      <c r="M301">
        <v>0.32840000000000003</v>
      </c>
      <c r="N301">
        <v>0</v>
      </c>
      <c r="O301">
        <v>30</v>
      </c>
      <c r="P301">
        <v>30</v>
      </c>
    </row>
    <row r="302" spans="1:16" x14ac:dyDescent="0.35">
      <c r="A302">
        <v>301</v>
      </c>
      <c r="B302" s="37">
        <v>40556</v>
      </c>
      <c r="C302">
        <v>1</v>
      </c>
      <c r="D302">
        <v>0</v>
      </c>
      <c r="E302" t="s">
        <v>104</v>
      </c>
      <c r="F302">
        <v>23</v>
      </c>
      <c r="G302" t="b">
        <v>0</v>
      </c>
      <c r="H302" t="s">
        <v>111</v>
      </c>
      <c r="I302" t="s">
        <v>113</v>
      </c>
      <c r="J302">
        <v>0.12</v>
      </c>
      <c r="K302">
        <v>0.13639999999999999</v>
      </c>
      <c r="L302">
        <v>0.5</v>
      </c>
      <c r="M302">
        <v>0.19400000000000001</v>
      </c>
      <c r="N302">
        <v>1</v>
      </c>
      <c r="O302">
        <v>14</v>
      </c>
      <c r="P302">
        <v>15</v>
      </c>
    </row>
    <row r="303" spans="1:16" x14ac:dyDescent="0.35">
      <c r="A303">
        <v>302</v>
      </c>
      <c r="B303" s="37">
        <v>40557</v>
      </c>
      <c r="C303">
        <v>1</v>
      </c>
      <c r="D303">
        <v>0</v>
      </c>
      <c r="E303" t="s">
        <v>104</v>
      </c>
      <c r="F303">
        <v>0</v>
      </c>
      <c r="G303" t="b">
        <v>0</v>
      </c>
      <c r="H303" t="s">
        <v>112</v>
      </c>
      <c r="I303" t="s">
        <v>113</v>
      </c>
      <c r="J303">
        <v>0.12</v>
      </c>
      <c r="K303">
        <v>0.13639999999999999</v>
      </c>
      <c r="L303">
        <v>0.5</v>
      </c>
      <c r="M303">
        <v>0.19400000000000001</v>
      </c>
      <c r="N303">
        <v>0</v>
      </c>
      <c r="O303">
        <v>14</v>
      </c>
      <c r="P303">
        <v>14</v>
      </c>
    </row>
    <row r="304" spans="1:16" x14ac:dyDescent="0.35">
      <c r="A304">
        <v>303</v>
      </c>
      <c r="B304" s="37">
        <v>40557</v>
      </c>
      <c r="C304">
        <v>1</v>
      </c>
      <c r="D304">
        <v>0</v>
      </c>
      <c r="E304" t="s">
        <v>104</v>
      </c>
      <c r="F304">
        <v>1</v>
      </c>
      <c r="G304" t="b">
        <v>0</v>
      </c>
      <c r="H304" t="s">
        <v>112</v>
      </c>
      <c r="I304" t="s">
        <v>113</v>
      </c>
      <c r="J304">
        <v>0.1</v>
      </c>
      <c r="K304">
        <v>0.1212</v>
      </c>
      <c r="L304">
        <v>0.54</v>
      </c>
      <c r="M304">
        <v>0.16420000000000001</v>
      </c>
      <c r="N304">
        <v>0</v>
      </c>
      <c r="O304">
        <v>5</v>
      </c>
      <c r="P304">
        <v>5</v>
      </c>
    </row>
    <row r="305" spans="1:16" x14ac:dyDescent="0.35">
      <c r="A305">
        <v>304</v>
      </c>
      <c r="B305" s="37">
        <v>40557</v>
      </c>
      <c r="C305">
        <v>1</v>
      </c>
      <c r="D305">
        <v>0</v>
      </c>
      <c r="E305" t="s">
        <v>104</v>
      </c>
      <c r="F305">
        <v>2</v>
      </c>
      <c r="G305" t="b">
        <v>0</v>
      </c>
      <c r="H305" t="s">
        <v>112</v>
      </c>
      <c r="I305" t="s">
        <v>113</v>
      </c>
      <c r="J305">
        <v>0.1</v>
      </c>
      <c r="K305">
        <v>0.1212</v>
      </c>
      <c r="L305">
        <v>0.54</v>
      </c>
      <c r="M305">
        <v>0.1343</v>
      </c>
      <c r="N305">
        <v>0</v>
      </c>
      <c r="O305">
        <v>1</v>
      </c>
      <c r="P305">
        <v>1</v>
      </c>
    </row>
    <row r="306" spans="1:16" x14ac:dyDescent="0.35">
      <c r="A306">
        <v>305</v>
      </c>
      <c r="B306" s="37">
        <v>40557</v>
      </c>
      <c r="C306">
        <v>1</v>
      </c>
      <c r="D306">
        <v>0</v>
      </c>
      <c r="E306" t="s">
        <v>104</v>
      </c>
      <c r="F306">
        <v>3</v>
      </c>
      <c r="G306" t="b">
        <v>0</v>
      </c>
      <c r="H306" t="s">
        <v>112</v>
      </c>
      <c r="I306" t="s">
        <v>113</v>
      </c>
      <c r="J306">
        <v>0.1</v>
      </c>
      <c r="K306">
        <v>0.13639999999999999</v>
      </c>
      <c r="L306">
        <v>0.54</v>
      </c>
      <c r="M306">
        <v>0.1045</v>
      </c>
      <c r="N306">
        <v>0</v>
      </c>
      <c r="O306">
        <v>1</v>
      </c>
      <c r="P306">
        <v>1</v>
      </c>
    </row>
    <row r="307" spans="1:16" x14ac:dyDescent="0.35">
      <c r="A307">
        <v>306</v>
      </c>
      <c r="B307" s="37">
        <v>40557</v>
      </c>
      <c r="C307">
        <v>1</v>
      </c>
      <c r="D307">
        <v>0</v>
      </c>
      <c r="E307" t="s">
        <v>104</v>
      </c>
      <c r="F307">
        <v>5</v>
      </c>
      <c r="G307" t="b">
        <v>0</v>
      </c>
      <c r="H307" t="s">
        <v>112</v>
      </c>
      <c r="I307" t="s">
        <v>113</v>
      </c>
      <c r="J307">
        <v>0.1</v>
      </c>
      <c r="K307">
        <v>0.13639999999999999</v>
      </c>
      <c r="L307">
        <v>0.54</v>
      </c>
      <c r="M307">
        <v>8.9599999999999999E-2</v>
      </c>
      <c r="N307">
        <v>0</v>
      </c>
      <c r="O307">
        <v>8</v>
      </c>
      <c r="P307">
        <v>8</v>
      </c>
    </row>
    <row r="308" spans="1:16" x14ac:dyDescent="0.35">
      <c r="A308">
        <v>307</v>
      </c>
      <c r="B308" s="37">
        <v>40557</v>
      </c>
      <c r="C308">
        <v>1</v>
      </c>
      <c r="D308">
        <v>0</v>
      </c>
      <c r="E308" t="s">
        <v>104</v>
      </c>
      <c r="F308">
        <v>6</v>
      </c>
      <c r="G308" t="b">
        <v>0</v>
      </c>
      <c r="H308" t="s">
        <v>112</v>
      </c>
      <c r="I308" t="s">
        <v>113</v>
      </c>
      <c r="J308">
        <v>0.1</v>
      </c>
      <c r="K308">
        <v>0.18179999999999999</v>
      </c>
      <c r="L308">
        <v>0.54</v>
      </c>
      <c r="M308">
        <v>0</v>
      </c>
      <c r="N308">
        <v>0</v>
      </c>
      <c r="O308">
        <v>17</v>
      </c>
      <c r="P308">
        <v>17</v>
      </c>
    </row>
    <row r="309" spans="1:16" x14ac:dyDescent="0.35">
      <c r="A309">
        <v>308</v>
      </c>
      <c r="B309" s="37">
        <v>40557</v>
      </c>
      <c r="C309">
        <v>1</v>
      </c>
      <c r="D309">
        <v>0</v>
      </c>
      <c r="E309" t="s">
        <v>104</v>
      </c>
      <c r="F309">
        <v>7</v>
      </c>
      <c r="G309" t="b">
        <v>0</v>
      </c>
      <c r="H309" t="s">
        <v>112</v>
      </c>
      <c r="I309" t="s">
        <v>113</v>
      </c>
      <c r="J309">
        <v>0.1</v>
      </c>
      <c r="K309">
        <v>0.1212</v>
      </c>
      <c r="L309">
        <v>0.74</v>
      </c>
      <c r="M309">
        <v>0.16420000000000001</v>
      </c>
      <c r="N309">
        <v>0</v>
      </c>
      <c r="O309">
        <v>70</v>
      </c>
      <c r="P309">
        <v>70</v>
      </c>
    </row>
    <row r="310" spans="1:16" x14ac:dyDescent="0.35">
      <c r="A310">
        <v>309</v>
      </c>
      <c r="B310" s="37">
        <v>40557</v>
      </c>
      <c r="C310">
        <v>1</v>
      </c>
      <c r="D310">
        <v>0</v>
      </c>
      <c r="E310" t="s">
        <v>104</v>
      </c>
      <c r="F310">
        <v>8</v>
      </c>
      <c r="G310" t="b">
        <v>0</v>
      </c>
      <c r="H310" t="s">
        <v>112</v>
      </c>
      <c r="I310" t="s">
        <v>113</v>
      </c>
      <c r="J310">
        <v>0.12</v>
      </c>
      <c r="K310">
        <v>0.16669999999999999</v>
      </c>
      <c r="L310">
        <v>0.68</v>
      </c>
      <c r="M310">
        <v>0</v>
      </c>
      <c r="N310">
        <v>2</v>
      </c>
      <c r="O310">
        <v>156</v>
      </c>
      <c r="P310">
        <v>158</v>
      </c>
    </row>
    <row r="311" spans="1:16" x14ac:dyDescent="0.35">
      <c r="A311">
        <v>310</v>
      </c>
      <c r="B311" s="37">
        <v>40557</v>
      </c>
      <c r="C311">
        <v>1</v>
      </c>
      <c r="D311">
        <v>0</v>
      </c>
      <c r="E311" t="s">
        <v>104</v>
      </c>
      <c r="F311">
        <v>9</v>
      </c>
      <c r="G311" t="b">
        <v>0</v>
      </c>
      <c r="H311" t="s">
        <v>112</v>
      </c>
      <c r="I311" t="s">
        <v>113</v>
      </c>
      <c r="J311">
        <v>0.14000000000000001</v>
      </c>
      <c r="K311">
        <v>0.1515</v>
      </c>
      <c r="L311">
        <v>0.69</v>
      </c>
      <c r="M311">
        <v>0.1343</v>
      </c>
      <c r="N311">
        <v>0</v>
      </c>
      <c r="O311">
        <v>117</v>
      </c>
      <c r="P311">
        <v>117</v>
      </c>
    </row>
    <row r="312" spans="1:16" x14ac:dyDescent="0.35">
      <c r="A312">
        <v>311</v>
      </c>
      <c r="B312" s="37">
        <v>40557</v>
      </c>
      <c r="C312">
        <v>1</v>
      </c>
      <c r="D312">
        <v>0</v>
      </c>
      <c r="E312" t="s">
        <v>104</v>
      </c>
      <c r="F312">
        <v>10</v>
      </c>
      <c r="G312" t="b">
        <v>0</v>
      </c>
      <c r="H312" t="s">
        <v>112</v>
      </c>
      <c r="I312" t="s">
        <v>113</v>
      </c>
      <c r="J312">
        <v>0.18</v>
      </c>
      <c r="K312">
        <v>0.18179999999999999</v>
      </c>
      <c r="L312">
        <v>0.55000000000000004</v>
      </c>
      <c r="M312">
        <v>0.19400000000000001</v>
      </c>
      <c r="N312">
        <v>4</v>
      </c>
      <c r="O312">
        <v>40</v>
      </c>
      <c r="P312">
        <v>44</v>
      </c>
    </row>
    <row r="313" spans="1:16" x14ac:dyDescent="0.35">
      <c r="A313">
        <v>312</v>
      </c>
      <c r="B313" s="37">
        <v>40557</v>
      </c>
      <c r="C313">
        <v>1</v>
      </c>
      <c r="D313">
        <v>0</v>
      </c>
      <c r="E313" t="s">
        <v>104</v>
      </c>
      <c r="F313">
        <v>11</v>
      </c>
      <c r="G313" t="b">
        <v>0</v>
      </c>
      <c r="H313" t="s">
        <v>112</v>
      </c>
      <c r="I313" t="s">
        <v>113</v>
      </c>
      <c r="J313">
        <v>0.18</v>
      </c>
      <c r="K313">
        <v>0.16669999999999999</v>
      </c>
      <c r="L313">
        <v>0.51</v>
      </c>
      <c r="M313">
        <v>0.28360000000000002</v>
      </c>
      <c r="N313">
        <v>6</v>
      </c>
      <c r="O313">
        <v>47</v>
      </c>
      <c r="P313">
        <v>53</v>
      </c>
    </row>
    <row r="314" spans="1:16" x14ac:dyDescent="0.35">
      <c r="A314">
        <v>313</v>
      </c>
      <c r="B314" s="37">
        <v>40557</v>
      </c>
      <c r="C314">
        <v>1</v>
      </c>
      <c r="D314">
        <v>0</v>
      </c>
      <c r="E314" t="s">
        <v>104</v>
      </c>
      <c r="F314">
        <v>12</v>
      </c>
      <c r="G314" t="b">
        <v>0</v>
      </c>
      <c r="H314" t="s">
        <v>112</v>
      </c>
      <c r="I314" t="s">
        <v>113</v>
      </c>
      <c r="J314">
        <v>0.2</v>
      </c>
      <c r="K314">
        <v>0.19700000000000001</v>
      </c>
      <c r="L314">
        <v>0.44</v>
      </c>
      <c r="M314">
        <v>0.25369999999999998</v>
      </c>
      <c r="N314">
        <v>2</v>
      </c>
      <c r="O314">
        <v>59</v>
      </c>
      <c r="P314">
        <v>61</v>
      </c>
    </row>
    <row r="315" spans="1:16" x14ac:dyDescent="0.35">
      <c r="A315">
        <v>314</v>
      </c>
      <c r="B315" s="37">
        <v>40557</v>
      </c>
      <c r="C315">
        <v>1</v>
      </c>
      <c r="D315">
        <v>0</v>
      </c>
      <c r="E315" t="s">
        <v>104</v>
      </c>
      <c r="F315">
        <v>13</v>
      </c>
      <c r="G315" t="b">
        <v>0</v>
      </c>
      <c r="H315" t="s">
        <v>112</v>
      </c>
      <c r="I315" t="s">
        <v>113</v>
      </c>
      <c r="J315">
        <v>0.22</v>
      </c>
      <c r="K315">
        <v>0.19700000000000001</v>
      </c>
      <c r="L315">
        <v>0.37</v>
      </c>
      <c r="M315">
        <v>0.3881</v>
      </c>
      <c r="N315">
        <v>4</v>
      </c>
      <c r="O315">
        <v>73</v>
      </c>
      <c r="P315">
        <v>77</v>
      </c>
    </row>
    <row r="316" spans="1:16" x14ac:dyDescent="0.35">
      <c r="A316">
        <v>315</v>
      </c>
      <c r="B316" s="37">
        <v>40557</v>
      </c>
      <c r="C316">
        <v>1</v>
      </c>
      <c r="D316">
        <v>0</v>
      </c>
      <c r="E316" t="s">
        <v>104</v>
      </c>
      <c r="F316">
        <v>14</v>
      </c>
      <c r="G316" t="b">
        <v>0</v>
      </c>
      <c r="H316" t="s">
        <v>112</v>
      </c>
      <c r="I316" t="s">
        <v>113</v>
      </c>
      <c r="J316">
        <v>0.22</v>
      </c>
      <c r="K316">
        <v>0.21210000000000001</v>
      </c>
      <c r="L316">
        <v>0.41</v>
      </c>
      <c r="M316">
        <v>0.28360000000000002</v>
      </c>
      <c r="N316">
        <v>5</v>
      </c>
      <c r="O316">
        <v>59</v>
      </c>
      <c r="P316">
        <v>64</v>
      </c>
    </row>
    <row r="317" spans="1:16" x14ac:dyDescent="0.35">
      <c r="A317">
        <v>316</v>
      </c>
      <c r="B317" s="37">
        <v>40557</v>
      </c>
      <c r="C317">
        <v>1</v>
      </c>
      <c r="D317">
        <v>0</v>
      </c>
      <c r="E317" t="s">
        <v>104</v>
      </c>
      <c r="F317">
        <v>15</v>
      </c>
      <c r="G317" t="b">
        <v>0</v>
      </c>
      <c r="H317" t="s">
        <v>112</v>
      </c>
      <c r="I317" t="s">
        <v>113</v>
      </c>
      <c r="J317">
        <v>0.24</v>
      </c>
      <c r="K317">
        <v>0.2424</v>
      </c>
      <c r="L317">
        <v>0.38</v>
      </c>
      <c r="M317">
        <v>0.16420000000000001</v>
      </c>
      <c r="N317">
        <v>9</v>
      </c>
      <c r="O317">
        <v>59</v>
      </c>
      <c r="P317">
        <v>68</v>
      </c>
    </row>
    <row r="318" spans="1:16" x14ac:dyDescent="0.35">
      <c r="A318">
        <v>317</v>
      </c>
      <c r="B318" s="37">
        <v>40557</v>
      </c>
      <c r="C318">
        <v>1</v>
      </c>
      <c r="D318">
        <v>0</v>
      </c>
      <c r="E318" t="s">
        <v>104</v>
      </c>
      <c r="F318">
        <v>16</v>
      </c>
      <c r="G318" t="b">
        <v>0</v>
      </c>
      <c r="H318" t="s">
        <v>112</v>
      </c>
      <c r="I318" t="s">
        <v>113</v>
      </c>
      <c r="J318">
        <v>0.22</v>
      </c>
      <c r="K318">
        <v>0.2424</v>
      </c>
      <c r="L318">
        <v>0.41</v>
      </c>
      <c r="M318">
        <v>0.1045</v>
      </c>
      <c r="N318">
        <v>3</v>
      </c>
      <c r="O318">
        <v>87</v>
      </c>
      <c r="P318">
        <v>90</v>
      </c>
    </row>
    <row r="319" spans="1:16" x14ac:dyDescent="0.35">
      <c r="A319">
        <v>318</v>
      </c>
      <c r="B319" s="37">
        <v>40557</v>
      </c>
      <c r="C319">
        <v>1</v>
      </c>
      <c r="D319">
        <v>0</v>
      </c>
      <c r="E319" t="s">
        <v>104</v>
      </c>
      <c r="F319">
        <v>17</v>
      </c>
      <c r="G319" t="b">
        <v>0</v>
      </c>
      <c r="H319" t="s">
        <v>112</v>
      </c>
      <c r="I319" t="s">
        <v>113</v>
      </c>
      <c r="J319">
        <v>0.22</v>
      </c>
      <c r="K319">
        <v>0.2273</v>
      </c>
      <c r="L319">
        <v>0.41</v>
      </c>
      <c r="M319">
        <v>0.16420000000000001</v>
      </c>
      <c r="N319">
        <v>4</v>
      </c>
      <c r="O319">
        <v>155</v>
      </c>
      <c r="P319">
        <v>159</v>
      </c>
    </row>
    <row r="320" spans="1:16" x14ac:dyDescent="0.35">
      <c r="A320">
        <v>319</v>
      </c>
      <c r="B320" s="37">
        <v>40557</v>
      </c>
      <c r="C320">
        <v>1</v>
      </c>
      <c r="D320">
        <v>0</v>
      </c>
      <c r="E320" t="s">
        <v>104</v>
      </c>
      <c r="F320">
        <v>18</v>
      </c>
      <c r="G320" t="b">
        <v>0</v>
      </c>
      <c r="H320" t="s">
        <v>112</v>
      </c>
      <c r="I320" t="s">
        <v>113</v>
      </c>
      <c r="J320">
        <v>0.2</v>
      </c>
      <c r="K320">
        <v>0.2576</v>
      </c>
      <c r="L320">
        <v>0.47</v>
      </c>
      <c r="M320">
        <v>0</v>
      </c>
      <c r="N320">
        <v>5</v>
      </c>
      <c r="O320">
        <v>134</v>
      </c>
      <c r="P320">
        <v>139</v>
      </c>
    </row>
    <row r="321" spans="1:16" x14ac:dyDescent="0.35">
      <c r="A321">
        <v>320</v>
      </c>
      <c r="B321" s="37">
        <v>40557</v>
      </c>
      <c r="C321">
        <v>1</v>
      </c>
      <c r="D321">
        <v>0</v>
      </c>
      <c r="E321" t="s">
        <v>104</v>
      </c>
      <c r="F321">
        <v>19</v>
      </c>
      <c r="G321" t="b">
        <v>0</v>
      </c>
      <c r="H321" t="s">
        <v>112</v>
      </c>
      <c r="I321" t="s">
        <v>113</v>
      </c>
      <c r="J321">
        <v>0.16</v>
      </c>
      <c r="K321">
        <v>0.19700000000000001</v>
      </c>
      <c r="L321">
        <v>0.59</v>
      </c>
      <c r="M321">
        <v>8.9599999999999999E-2</v>
      </c>
      <c r="N321">
        <v>3</v>
      </c>
      <c r="O321">
        <v>89</v>
      </c>
      <c r="P321">
        <v>92</v>
      </c>
    </row>
    <row r="322" spans="1:16" x14ac:dyDescent="0.35">
      <c r="A322">
        <v>321</v>
      </c>
      <c r="B322" s="37">
        <v>40557</v>
      </c>
      <c r="C322">
        <v>1</v>
      </c>
      <c r="D322">
        <v>0</v>
      </c>
      <c r="E322" t="s">
        <v>104</v>
      </c>
      <c r="F322">
        <v>20</v>
      </c>
      <c r="G322" t="b">
        <v>0</v>
      </c>
      <c r="H322" t="s">
        <v>112</v>
      </c>
      <c r="I322" t="s">
        <v>113</v>
      </c>
      <c r="J322">
        <v>0.18</v>
      </c>
      <c r="K322">
        <v>0.2424</v>
      </c>
      <c r="L322">
        <v>0.59</v>
      </c>
      <c r="M322">
        <v>0</v>
      </c>
      <c r="N322">
        <v>0</v>
      </c>
      <c r="O322">
        <v>68</v>
      </c>
      <c r="P322">
        <v>68</v>
      </c>
    </row>
    <row r="323" spans="1:16" x14ac:dyDescent="0.35">
      <c r="A323">
        <v>322</v>
      </c>
      <c r="B323" s="37">
        <v>40557</v>
      </c>
      <c r="C323">
        <v>1</v>
      </c>
      <c r="D323">
        <v>0</v>
      </c>
      <c r="E323" t="s">
        <v>104</v>
      </c>
      <c r="F323">
        <v>21</v>
      </c>
      <c r="G323" t="b">
        <v>0</v>
      </c>
      <c r="H323" t="s">
        <v>112</v>
      </c>
      <c r="I323" t="s">
        <v>113</v>
      </c>
      <c r="J323">
        <v>0.16</v>
      </c>
      <c r="K323">
        <v>0.2273</v>
      </c>
      <c r="L323">
        <v>0.69</v>
      </c>
      <c r="M323">
        <v>0</v>
      </c>
      <c r="N323">
        <v>4</v>
      </c>
      <c r="O323">
        <v>48</v>
      </c>
      <c r="P323">
        <v>52</v>
      </c>
    </row>
    <row r="324" spans="1:16" x14ac:dyDescent="0.35">
      <c r="A324">
        <v>323</v>
      </c>
      <c r="B324" s="37">
        <v>40557</v>
      </c>
      <c r="C324">
        <v>1</v>
      </c>
      <c r="D324">
        <v>0</v>
      </c>
      <c r="E324" t="s">
        <v>104</v>
      </c>
      <c r="F324">
        <v>22</v>
      </c>
      <c r="G324" t="b">
        <v>0</v>
      </c>
      <c r="H324" t="s">
        <v>112</v>
      </c>
      <c r="I324" t="s">
        <v>114</v>
      </c>
      <c r="J324">
        <v>0.16</v>
      </c>
      <c r="K324">
        <v>0.2273</v>
      </c>
      <c r="L324">
        <v>0.69</v>
      </c>
      <c r="M324">
        <v>0</v>
      </c>
      <c r="N324">
        <v>2</v>
      </c>
      <c r="O324">
        <v>34</v>
      </c>
      <c r="P324">
        <v>36</v>
      </c>
    </row>
    <row r="325" spans="1:16" x14ac:dyDescent="0.35">
      <c r="A325">
        <v>324</v>
      </c>
      <c r="B325" s="37">
        <v>40557</v>
      </c>
      <c r="C325">
        <v>1</v>
      </c>
      <c r="D325">
        <v>0</v>
      </c>
      <c r="E325" t="s">
        <v>104</v>
      </c>
      <c r="F325">
        <v>23</v>
      </c>
      <c r="G325" t="b">
        <v>0</v>
      </c>
      <c r="H325" t="s">
        <v>112</v>
      </c>
      <c r="I325" t="s">
        <v>114</v>
      </c>
      <c r="J325">
        <v>0.18</v>
      </c>
      <c r="K325">
        <v>0.2424</v>
      </c>
      <c r="L325">
        <v>0.55000000000000004</v>
      </c>
      <c r="M325">
        <v>0</v>
      </c>
      <c r="N325">
        <v>1</v>
      </c>
      <c r="O325">
        <v>26</v>
      </c>
      <c r="P325">
        <v>27</v>
      </c>
    </row>
    <row r="326" spans="1:16" x14ac:dyDescent="0.35">
      <c r="A326">
        <v>325</v>
      </c>
      <c r="B326" s="37">
        <v>40558</v>
      </c>
      <c r="C326">
        <v>1</v>
      </c>
      <c r="D326">
        <v>0</v>
      </c>
      <c r="E326" t="s">
        <v>104</v>
      </c>
      <c r="F326">
        <v>0</v>
      </c>
      <c r="G326" t="b">
        <v>0</v>
      </c>
      <c r="H326" t="s">
        <v>106</v>
      </c>
      <c r="I326" t="s">
        <v>113</v>
      </c>
      <c r="J326">
        <v>0.18</v>
      </c>
      <c r="K326">
        <v>0.2424</v>
      </c>
      <c r="L326">
        <v>0.55000000000000004</v>
      </c>
      <c r="M326">
        <v>0</v>
      </c>
      <c r="N326">
        <v>3</v>
      </c>
      <c r="O326">
        <v>25</v>
      </c>
      <c r="P326">
        <v>28</v>
      </c>
    </row>
    <row r="327" spans="1:16" x14ac:dyDescent="0.35">
      <c r="A327">
        <v>326</v>
      </c>
      <c r="B327" s="37">
        <v>40558</v>
      </c>
      <c r="C327">
        <v>1</v>
      </c>
      <c r="D327">
        <v>0</v>
      </c>
      <c r="E327" t="s">
        <v>104</v>
      </c>
      <c r="F327">
        <v>1</v>
      </c>
      <c r="G327" t="b">
        <v>0</v>
      </c>
      <c r="H327" t="s">
        <v>106</v>
      </c>
      <c r="I327" t="s">
        <v>114</v>
      </c>
      <c r="J327">
        <v>0.16</v>
      </c>
      <c r="K327">
        <v>0.19700000000000001</v>
      </c>
      <c r="L327">
        <v>0.59</v>
      </c>
      <c r="M327">
        <v>8.9599999999999999E-2</v>
      </c>
      <c r="N327">
        <v>2</v>
      </c>
      <c r="O327">
        <v>18</v>
      </c>
      <c r="P327">
        <v>20</v>
      </c>
    </row>
    <row r="328" spans="1:16" x14ac:dyDescent="0.35">
      <c r="A328">
        <v>327</v>
      </c>
      <c r="B328" s="37">
        <v>40558</v>
      </c>
      <c r="C328">
        <v>1</v>
      </c>
      <c r="D328">
        <v>0</v>
      </c>
      <c r="E328" t="s">
        <v>104</v>
      </c>
      <c r="F328">
        <v>2</v>
      </c>
      <c r="G328" t="b">
        <v>0</v>
      </c>
      <c r="H328" t="s">
        <v>106</v>
      </c>
      <c r="I328" t="s">
        <v>114</v>
      </c>
      <c r="J328">
        <v>0.16</v>
      </c>
      <c r="K328">
        <v>0.19700000000000001</v>
      </c>
      <c r="L328">
        <v>0.59</v>
      </c>
      <c r="M328">
        <v>8.9599999999999999E-2</v>
      </c>
      <c r="N328">
        <v>0</v>
      </c>
      <c r="O328">
        <v>12</v>
      </c>
      <c r="P328">
        <v>12</v>
      </c>
    </row>
    <row r="329" spans="1:16" x14ac:dyDescent="0.35">
      <c r="A329">
        <v>328</v>
      </c>
      <c r="B329" s="37">
        <v>40558</v>
      </c>
      <c r="C329">
        <v>1</v>
      </c>
      <c r="D329">
        <v>0</v>
      </c>
      <c r="E329" t="s">
        <v>104</v>
      </c>
      <c r="F329">
        <v>3</v>
      </c>
      <c r="G329" t="b">
        <v>0</v>
      </c>
      <c r="H329" t="s">
        <v>106</v>
      </c>
      <c r="I329" t="s">
        <v>114</v>
      </c>
      <c r="J329">
        <v>0.16</v>
      </c>
      <c r="K329">
        <v>0.2273</v>
      </c>
      <c r="L329">
        <v>0.59</v>
      </c>
      <c r="M329">
        <v>0</v>
      </c>
      <c r="N329">
        <v>1</v>
      </c>
      <c r="O329">
        <v>7</v>
      </c>
      <c r="P329">
        <v>8</v>
      </c>
    </row>
    <row r="330" spans="1:16" x14ac:dyDescent="0.35">
      <c r="A330">
        <v>329</v>
      </c>
      <c r="B330" s="37">
        <v>40558</v>
      </c>
      <c r="C330">
        <v>1</v>
      </c>
      <c r="D330">
        <v>0</v>
      </c>
      <c r="E330" t="s">
        <v>104</v>
      </c>
      <c r="F330">
        <v>4</v>
      </c>
      <c r="G330" t="b">
        <v>0</v>
      </c>
      <c r="H330" t="s">
        <v>106</v>
      </c>
      <c r="I330" t="s">
        <v>114</v>
      </c>
      <c r="J330">
        <v>0.16</v>
      </c>
      <c r="K330">
        <v>0.2273</v>
      </c>
      <c r="L330">
        <v>0.59</v>
      </c>
      <c r="M330">
        <v>0</v>
      </c>
      <c r="N330">
        <v>0</v>
      </c>
      <c r="O330">
        <v>5</v>
      </c>
      <c r="P330">
        <v>5</v>
      </c>
    </row>
    <row r="331" spans="1:16" x14ac:dyDescent="0.35">
      <c r="A331">
        <v>330</v>
      </c>
      <c r="B331" s="37">
        <v>40558</v>
      </c>
      <c r="C331">
        <v>1</v>
      </c>
      <c r="D331">
        <v>0</v>
      </c>
      <c r="E331" t="s">
        <v>104</v>
      </c>
      <c r="F331">
        <v>5</v>
      </c>
      <c r="G331" t="b">
        <v>0</v>
      </c>
      <c r="H331" t="s">
        <v>106</v>
      </c>
      <c r="I331" t="s">
        <v>113</v>
      </c>
      <c r="J331">
        <v>0.16</v>
      </c>
      <c r="K331">
        <v>0.2273</v>
      </c>
      <c r="L331">
        <v>0.59</v>
      </c>
      <c r="M331">
        <v>0</v>
      </c>
      <c r="N331">
        <v>0</v>
      </c>
      <c r="O331">
        <v>1</v>
      </c>
      <c r="P331">
        <v>1</v>
      </c>
    </row>
    <row r="332" spans="1:16" x14ac:dyDescent="0.35">
      <c r="A332">
        <v>331</v>
      </c>
      <c r="B332" s="37">
        <v>40558</v>
      </c>
      <c r="C332">
        <v>1</v>
      </c>
      <c r="D332">
        <v>0</v>
      </c>
      <c r="E332" t="s">
        <v>104</v>
      </c>
      <c r="F332">
        <v>6</v>
      </c>
      <c r="G332" t="b">
        <v>0</v>
      </c>
      <c r="H332" t="s">
        <v>106</v>
      </c>
      <c r="I332" t="s">
        <v>113</v>
      </c>
      <c r="J332">
        <v>0.14000000000000001</v>
      </c>
      <c r="K332">
        <v>0.16669999999999999</v>
      </c>
      <c r="L332">
        <v>0.63</v>
      </c>
      <c r="M332">
        <v>0.1045</v>
      </c>
      <c r="N332">
        <v>1</v>
      </c>
      <c r="O332">
        <v>2</v>
      </c>
      <c r="P332">
        <v>3</v>
      </c>
    </row>
    <row r="333" spans="1:16" x14ac:dyDescent="0.35">
      <c r="A333">
        <v>332</v>
      </c>
      <c r="B333" s="37">
        <v>40558</v>
      </c>
      <c r="C333">
        <v>1</v>
      </c>
      <c r="D333">
        <v>0</v>
      </c>
      <c r="E333" t="s">
        <v>104</v>
      </c>
      <c r="F333">
        <v>7</v>
      </c>
      <c r="G333" t="b">
        <v>0</v>
      </c>
      <c r="H333" t="s">
        <v>106</v>
      </c>
      <c r="I333" t="s">
        <v>113</v>
      </c>
      <c r="J333">
        <v>0.14000000000000001</v>
      </c>
      <c r="K333">
        <v>0.21210000000000001</v>
      </c>
      <c r="L333">
        <v>0.63</v>
      </c>
      <c r="M333">
        <v>0</v>
      </c>
      <c r="N333">
        <v>1</v>
      </c>
      <c r="O333">
        <v>9</v>
      </c>
      <c r="P333">
        <v>10</v>
      </c>
    </row>
    <row r="334" spans="1:16" x14ac:dyDescent="0.35">
      <c r="A334">
        <v>333</v>
      </c>
      <c r="B334" s="37">
        <v>40558</v>
      </c>
      <c r="C334">
        <v>1</v>
      </c>
      <c r="D334">
        <v>0</v>
      </c>
      <c r="E334" t="s">
        <v>104</v>
      </c>
      <c r="F334">
        <v>8</v>
      </c>
      <c r="G334" t="b">
        <v>0</v>
      </c>
      <c r="H334" t="s">
        <v>106</v>
      </c>
      <c r="I334" t="s">
        <v>113</v>
      </c>
      <c r="J334">
        <v>0.14000000000000001</v>
      </c>
      <c r="K334">
        <v>0.1515</v>
      </c>
      <c r="L334">
        <v>0.63</v>
      </c>
      <c r="M334">
        <v>0.1343</v>
      </c>
      <c r="N334">
        <v>1</v>
      </c>
      <c r="O334">
        <v>22</v>
      </c>
      <c r="P334">
        <v>23</v>
      </c>
    </row>
    <row r="335" spans="1:16" x14ac:dyDescent="0.35">
      <c r="A335">
        <v>334</v>
      </c>
      <c r="B335" s="37">
        <v>40558</v>
      </c>
      <c r="C335">
        <v>1</v>
      </c>
      <c r="D335">
        <v>0</v>
      </c>
      <c r="E335" t="s">
        <v>104</v>
      </c>
      <c r="F335">
        <v>9</v>
      </c>
      <c r="G335" t="b">
        <v>0</v>
      </c>
      <c r="H335" t="s">
        <v>106</v>
      </c>
      <c r="I335" t="s">
        <v>113</v>
      </c>
      <c r="J335">
        <v>0.16</v>
      </c>
      <c r="K335">
        <v>0.18179999999999999</v>
      </c>
      <c r="L335">
        <v>0.64</v>
      </c>
      <c r="M335">
        <v>0.1343</v>
      </c>
      <c r="N335">
        <v>2</v>
      </c>
      <c r="O335">
        <v>31</v>
      </c>
      <c r="P335">
        <v>33</v>
      </c>
    </row>
    <row r="336" spans="1:16" x14ac:dyDescent="0.35">
      <c r="A336">
        <v>335</v>
      </c>
      <c r="B336" s="37">
        <v>40558</v>
      </c>
      <c r="C336">
        <v>1</v>
      </c>
      <c r="D336">
        <v>0</v>
      </c>
      <c r="E336" t="s">
        <v>104</v>
      </c>
      <c r="F336">
        <v>10</v>
      </c>
      <c r="G336" t="b">
        <v>0</v>
      </c>
      <c r="H336" t="s">
        <v>106</v>
      </c>
      <c r="I336" t="s">
        <v>113</v>
      </c>
      <c r="J336">
        <v>0.18</v>
      </c>
      <c r="K336">
        <v>0.19700000000000001</v>
      </c>
      <c r="L336">
        <v>0.59</v>
      </c>
      <c r="M336">
        <v>0.16420000000000001</v>
      </c>
      <c r="N336">
        <v>2</v>
      </c>
      <c r="O336">
        <v>57</v>
      </c>
      <c r="P336">
        <v>59</v>
      </c>
    </row>
    <row r="337" spans="1:16" x14ac:dyDescent="0.35">
      <c r="A337">
        <v>336</v>
      </c>
      <c r="B337" s="37">
        <v>40558</v>
      </c>
      <c r="C337">
        <v>1</v>
      </c>
      <c r="D337">
        <v>0</v>
      </c>
      <c r="E337" t="s">
        <v>104</v>
      </c>
      <c r="F337">
        <v>11</v>
      </c>
      <c r="G337" t="b">
        <v>0</v>
      </c>
      <c r="H337" t="s">
        <v>106</v>
      </c>
      <c r="I337" t="s">
        <v>113</v>
      </c>
      <c r="J337">
        <v>0.2</v>
      </c>
      <c r="K337">
        <v>0.19700000000000001</v>
      </c>
      <c r="L337">
        <v>0.55000000000000004</v>
      </c>
      <c r="M337">
        <v>0.22389999999999999</v>
      </c>
      <c r="N337">
        <v>18</v>
      </c>
      <c r="O337">
        <v>54</v>
      </c>
      <c r="P337">
        <v>72</v>
      </c>
    </row>
    <row r="338" spans="1:16" x14ac:dyDescent="0.35">
      <c r="A338">
        <v>337</v>
      </c>
      <c r="B338" s="37">
        <v>40558</v>
      </c>
      <c r="C338">
        <v>1</v>
      </c>
      <c r="D338">
        <v>0</v>
      </c>
      <c r="E338" t="s">
        <v>104</v>
      </c>
      <c r="F338">
        <v>12</v>
      </c>
      <c r="G338" t="b">
        <v>0</v>
      </c>
      <c r="H338" t="s">
        <v>106</v>
      </c>
      <c r="I338" t="s">
        <v>113</v>
      </c>
      <c r="J338">
        <v>0.24</v>
      </c>
      <c r="K338">
        <v>0.2273</v>
      </c>
      <c r="L338">
        <v>0.48</v>
      </c>
      <c r="M338">
        <v>0.22389999999999999</v>
      </c>
      <c r="N338">
        <v>15</v>
      </c>
      <c r="O338">
        <v>74</v>
      </c>
      <c r="P338">
        <v>89</v>
      </c>
    </row>
    <row r="339" spans="1:16" x14ac:dyDescent="0.35">
      <c r="A339">
        <v>338</v>
      </c>
      <c r="B339" s="37">
        <v>40558</v>
      </c>
      <c r="C339">
        <v>1</v>
      </c>
      <c r="D339">
        <v>0</v>
      </c>
      <c r="E339" t="s">
        <v>104</v>
      </c>
      <c r="F339">
        <v>13</v>
      </c>
      <c r="G339" t="b">
        <v>0</v>
      </c>
      <c r="H339" t="s">
        <v>106</v>
      </c>
      <c r="I339" t="s">
        <v>113</v>
      </c>
      <c r="J339">
        <v>0.28000000000000003</v>
      </c>
      <c r="K339">
        <v>0.2576</v>
      </c>
      <c r="L339">
        <v>0.38</v>
      </c>
      <c r="M339">
        <v>0.29849999999999999</v>
      </c>
      <c r="N339">
        <v>21</v>
      </c>
      <c r="O339">
        <v>80</v>
      </c>
      <c r="P339">
        <v>101</v>
      </c>
    </row>
    <row r="340" spans="1:16" x14ac:dyDescent="0.35">
      <c r="A340">
        <v>339</v>
      </c>
      <c r="B340" s="37">
        <v>40558</v>
      </c>
      <c r="C340">
        <v>1</v>
      </c>
      <c r="D340">
        <v>0</v>
      </c>
      <c r="E340" t="s">
        <v>104</v>
      </c>
      <c r="F340">
        <v>14</v>
      </c>
      <c r="G340" t="b">
        <v>0</v>
      </c>
      <c r="H340" t="s">
        <v>106</v>
      </c>
      <c r="I340" t="s">
        <v>113</v>
      </c>
      <c r="J340">
        <v>0.3</v>
      </c>
      <c r="K340">
        <v>0.28789999999999999</v>
      </c>
      <c r="L340">
        <v>0.39</v>
      </c>
      <c r="M340">
        <v>0.28360000000000002</v>
      </c>
      <c r="N340">
        <v>26</v>
      </c>
      <c r="O340">
        <v>92</v>
      </c>
      <c r="P340">
        <v>118</v>
      </c>
    </row>
    <row r="341" spans="1:16" x14ac:dyDescent="0.35">
      <c r="A341">
        <v>340</v>
      </c>
      <c r="B341" s="37">
        <v>40558</v>
      </c>
      <c r="C341">
        <v>1</v>
      </c>
      <c r="D341">
        <v>0</v>
      </c>
      <c r="E341" t="s">
        <v>104</v>
      </c>
      <c r="F341">
        <v>15</v>
      </c>
      <c r="G341" t="b">
        <v>0</v>
      </c>
      <c r="H341" t="s">
        <v>106</v>
      </c>
      <c r="I341" t="s">
        <v>114</v>
      </c>
      <c r="J341">
        <v>0.32</v>
      </c>
      <c r="K341">
        <v>0.31819999999999998</v>
      </c>
      <c r="L341">
        <v>0.36</v>
      </c>
      <c r="M341">
        <v>0.19400000000000001</v>
      </c>
      <c r="N341">
        <v>21</v>
      </c>
      <c r="O341">
        <v>108</v>
      </c>
      <c r="P341">
        <v>129</v>
      </c>
    </row>
    <row r="342" spans="1:16" x14ac:dyDescent="0.35">
      <c r="A342">
        <v>341</v>
      </c>
      <c r="B342" s="37">
        <v>40558</v>
      </c>
      <c r="C342">
        <v>1</v>
      </c>
      <c r="D342">
        <v>0</v>
      </c>
      <c r="E342" t="s">
        <v>104</v>
      </c>
      <c r="F342">
        <v>16</v>
      </c>
      <c r="G342" t="b">
        <v>0</v>
      </c>
      <c r="H342" t="s">
        <v>106</v>
      </c>
      <c r="I342" t="s">
        <v>114</v>
      </c>
      <c r="J342">
        <v>0.34</v>
      </c>
      <c r="K342">
        <v>0.33329999999999999</v>
      </c>
      <c r="L342">
        <v>0.34</v>
      </c>
      <c r="M342">
        <v>0.19400000000000001</v>
      </c>
      <c r="N342">
        <v>33</v>
      </c>
      <c r="O342">
        <v>95</v>
      </c>
      <c r="P342">
        <v>128</v>
      </c>
    </row>
    <row r="343" spans="1:16" x14ac:dyDescent="0.35">
      <c r="A343">
        <v>342</v>
      </c>
      <c r="B343" s="37">
        <v>40558</v>
      </c>
      <c r="C343">
        <v>1</v>
      </c>
      <c r="D343">
        <v>0</v>
      </c>
      <c r="E343" t="s">
        <v>104</v>
      </c>
      <c r="F343">
        <v>17</v>
      </c>
      <c r="G343" t="b">
        <v>0</v>
      </c>
      <c r="H343" t="s">
        <v>106</v>
      </c>
      <c r="I343" t="s">
        <v>114</v>
      </c>
      <c r="J343">
        <v>0.32</v>
      </c>
      <c r="K343">
        <v>0.30299999999999999</v>
      </c>
      <c r="L343">
        <v>0.36</v>
      </c>
      <c r="M343">
        <v>0.28360000000000002</v>
      </c>
      <c r="N343">
        <v>29</v>
      </c>
      <c r="O343">
        <v>54</v>
      </c>
      <c r="P343">
        <v>83</v>
      </c>
    </row>
    <row r="344" spans="1:16" x14ac:dyDescent="0.35">
      <c r="A344">
        <v>343</v>
      </c>
      <c r="B344" s="37">
        <v>40558</v>
      </c>
      <c r="C344">
        <v>1</v>
      </c>
      <c r="D344">
        <v>0</v>
      </c>
      <c r="E344" t="s">
        <v>104</v>
      </c>
      <c r="F344">
        <v>18</v>
      </c>
      <c r="G344" t="b">
        <v>0</v>
      </c>
      <c r="H344" t="s">
        <v>106</v>
      </c>
      <c r="I344" t="s">
        <v>114</v>
      </c>
      <c r="J344">
        <v>0.3</v>
      </c>
      <c r="K344">
        <v>0.28789999999999999</v>
      </c>
      <c r="L344">
        <v>0.45</v>
      </c>
      <c r="M344">
        <v>0.25369999999999998</v>
      </c>
      <c r="N344">
        <v>15</v>
      </c>
      <c r="O344">
        <v>69</v>
      </c>
      <c r="P344">
        <v>84</v>
      </c>
    </row>
    <row r="345" spans="1:16" x14ac:dyDescent="0.35">
      <c r="A345">
        <v>344</v>
      </c>
      <c r="B345" s="37">
        <v>40558</v>
      </c>
      <c r="C345">
        <v>1</v>
      </c>
      <c r="D345">
        <v>0</v>
      </c>
      <c r="E345" t="s">
        <v>104</v>
      </c>
      <c r="F345">
        <v>19</v>
      </c>
      <c r="G345" t="b">
        <v>0</v>
      </c>
      <c r="H345" t="s">
        <v>106</v>
      </c>
      <c r="I345" t="s">
        <v>114</v>
      </c>
      <c r="J345">
        <v>0.32</v>
      </c>
      <c r="K345">
        <v>0.30299999999999999</v>
      </c>
      <c r="L345">
        <v>0.39</v>
      </c>
      <c r="M345">
        <v>0.25369999999999998</v>
      </c>
      <c r="N345">
        <v>14</v>
      </c>
      <c r="O345">
        <v>60</v>
      </c>
      <c r="P345">
        <v>74</v>
      </c>
    </row>
    <row r="346" spans="1:16" x14ac:dyDescent="0.35">
      <c r="A346">
        <v>345</v>
      </c>
      <c r="B346" s="37">
        <v>40558</v>
      </c>
      <c r="C346">
        <v>1</v>
      </c>
      <c r="D346">
        <v>0</v>
      </c>
      <c r="E346" t="s">
        <v>104</v>
      </c>
      <c r="F346">
        <v>20</v>
      </c>
      <c r="G346" t="b">
        <v>0</v>
      </c>
      <c r="H346" t="s">
        <v>106</v>
      </c>
      <c r="I346" t="s">
        <v>114</v>
      </c>
      <c r="J346">
        <v>0.32</v>
      </c>
      <c r="K346">
        <v>0.30299999999999999</v>
      </c>
      <c r="L346">
        <v>0.39</v>
      </c>
      <c r="M346">
        <v>0.25369999999999998</v>
      </c>
      <c r="N346">
        <v>6</v>
      </c>
      <c r="O346">
        <v>35</v>
      </c>
      <c r="P346">
        <v>41</v>
      </c>
    </row>
    <row r="347" spans="1:16" x14ac:dyDescent="0.35">
      <c r="A347">
        <v>346</v>
      </c>
      <c r="B347" s="37">
        <v>40558</v>
      </c>
      <c r="C347">
        <v>1</v>
      </c>
      <c r="D347">
        <v>0</v>
      </c>
      <c r="E347" t="s">
        <v>104</v>
      </c>
      <c r="F347">
        <v>21</v>
      </c>
      <c r="G347" t="b">
        <v>0</v>
      </c>
      <c r="H347" t="s">
        <v>106</v>
      </c>
      <c r="I347" t="s">
        <v>114</v>
      </c>
      <c r="J347">
        <v>0.32</v>
      </c>
      <c r="K347">
        <v>0.30299999999999999</v>
      </c>
      <c r="L347">
        <v>0.39</v>
      </c>
      <c r="M347">
        <v>0.22389999999999999</v>
      </c>
      <c r="N347">
        <v>6</v>
      </c>
      <c r="O347">
        <v>51</v>
      </c>
      <c r="P347">
        <v>57</v>
      </c>
    </row>
    <row r="348" spans="1:16" x14ac:dyDescent="0.35">
      <c r="A348">
        <v>347</v>
      </c>
      <c r="B348" s="37">
        <v>40558</v>
      </c>
      <c r="C348">
        <v>1</v>
      </c>
      <c r="D348">
        <v>0</v>
      </c>
      <c r="E348" t="s">
        <v>104</v>
      </c>
      <c r="F348">
        <v>22</v>
      </c>
      <c r="G348" t="b">
        <v>0</v>
      </c>
      <c r="H348" t="s">
        <v>106</v>
      </c>
      <c r="I348" t="s">
        <v>114</v>
      </c>
      <c r="J348">
        <v>0.3</v>
      </c>
      <c r="K348">
        <v>0.31819999999999998</v>
      </c>
      <c r="L348">
        <v>0.42</v>
      </c>
      <c r="M348">
        <v>0.1045</v>
      </c>
      <c r="N348">
        <v>0</v>
      </c>
      <c r="O348">
        <v>26</v>
      </c>
      <c r="P348">
        <v>26</v>
      </c>
    </row>
    <row r="349" spans="1:16" x14ac:dyDescent="0.35">
      <c r="A349">
        <v>348</v>
      </c>
      <c r="B349" s="37">
        <v>40558</v>
      </c>
      <c r="C349">
        <v>1</v>
      </c>
      <c r="D349">
        <v>0</v>
      </c>
      <c r="E349" t="s">
        <v>104</v>
      </c>
      <c r="F349">
        <v>23</v>
      </c>
      <c r="G349" t="b">
        <v>0</v>
      </c>
      <c r="H349" t="s">
        <v>106</v>
      </c>
      <c r="I349" t="s">
        <v>113</v>
      </c>
      <c r="J349">
        <v>0.3</v>
      </c>
      <c r="K349">
        <v>0.28789999999999999</v>
      </c>
      <c r="L349">
        <v>0.45</v>
      </c>
      <c r="M349">
        <v>0.28360000000000002</v>
      </c>
      <c r="N349">
        <v>5</v>
      </c>
      <c r="O349">
        <v>39</v>
      </c>
      <c r="P349">
        <v>44</v>
      </c>
    </row>
    <row r="350" spans="1:16" x14ac:dyDescent="0.35">
      <c r="A350">
        <v>349</v>
      </c>
      <c r="B350" s="37">
        <v>40559</v>
      </c>
      <c r="C350">
        <v>1</v>
      </c>
      <c r="D350">
        <v>0</v>
      </c>
      <c r="E350" t="s">
        <v>104</v>
      </c>
      <c r="F350">
        <v>0</v>
      </c>
      <c r="G350" t="b">
        <v>0</v>
      </c>
      <c r="H350" t="s">
        <v>107</v>
      </c>
      <c r="I350" t="s">
        <v>113</v>
      </c>
      <c r="J350">
        <v>0.26</v>
      </c>
      <c r="K350">
        <v>0.30299999999999999</v>
      </c>
      <c r="L350">
        <v>0.56000000000000005</v>
      </c>
      <c r="M350">
        <v>0</v>
      </c>
      <c r="N350">
        <v>6</v>
      </c>
      <c r="O350">
        <v>33</v>
      </c>
      <c r="P350">
        <v>39</v>
      </c>
    </row>
    <row r="351" spans="1:16" x14ac:dyDescent="0.35">
      <c r="A351">
        <v>350</v>
      </c>
      <c r="B351" s="37">
        <v>40559</v>
      </c>
      <c r="C351">
        <v>1</v>
      </c>
      <c r="D351">
        <v>0</v>
      </c>
      <c r="E351" t="s">
        <v>104</v>
      </c>
      <c r="F351">
        <v>1</v>
      </c>
      <c r="G351" t="b">
        <v>0</v>
      </c>
      <c r="H351" t="s">
        <v>107</v>
      </c>
      <c r="I351" t="s">
        <v>113</v>
      </c>
      <c r="J351">
        <v>0.26</v>
      </c>
      <c r="K351">
        <v>0.2727</v>
      </c>
      <c r="L351">
        <v>0.56000000000000005</v>
      </c>
      <c r="M351">
        <v>0.1343</v>
      </c>
      <c r="N351">
        <v>4</v>
      </c>
      <c r="O351">
        <v>19</v>
      </c>
      <c r="P351">
        <v>23</v>
      </c>
    </row>
    <row r="352" spans="1:16" x14ac:dyDescent="0.35">
      <c r="A352">
        <v>351</v>
      </c>
      <c r="B352" s="37">
        <v>40559</v>
      </c>
      <c r="C352">
        <v>1</v>
      </c>
      <c r="D352">
        <v>0</v>
      </c>
      <c r="E352" t="s">
        <v>104</v>
      </c>
      <c r="F352">
        <v>2</v>
      </c>
      <c r="G352" t="b">
        <v>0</v>
      </c>
      <c r="H352" t="s">
        <v>107</v>
      </c>
      <c r="I352" t="s">
        <v>113</v>
      </c>
      <c r="J352">
        <v>0.26</v>
      </c>
      <c r="K352">
        <v>0.28789999999999999</v>
      </c>
      <c r="L352">
        <v>0.56000000000000005</v>
      </c>
      <c r="M352">
        <v>8.9599999999999999E-2</v>
      </c>
      <c r="N352">
        <v>3</v>
      </c>
      <c r="O352">
        <v>13</v>
      </c>
      <c r="P352">
        <v>16</v>
      </c>
    </row>
    <row r="353" spans="1:16" x14ac:dyDescent="0.35">
      <c r="A353">
        <v>352</v>
      </c>
      <c r="B353" s="37">
        <v>40559</v>
      </c>
      <c r="C353">
        <v>1</v>
      </c>
      <c r="D353">
        <v>0</v>
      </c>
      <c r="E353" t="s">
        <v>104</v>
      </c>
      <c r="F353">
        <v>3</v>
      </c>
      <c r="G353" t="b">
        <v>0</v>
      </c>
      <c r="H353" t="s">
        <v>107</v>
      </c>
      <c r="I353" t="s">
        <v>113</v>
      </c>
      <c r="J353">
        <v>0.22</v>
      </c>
      <c r="K353">
        <v>0.2727</v>
      </c>
      <c r="L353">
        <v>0.69</v>
      </c>
      <c r="M353">
        <v>0</v>
      </c>
      <c r="N353">
        <v>9</v>
      </c>
      <c r="O353">
        <v>6</v>
      </c>
      <c r="P353">
        <v>15</v>
      </c>
    </row>
    <row r="354" spans="1:16" x14ac:dyDescent="0.35">
      <c r="A354">
        <v>353</v>
      </c>
      <c r="B354" s="37">
        <v>40559</v>
      </c>
      <c r="C354">
        <v>1</v>
      </c>
      <c r="D354">
        <v>0</v>
      </c>
      <c r="E354" t="s">
        <v>104</v>
      </c>
      <c r="F354">
        <v>4</v>
      </c>
      <c r="G354" t="b">
        <v>0</v>
      </c>
      <c r="H354" t="s">
        <v>107</v>
      </c>
      <c r="I354" t="s">
        <v>113</v>
      </c>
      <c r="J354">
        <v>0.26</v>
      </c>
      <c r="K354">
        <v>0.2576</v>
      </c>
      <c r="L354">
        <v>0.56000000000000005</v>
      </c>
      <c r="M354">
        <v>0.16420000000000001</v>
      </c>
      <c r="N354">
        <v>0</v>
      </c>
      <c r="O354">
        <v>1</v>
      </c>
      <c r="P354">
        <v>1</v>
      </c>
    </row>
    <row r="355" spans="1:16" x14ac:dyDescent="0.35">
      <c r="A355">
        <v>354</v>
      </c>
      <c r="B355" s="37">
        <v>40559</v>
      </c>
      <c r="C355">
        <v>1</v>
      </c>
      <c r="D355">
        <v>0</v>
      </c>
      <c r="E355" t="s">
        <v>104</v>
      </c>
      <c r="F355">
        <v>5</v>
      </c>
      <c r="G355" t="b">
        <v>0</v>
      </c>
      <c r="H355" t="s">
        <v>107</v>
      </c>
      <c r="I355" t="s">
        <v>114</v>
      </c>
      <c r="J355">
        <v>0.26</v>
      </c>
      <c r="K355">
        <v>0.2576</v>
      </c>
      <c r="L355">
        <v>0.56000000000000005</v>
      </c>
      <c r="M355">
        <v>0.16420000000000001</v>
      </c>
      <c r="N355">
        <v>1</v>
      </c>
      <c r="O355">
        <v>1</v>
      </c>
      <c r="P355">
        <v>2</v>
      </c>
    </row>
    <row r="356" spans="1:16" x14ac:dyDescent="0.35">
      <c r="A356">
        <v>355</v>
      </c>
      <c r="B356" s="37">
        <v>40559</v>
      </c>
      <c r="C356">
        <v>1</v>
      </c>
      <c r="D356">
        <v>0</v>
      </c>
      <c r="E356" t="s">
        <v>104</v>
      </c>
      <c r="F356">
        <v>6</v>
      </c>
      <c r="G356" t="b">
        <v>0</v>
      </c>
      <c r="H356" t="s">
        <v>107</v>
      </c>
      <c r="I356" t="s">
        <v>114</v>
      </c>
      <c r="J356">
        <v>0.26</v>
      </c>
      <c r="K356">
        <v>0.2576</v>
      </c>
      <c r="L356">
        <v>0.56000000000000005</v>
      </c>
      <c r="M356">
        <v>0.16420000000000001</v>
      </c>
      <c r="N356">
        <v>0</v>
      </c>
      <c r="O356">
        <v>1</v>
      </c>
      <c r="P356">
        <v>1</v>
      </c>
    </row>
    <row r="357" spans="1:16" x14ac:dyDescent="0.35">
      <c r="A357">
        <v>356</v>
      </c>
      <c r="B357" s="37">
        <v>40559</v>
      </c>
      <c r="C357">
        <v>1</v>
      </c>
      <c r="D357">
        <v>0</v>
      </c>
      <c r="E357" t="s">
        <v>104</v>
      </c>
      <c r="F357">
        <v>7</v>
      </c>
      <c r="G357" t="b">
        <v>0</v>
      </c>
      <c r="H357" t="s">
        <v>107</v>
      </c>
      <c r="I357" t="s">
        <v>114</v>
      </c>
      <c r="J357">
        <v>0.24</v>
      </c>
      <c r="K357">
        <v>0.21210000000000001</v>
      </c>
      <c r="L357">
        <v>0.56000000000000005</v>
      </c>
      <c r="M357">
        <v>0.29849999999999999</v>
      </c>
      <c r="N357">
        <v>0</v>
      </c>
      <c r="O357">
        <v>3</v>
      </c>
      <c r="P357">
        <v>3</v>
      </c>
    </row>
    <row r="358" spans="1:16" x14ac:dyDescent="0.35">
      <c r="A358">
        <v>357</v>
      </c>
      <c r="B358" s="37">
        <v>40559</v>
      </c>
      <c r="C358">
        <v>1</v>
      </c>
      <c r="D358">
        <v>0</v>
      </c>
      <c r="E358" t="s">
        <v>104</v>
      </c>
      <c r="F358">
        <v>8</v>
      </c>
      <c r="G358" t="b">
        <v>0</v>
      </c>
      <c r="H358" t="s">
        <v>107</v>
      </c>
      <c r="I358" t="s">
        <v>113</v>
      </c>
      <c r="J358">
        <v>0.22</v>
      </c>
      <c r="K358">
        <v>0.21210000000000001</v>
      </c>
      <c r="L358">
        <v>0.55000000000000004</v>
      </c>
      <c r="M358">
        <v>0.28360000000000002</v>
      </c>
      <c r="N358">
        <v>0</v>
      </c>
      <c r="O358">
        <v>18</v>
      </c>
      <c r="P358">
        <v>18</v>
      </c>
    </row>
    <row r="359" spans="1:16" x14ac:dyDescent="0.35">
      <c r="A359">
        <v>358</v>
      </c>
      <c r="B359" s="37">
        <v>40559</v>
      </c>
      <c r="C359">
        <v>1</v>
      </c>
      <c r="D359">
        <v>0</v>
      </c>
      <c r="E359" t="s">
        <v>104</v>
      </c>
      <c r="F359">
        <v>9</v>
      </c>
      <c r="G359" t="b">
        <v>0</v>
      </c>
      <c r="H359" t="s">
        <v>107</v>
      </c>
      <c r="I359" t="s">
        <v>113</v>
      </c>
      <c r="J359">
        <v>0.22</v>
      </c>
      <c r="K359">
        <v>0.21210000000000001</v>
      </c>
      <c r="L359">
        <v>0.51</v>
      </c>
      <c r="M359">
        <v>0.25369999999999998</v>
      </c>
      <c r="N359">
        <v>3</v>
      </c>
      <c r="O359">
        <v>29</v>
      </c>
      <c r="P359">
        <v>32</v>
      </c>
    </row>
    <row r="360" spans="1:16" x14ac:dyDescent="0.35">
      <c r="A360">
        <v>359</v>
      </c>
      <c r="B360" s="37">
        <v>40559</v>
      </c>
      <c r="C360">
        <v>1</v>
      </c>
      <c r="D360">
        <v>0</v>
      </c>
      <c r="E360" t="s">
        <v>104</v>
      </c>
      <c r="F360">
        <v>10</v>
      </c>
      <c r="G360" t="b">
        <v>0</v>
      </c>
      <c r="H360" t="s">
        <v>107</v>
      </c>
      <c r="I360" t="s">
        <v>113</v>
      </c>
      <c r="J360">
        <v>0.22</v>
      </c>
      <c r="K360">
        <v>0.21210000000000001</v>
      </c>
      <c r="L360">
        <v>0.51</v>
      </c>
      <c r="M360">
        <v>0.28360000000000002</v>
      </c>
      <c r="N360">
        <v>8</v>
      </c>
      <c r="O360">
        <v>71</v>
      </c>
      <c r="P360">
        <v>79</v>
      </c>
    </row>
    <row r="361" spans="1:16" x14ac:dyDescent="0.35">
      <c r="A361">
        <v>360</v>
      </c>
      <c r="B361" s="37">
        <v>40559</v>
      </c>
      <c r="C361">
        <v>1</v>
      </c>
      <c r="D361">
        <v>0</v>
      </c>
      <c r="E361" t="s">
        <v>104</v>
      </c>
      <c r="F361">
        <v>11</v>
      </c>
      <c r="G361" t="b">
        <v>0</v>
      </c>
      <c r="H361" t="s">
        <v>107</v>
      </c>
      <c r="I361" t="s">
        <v>113</v>
      </c>
      <c r="J361">
        <v>0.24</v>
      </c>
      <c r="K361">
        <v>0.2273</v>
      </c>
      <c r="L361">
        <v>0.44</v>
      </c>
      <c r="M361">
        <v>0.25369999999999998</v>
      </c>
      <c r="N361">
        <v>23</v>
      </c>
      <c r="O361">
        <v>70</v>
      </c>
      <c r="P361">
        <v>93</v>
      </c>
    </row>
    <row r="362" spans="1:16" x14ac:dyDescent="0.35">
      <c r="A362">
        <v>361</v>
      </c>
      <c r="B362" s="37">
        <v>40559</v>
      </c>
      <c r="C362">
        <v>1</v>
      </c>
      <c r="D362">
        <v>0</v>
      </c>
      <c r="E362" t="s">
        <v>104</v>
      </c>
      <c r="F362">
        <v>12</v>
      </c>
      <c r="G362" t="b">
        <v>0</v>
      </c>
      <c r="H362" t="s">
        <v>107</v>
      </c>
      <c r="I362" t="s">
        <v>113</v>
      </c>
      <c r="J362">
        <v>0.24</v>
      </c>
      <c r="K362">
        <v>0.21210000000000001</v>
      </c>
      <c r="L362">
        <v>0.41</v>
      </c>
      <c r="M362">
        <v>0.28360000000000002</v>
      </c>
      <c r="N362">
        <v>29</v>
      </c>
      <c r="O362">
        <v>75</v>
      </c>
      <c r="P362">
        <v>104</v>
      </c>
    </row>
    <row r="363" spans="1:16" x14ac:dyDescent="0.35">
      <c r="A363">
        <v>362</v>
      </c>
      <c r="B363" s="37">
        <v>40559</v>
      </c>
      <c r="C363">
        <v>1</v>
      </c>
      <c r="D363">
        <v>0</v>
      </c>
      <c r="E363" t="s">
        <v>104</v>
      </c>
      <c r="F363">
        <v>13</v>
      </c>
      <c r="G363" t="b">
        <v>0</v>
      </c>
      <c r="H363" t="s">
        <v>107</v>
      </c>
      <c r="I363" t="s">
        <v>113</v>
      </c>
      <c r="J363">
        <v>0.26</v>
      </c>
      <c r="K363">
        <v>0.2273</v>
      </c>
      <c r="L363">
        <v>0.35</v>
      </c>
      <c r="M363">
        <v>0.29849999999999999</v>
      </c>
      <c r="N363">
        <v>23</v>
      </c>
      <c r="O363">
        <v>95</v>
      </c>
      <c r="P363">
        <v>118</v>
      </c>
    </row>
    <row r="364" spans="1:16" x14ac:dyDescent="0.35">
      <c r="A364">
        <v>363</v>
      </c>
      <c r="B364" s="37">
        <v>40559</v>
      </c>
      <c r="C364">
        <v>1</v>
      </c>
      <c r="D364">
        <v>0</v>
      </c>
      <c r="E364" t="s">
        <v>104</v>
      </c>
      <c r="F364">
        <v>14</v>
      </c>
      <c r="G364" t="b">
        <v>0</v>
      </c>
      <c r="H364" t="s">
        <v>107</v>
      </c>
      <c r="I364" t="s">
        <v>113</v>
      </c>
      <c r="J364">
        <v>0.28000000000000003</v>
      </c>
      <c r="K364">
        <v>0.2727</v>
      </c>
      <c r="L364">
        <v>0.36</v>
      </c>
      <c r="M364">
        <v>0.25369999999999998</v>
      </c>
      <c r="N364">
        <v>22</v>
      </c>
      <c r="O364">
        <v>69</v>
      </c>
      <c r="P364">
        <v>91</v>
      </c>
    </row>
    <row r="365" spans="1:16" x14ac:dyDescent="0.35">
      <c r="A365">
        <v>364</v>
      </c>
      <c r="B365" s="37">
        <v>40559</v>
      </c>
      <c r="C365">
        <v>1</v>
      </c>
      <c r="D365">
        <v>0</v>
      </c>
      <c r="E365" t="s">
        <v>104</v>
      </c>
      <c r="F365">
        <v>15</v>
      </c>
      <c r="G365" t="b">
        <v>0</v>
      </c>
      <c r="H365" t="s">
        <v>107</v>
      </c>
      <c r="I365" t="s">
        <v>113</v>
      </c>
      <c r="J365">
        <v>0.26</v>
      </c>
      <c r="K365">
        <v>0.2424</v>
      </c>
      <c r="L365">
        <v>0.38</v>
      </c>
      <c r="M365">
        <v>0.25369999999999998</v>
      </c>
      <c r="N365">
        <v>35</v>
      </c>
      <c r="O365">
        <v>78</v>
      </c>
      <c r="P365">
        <v>113</v>
      </c>
    </row>
    <row r="366" spans="1:16" x14ac:dyDescent="0.35">
      <c r="A366">
        <v>365</v>
      </c>
      <c r="B366" s="37">
        <v>40559</v>
      </c>
      <c r="C366">
        <v>1</v>
      </c>
      <c r="D366">
        <v>0</v>
      </c>
      <c r="E366" t="s">
        <v>104</v>
      </c>
      <c r="F366">
        <v>16</v>
      </c>
      <c r="G366" t="b">
        <v>0</v>
      </c>
      <c r="H366" t="s">
        <v>107</v>
      </c>
      <c r="I366" t="s">
        <v>113</v>
      </c>
      <c r="J366">
        <v>0.24</v>
      </c>
      <c r="K366">
        <v>0.2273</v>
      </c>
      <c r="L366">
        <v>0.38</v>
      </c>
      <c r="M366">
        <v>0.22389999999999999</v>
      </c>
      <c r="N366">
        <v>22</v>
      </c>
      <c r="O366">
        <v>77</v>
      </c>
      <c r="P366">
        <v>99</v>
      </c>
    </row>
    <row r="367" spans="1:16" x14ac:dyDescent="0.35">
      <c r="A367">
        <v>366</v>
      </c>
      <c r="B367" s="37">
        <v>40559</v>
      </c>
      <c r="C367">
        <v>1</v>
      </c>
      <c r="D367">
        <v>0</v>
      </c>
      <c r="E367" t="s">
        <v>104</v>
      </c>
      <c r="F367">
        <v>17</v>
      </c>
      <c r="G367" t="b">
        <v>0</v>
      </c>
      <c r="H367" t="s">
        <v>107</v>
      </c>
      <c r="I367" t="s">
        <v>113</v>
      </c>
      <c r="J367">
        <v>0.22</v>
      </c>
      <c r="K367">
        <v>0.21210000000000001</v>
      </c>
      <c r="L367">
        <v>0.37</v>
      </c>
      <c r="M367">
        <v>0.25369999999999998</v>
      </c>
      <c r="N367">
        <v>23</v>
      </c>
      <c r="O367">
        <v>82</v>
      </c>
      <c r="P367">
        <v>105</v>
      </c>
    </row>
    <row r="368" spans="1:16" x14ac:dyDescent="0.35">
      <c r="A368">
        <v>367</v>
      </c>
      <c r="B368" s="37">
        <v>40559</v>
      </c>
      <c r="C368">
        <v>1</v>
      </c>
      <c r="D368">
        <v>0</v>
      </c>
      <c r="E368" t="s">
        <v>104</v>
      </c>
      <c r="F368">
        <v>18</v>
      </c>
      <c r="G368" t="b">
        <v>0</v>
      </c>
      <c r="H368" t="s">
        <v>107</v>
      </c>
      <c r="I368" t="s">
        <v>113</v>
      </c>
      <c r="J368">
        <v>0.2</v>
      </c>
      <c r="K368">
        <v>0.21210000000000001</v>
      </c>
      <c r="L368">
        <v>0.4</v>
      </c>
      <c r="M368">
        <v>0.16420000000000001</v>
      </c>
      <c r="N368">
        <v>11</v>
      </c>
      <c r="O368">
        <v>56</v>
      </c>
      <c r="P368">
        <v>67</v>
      </c>
    </row>
    <row r="369" spans="1:16" x14ac:dyDescent="0.35">
      <c r="A369">
        <v>368</v>
      </c>
      <c r="B369" s="37">
        <v>40559</v>
      </c>
      <c r="C369">
        <v>1</v>
      </c>
      <c r="D369">
        <v>0</v>
      </c>
      <c r="E369" t="s">
        <v>104</v>
      </c>
      <c r="F369">
        <v>19</v>
      </c>
      <c r="G369" t="b">
        <v>0</v>
      </c>
      <c r="H369" t="s">
        <v>107</v>
      </c>
      <c r="I369" t="s">
        <v>113</v>
      </c>
      <c r="J369">
        <v>0.18</v>
      </c>
      <c r="K369">
        <v>0.19700000000000001</v>
      </c>
      <c r="L369">
        <v>0.47</v>
      </c>
      <c r="M369">
        <v>0.1343</v>
      </c>
      <c r="N369">
        <v>14</v>
      </c>
      <c r="O369">
        <v>47</v>
      </c>
      <c r="P369">
        <v>61</v>
      </c>
    </row>
    <row r="370" spans="1:16" x14ac:dyDescent="0.35">
      <c r="A370">
        <v>369</v>
      </c>
      <c r="B370" s="37">
        <v>40559</v>
      </c>
      <c r="C370">
        <v>1</v>
      </c>
      <c r="D370">
        <v>0</v>
      </c>
      <c r="E370" t="s">
        <v>104</v>
      </c>
      <c r="F370">
        <v>20</v>
      </c>
      <c r="G370" t="b">
        <v>0</v>
      </c>
      <c r="H370" t="s">
        <v>107</v>
      </c>
      <c r="I370" t="s">
        <v>113</v>
      </c>
      <c r="J370">
        <v>0.18</v>
      </c>
      <c r="K370">
        <v>0.19700000000000001</v>
      </c>
      <c r="L370">
        <v>0.47</v>
      </c>
      <c r="M370">
        <v>0.16420000000000001</v>
      </c>
      <c r="N370">
        <v>7</v>
      </c>
      <c r="O370">
        <v>50</v>
      </c>
      <c r="P370">
        <v>57</v>
      </c>
    </row>
    <row r="371" spans="1:16" x14ac:dyDescent="0.35">
      <c r="A371">
        <v>370</v>
      </c>
      <c r="B371" s="37">
        <v>40559</v>
      </c>
      <c r="C371">
        <v>1</v>
      </c>
      <c r="D371">
        <v>0</v>
      </c>
      <c r="E371" t="s">
        <v>104</v>
      </c>
      <c r="F371">
        <v>21</v>
      </c>
      <c r="G371" t="b">
        <v>0</v>
      </c>
      <c r="H371" t="s">
        <v>107</v>
      </c>
      <c r="I371" t="s">
        <v>113</v>
      </c>
      <c r="J371">
        <v>0.18</v>
      </c>
      <c r="K371">
        <v>0.19700000000000001</v>
      </c>
      <c r="L371">
        <v>0.51</v>
      </c>
      <c r="M371">
        <v>0.16420000000000001</v>
      </c>
      <c r="N371">
        <v>6</v>
      </c>
      <c r="O371">
        <v>22</v>
      </c>
      <c r="P371">
        <v>28</v>
      </c>
    </row>
    <row r="372" spans="1:16" x14ac:dyDescent="0.35">
      <c r="A372">
        <v>371</v>
      </c>
      <c r="B372" s="37">
        <v>40559</v>
      </c>
      <c r="C372">
        <v>1</v>
      </c>
      <c r="D372">
        <v>0</v>
      </c>
      <c r="E372" t="s">
        <v>104</v>
      </c>
      <c r="F372">
        <v>22</v>
      </c>
      <c r="G372" t="b">
        <v>0</v>
      </c>
      <c r="H372" t="s">
        <v>107</v>
      </c>
      <c r="I372" t="s">
        <v>114</v>
      </c>
      <c r="J372">
        <v>0.2</v>
      </c>
      <c r="K372">
        <v>0.21210000000000001</v>
      </c>
      <c r="L372">
        <v>0.49</v>
      </c>
      <c r="M372">
        <v>0.1343</v>
      </c>
      <c r="N372">
        <v>2</v>
      </c>
      <c r="O372">
        <v>19</v>
      </c>
      <c r="P372">
        <v>21</v>
      </c>
    </row>
    <row r="373" spans="1:16" x14ac:dyDescent="0.35">
      <c r="A373">
        <v>372</v>
      </c>
      <c r="B373" s="37">
        <v>40559</v>
      </c>
      <c r="C373">
        <v>1</v>
      </c>
      <c r="D373">
        <v>0</v>
      </c>
      <c r="E373" t="s">
        <v>104</v>
      </c>
      <c r="F373">
        <v>23</v>
      </c>
      <c r="G373" t="b">
        <v>0</v>
      </c>
      <c r="H373" t="s">
        <v>107</v>
      </c>
      <c r="I373" t="s">
        <v>114</v>
      </c>
      <c r="J373">
        <v>0.2</v>
      </c>
      <c r="K373">
        <v>0.2273</v>
      </c>
      <c r="L373">
        <v>0.4</v>
      </c>
      <c r="M373">
        <v>0.1045</v>
      </c>
      <c r="N373">
        <v>0</v>
      </c>
      <c r="O373">
        <v>18</v>
      </c>
      <c r="P373">
        <v>18</v>
      </c>
    </row>
    <row r="374" spans="1:16" x14ac:dyDescent="0.35">
      <c r="A374">
        <v>373</v>
      </c>
      <c r="B374" s="37">
        <v>40560</v>
      </c>
      <c r="C374">
        <v>1</v>
      </c>
      <c r="D374">
        <v>0</v>
      </c>
      <c r="E374" t="s">
        <v>104</v>
      </c>
      <c r="F374">
        <v>0</v>
      </c>
      <c r="G374" t="b">
        <v>1</v>
      </c>
      <c r="H374" t="s">
        <v>108</v>
      </c>
      <c r="I374" t="s">
        <v>114</v>
      </c>
      <c r="J374">
        <v>0.2</v>
      </c>
      <c r="K374">
        <v>0.19700000000000001</v>
      </c>
      <c r="L374">
        <v>0.47</v>
      </c>
      <c r="M374">
        <v>0.22389999999999999</v>
      </c>
      <c r="N374">
        <v>1</v>
      </c>
      <c r="O374">
        <v>16</v>
      </c>
      <c r="P374">
        <v>17</v>
      </c>
    </row>
    <row r="375" spans="1:16" x14ac:dyDescent="0.35">
      <c r="A375">
        <v>374</v>
      </c>
      <c r="B375" s="37">
        <v>40560</v>
      </c>
      <c r="C375">
        <v>1</v>
      </c>
      <c r="D375">
        <v>0</v>
      </c>
      <c r="E375" t="s">
        <v>104</v>
      </c>
      <c r="F375">
        <v>1</v>
      </c>
      <c r="G375" t="b">
        <v>1</v>
      </c>
      <c r="H375" t="s">
        <v>108</v>
      </c>
      <c r="I375" t="s">
        <v>114</v>
      </c>
      <c r="J375">
        <v>0.2</v>
      </c>
      <c r="K375">
        <v>0.19700000000000001</v>
      </c>
      <c r="L375">
        <v>0.44</v>
      </c>
      <c r="M375">
        <v>0.19400000000000001</v>
      </c>
      <c r="N375">
        <v>1</v>
      </c>
      <c r="O375">
        <v>15</v>
      </c>
      <c r="P375">
        <v>16</v>
      </c>
    </row>
    <row r="376" spans="1:16" x14ac:dyDescent="0.35">
      <c r="A376">
        <v>375</v>
      </c>
      <c r="B376" s="37">
        <v>40560</v>
      </c>
      <c r="C376">
        <v>1</v>
      </c>
      <c r="D376">
        <v>0</v>
      </c>
      <c r="E376" t="s">
        <v>104</v>
      </c>
      <c r="F376">
        <v>2</v>
      </c>
      <c r="G376" t="b">
        <v>1</v>
      </c>
      <c r="H376" t="s">
        <v>108</v>
      </c>
      <c r="I376" t="s">
        <v>114</v>
      </c>
      <c r="J376">
        <v>0.18</v>
      </c>
      <c r="K376">
        <v>0.16669999999999999</v>
      </c>
      <c r="L376">
        <v>0.43</v>
      </c>
      <c r="M376">
        <v>0.25369999999999998</v>
      </c>
      <c r="N376">
        <v>0</v>
      </c>
      <c r="O376">
        <v>8</v>
      </c>
      <c r="P376">
        <v>8</v>
      </c>
    </row>
    <row r="377" spans="1:16" x14ac:dyDescent="0.35">
      <c r="A377">
        <v>376</v>
      </c>
      <c r="B377" s="37">
        <v>40560</v>
      </c>
      <c r="C377">
        <v>1</v>
      </c>
      <c r="D377">
        <v>0</v>
      </c>
      <c r="E377" t="s">
        <v>104</v>
      </c>
      <c r="F377">
        <v>3</v>
      </c>
      <c r="G377" t="b">
        <v>1</v>
      </c>
      <c r="H377" t="s">
        <v>108</v>
      </c>
      <c r="I377" t="s">
        <v>114</v>
      </c>
      <c r="J377">
        <v>0.18</v>
      </c>
      <c r="K377">
        <v>0.18179999999999999</v>
      </c>
      <c r="L377">
        <v>0.43</v>
      </c>
      <c r="M377">
        <v>0.19400000000000001</v>
      </c>
      <c r="N377">
        <v>0</v>
      </c>
      <c r="O377">
        <v>2</v>
      </c>
      <c r="P377">
        <v>2</v>
      </c>
    </row>
    <row r="378" spans="1:16" x14ac:dyDescent="0.35">
      <c r="A378">
        <v>377</v>
      </c>
      <c r="B378" s="37">
        <v>40560</v>
      </c>
      <c r="C378">
        <v>1</v>
      </c>
      <c r="D378">
        <v>0</v>
      </c>
      <c r="E378" t="s">
        <v>104</v>
      </c>
      <c r="F378">
        <v>4</v>
      </c>
      <c r="G378" t="b">
        <v>1</v>
      </c>
      <c r="H378" t="s">
        <v>108</v>
      </c>
      <c r="I378" t="s">
        <v>114</v>
      </c>
      <c r="J378">
        <v>0.18</v>
      </c>
      <c r="K378">
        <v>0.19700000000000001</v>
      </c>
      <c r="L378">
        <v>0.43</v>
      </c>
      <c r="M378">
        <v>0.1343</v>
      </c>
      <c r="N378">
        <v>1</v>
      </c>
      <c r="O378">
        <v>2</v>
      </c>
      <c r="P378">
        <v>3</v>
      </c>
    </row>
    <row r="379" spans="1:16" x14ac:dyDescent="0.35">
      <c r="A379">
        <v>378</v>
      </c>
      <c r="B379" s="37">
        <v>40560</v>
      </c>
      <c r="C379">
        <v>1</v>
      </c>
      <c r="D379">
        <v>0</v>
      </c>
      <c r="E379" t="s">
        <v>104</v>
      </c>
      <c r="F379">
        <v>5</v>
      </c>
      <c r="G379" t="b">
        <v>1</v>
      </c>
      <c r="H379" t="s">
        <v>108</v>
      </c>
      <c r="I379" t="s">
        <v>114</v>
      </c>
      <c r="J379">
        <v>0.18</v>
      </c>
      <c r="K379">
        <v>0.19700000000000001</v>
      </c>
      <c r="L379">
        <v>0.43</v>
      </c>
      <c r="M379">
        <v>0.16420000000000001</v>
      </c>
      <c r="N379">
        <v>0</v>
      </c>
      <c r="O379">
        <v>1</v>
      </c>
      <c r="P379">
        <v>1</v>
      </c>
    </row>
    <row r="380" spans="1:16" x14ac:dyDescent="0.35">
      <c r="A380">
        <v>379</v>
      </c>
      <c r="B380" s="37">
        <v>40560</v>
      </c>
      <c r="C380">
        <v>1</v>
      </c>
      <c r="D380">
        <v>0</v>
      </c>
      <c r="E380" t="s">
        <v>104</v>
      </c>
      <c r="F380">
        <v>6</v>
      </c>
      <c r="G380" t="b">
        <v>1</v>
      </c>
      <c r="H380" t="s">
        <v>108</v>
      </c>
      <c r="I380" t="s">
        <v>114</v>
      </c>
      <c r="J380">
        <v>0.18</v>
      </c>
      <c r="K380">
        <v>0.18179999999999999</v>
      </c>
      <c r="L380">
        <v>0.43</v>
      </c>
      <c r="M380">
        <v>0.19400000000000001</v>
      </c>
      <c r="N380">
        <v>0</v>
      </c>
      <c r="O380">
        <v>5</v>
      </c>
      <c r="P380">
        <v>5</v>
      </c>
    </row>
    <row r="381" spans="1:16" x14ac:dyDescent="0.35">
      <c r="A381">
        <v>380</v>
      </c>
      <c r="B381" s="37">
        <v>40560</v>
      </c>
      <c r="C381">
        <v>1</v>
      </c>
      <c r="D381">
        <v>0</v>
      </c>
      <c r="E381" t="s">
        <v>104</v>
      </c>
      <c r="F381">
        <v>7</v>
      </c>
      <c r="G381" t="b">
        <v>1</v>
      </c>
      <c r="H381" t="s">
        <v>108</v>
      </c>
      <c r="I381" t="s">
        <v>114</v>
      </c>
      <c r="J381">
        <v>0.16</v>
      </c>
      <c r="K381">
        <v>0.18179999999999999</v>
      </c>
      <c r="L381">
        <v>0.5</v>
      </c>
      <c r="M381">
        <v>0.1343</v>
      </c>
      <c r="N381">
        <v>4</v>
      </c>
      <c r="O381">
        <v>9</v>
      </c>
      <c r="P381">
        <v>13</v>
      </c>
    </row>
    <row r="382" spans="1:16" x14ac:dyDescent="0.35">
      <c r="A382">
        <v>381</v>
      </c>
      <c r="B382" s="37">
        <v>40560</v>
      </c>
      <c r="C382">
        <v>1</v>
      </c>
      <c r="D382">
        <v>0</v>
      </c>
      <c r="E382" t="s">
        <v>104</v>
      </c>
      <c r="F382">
        <v>8</v>
      </c>
      <c r="G382" t="b">
        <v>1</v>
      </c>
      <c r="H382" t="s">
        <v>108</v>
      </c>
      <c r="I382" t="s">
        <v>114</v>
      </c>
      <c r="J382">
        <v>0.16</v>
      </c>
      <c r="K382">
        <v>0.1515</v>
      </c>
      <c r="L382">
        <v>0.47</v>
      </c>
      <c r="M382">
        <v>0.22389999999999999</v>
      </c>
      <c r="N382">
        <v>3</v>
      </c>
      <c r="O382">
        <v>30</v>
      </c>
      <c r="P382">
        <v>33</v>
      </c>
    </row>
    <row r="383" spans="1:16" x14ac:dyDescent="0.35">
      <c r="A383">
        <v>382</v>
      </c>
      <c r="B383" s="37">
        <v>40560</v>
      </c>
      <c r="C383">
        <v>1</v>
      </c>
      <c r="D383">
        <v>0</v>
      </c>
      <c r="E383" t="s">
        <v>104</v>
      </c>
      <c r="F383">
        <v>9</v>
      </c>
      <c r="G383" t="b">
        <v>1</v>
      </c>
      <c r="H383" t="s">
        <v>108</v>
      </c>
      <c r="I383" t="s">
        <v>114</v>
      </c>
      <c r="J383">
        <v>0.16</v>
      </c>
      <c r="K383">
        <v>0.1515</v>
      </c>
      <c r="L383">
        <v>0.47</v>
      </c>
      <c r="M383">
        <v>0.22389999999999999</v>
      </c>
      <c r="N383">
        <v>8</v>
      </c>
      <c r="O383">
        <v>39</v>
      </c>
      <c r="P383">
        <v>47</v>
      </c>
    </row>
    <row r="384" spans="1:16" x14ac:dyDescent="0.35">
      <c r="A384">
        <v>383</v>
      </c>
      <c r="B384" s="37">
        <v>40560</v>
      </c>
      <c r="C384">
        <v>1</v>
      </c>
      <c r="D384">
        <v>0</v>
      </c>
      <c r="E384" t="s">
        <v>104</v>
      </c>
      <c r="F384">
        <v>10</v>
      </c>
      <c r="G384" t="b">
        <v>1</v>
      </c>
      <c r="H384" t="s">
        <v>108</v>
      </c>
      <c r="I384" t="s">
        <v>114</v>
      </c>
      <c r="J384">
        <v>0.16</v>
      </c>
      <c r="K384">
        <v>0.1515</v>
      </c>
      <c r="L384">
        <v>0.5</v>
      </c>
      <c r="M384">
        <v>0.25369999999999998</v>
      </c>
      <c r="N384">
        <v>7</v>
      </c>
      <c r="O384">
        <v>50</v>
      </c>
      <c r="P384">
        <v>57</v>
      </c>
    </row>
    <row r="385" spans="1:16" x14ac:dyDescent="0.35">
      <c r="A385">
        <v>384</v>
      </c>
      <c r="B385" s="37">
        <v>40560</v>
      </c>
      <c r="C385">
        <v>1</v>
      </c>
      <c r="D385">
        <v>0</v>
      </c>
      <c r="E385" t="s">
        <v>104</v>
      </c>
      <c r="F385">
        <v>11</v>
      </c>
      <c r="G385" t="b">
        <v>1</v>
      </c>
      <c r="H385" t="s">
        <v>108</v>
      </c>
      <c r="I385" t="s">
        <v>114</v>
      </c>
      <c r="J385">
        <v>0.16</v>
      </c>
      <c r="K385">
        <v>0.1515</v>
      </c>
      <c r="L385">
        <v>0.55000000000000004</v>
      </c>
      <c r="M385">
        <v>0.19400000000000001</v>
      </c>
      <c r="N385">
        <v>9</v>
      </c>
      <c r="O385">
        <v>55</v>
      </c>
      <c r="P385">
        <v>64</v>
      </c>
    </row>
    <row r="386" spans="1:16" x14ac:dyDescent="0.35">
      <c r="A386">
        <v>385</v>
      </c>
      <c r="B386" s="37">
        <v>40560</v>
      </c>
      <c r="C386">
        <v>1</v>
      </c>
      <c r="D386">
        <v>0</v>
      </c>
      <c r="E386" t="s">
        <v>104</v>
      </c>
      <c r="F386">
        <v>12</v>
      </c>
      <c r="G386" t="b">
        <v>1</v>
      </c>
      <c r="H386" t="s">
        <v>108</v>
      </c>
      <c r="I386" t="s">
        <v>114</v>
      </c>
      <c r="J386">
        <v>0.18</v>
      </c>
      <c r="K386">
        <v>0.19700000000000001</v>
      </c>
      <c r="L386">
        <v>0.47</v>
      </c>
      <c r="M386">
        <v>0.1343</v>
      </c>
      <c r="N386">
        <v>10</v>
      </c>
      <c r="O386">
        <v>70</v>
      </c>
      <c r="P386">
        <v>80</v>
      </c>
    </row>
    <row r="387" spans="1:16" x14ac:dyDescent="0.35">
      <c r="A387">
        <v>386</v>
      </c>
      <c r="B387" s="37">
        <v>40560</v>
      </c>
      <c r="C387">
        <v>1</v>
      </c>
      <c r="D387">
        <v>0</v>
      </c>
      <c r="E387" t="s">
        <v>104</v>
      </c>
      <c r="F387">
        <v>13</v>
      </c>
      <c r="G387" t="b">
        <v>1</v>
      </c>
      <c r="H387" t="s">
        <v>108</v>
      </c>
      <c r="I387" t="s">
        <v>114</v>
      </c>
      <c r="J387">
        <v>0.18</v>
      </c>
      <c r="K387">
        <v>0.19700000000000001</v>
      </c>
      <c r="L387">
        <v>0.47</v>
      </c>
      <c r="M387">
        <v>0.1343</v>
      </c>
      <c r="N387">
        <v>13</v>
      </c>
      <c r="O387">
        <v>80</v>
      </c>
      <c r="P387">
        <v>93</v>
      </c>
    </row>
    <row r="388" spans="1:16" x14ac:dyDescent="0.35">
      <c r="A388">
        <v>387</v>
      </c>
      <c r="B388" s="37">
        <v>40560</v>
      </c>
      <c r="C388">
        <v>1</v>
      </c>
      <c r="D388">
        <v>0</v>
      </c>
      <c r="E388" t="s">
        <v>104</v>
      </c>
      <c r="F388">
        <v>14</v>
      </c>
      <c r="G388" t="b">
        <v>1</v>
      </c>
      <c r="H388" t="s">
        <v>108</v>
      </c>
      <c r="I388" t="s">
        <v>114</v>
      </c>
      <c r="J388">
        <v>0.18</v>
      </c>
      <c r="K388">
        <v>0.21210000000000001</v>
      </c>
      <c r="L388">
        <v>0.43</v>
      </c>
      <c r="M388">
        <v>0.1045</v>
      </c>
      <c r="N388">
        <v>12</v>
      </c>
      <c r="O388">
        <v>74</v>
      </c>
      <c r="P388">
        <v>86</v>
      </c>
    </row>
    <row r="389" spans="1:16" x14ac:dyDescent="0.35">
      <c r="A389">
        <v>388</v>
      </c>
      <c r="B389" s="37">
        <v>40560</v>
      </c>
      <c r="C389">
        <v>1</v>
      </c>
      <c r="D389">
        <v>0</v>
      </c>
      <c r="E389" t="s">
        <v>104</v>
      </c>
      <c r="F389">
        <v>15</v>
      </c>
      <c r="G389" t="b">
        <v>1</v>
      </c>
      <c r="H389" t="s">
        <v>108</v>
      </c>
      <c r="I389" t="s">
        <v>114</v>
      </c>
      <c r="J389">
        <v>0.2</v>
      </c>
      <c r="K389">
        <v>0.21210000000000001</v>
      </c>
      <c r="L389">
        <v>0.47</v>
      </c>
      <c r="M389">
        <v>0.16420000000000001</v>
      </c>
      <c r="N389">
        <v>21</v>
      </c>
      <c r="O389">
        <v>72</v>
      </c>
      <c r="P389">
        <v>93</v>
      </c>
    </row>
    <row r="390" spans="1:16" x14ac:dyDescent="0.35">
      <c r="A390">
        <v>389</v>
      </c>
      <c r="B390" s="37">
        <v>40560</v>
      </c>
      <c r="C390">
        <v>1</v>
      </c>
      <c r="D390">
        <v>0</v>
      </c>
      <c r="E390" t="s">
        <v>104</v>
      </c>
      <c r="F390">
        <v>16</v>
      </c>
      <c r="G390" t="b">
        <v>1</v>
      </c>
      <c r="H390" t="s">
        <v>108</v>
      </c>
      <c r="I390" t="s">
        <v>114</v>
      </c>
      <c r="J390">
        <v>0.2</v>
      </c>
      <c r="K390">
        <v>0.21210000000000001</v>
      </c>
      <c r="L390">
        <v>0.47</v>
      </c>
      <c r="M390">
        <v>0.16420000000000001</v>
      </c>
      <c r="N390">
        <v>6</v>
      </c>
      <c r="O390">
        <v>76</v>
      </c>
      <c r="P390">
        <v>82</v>
      </c>
    </row>
    <row r="391" spans="1:16" x14ac:dyDescent="0.35">
      <c r="A391">
        <v>390</v>
      </c>
      <c r="B391" s="37">
        <v>40560</v>
      </c>
      <c r="C391">
        <v>1</v>
      </c>
      <c r="D391">
        <v>0</v>
      </c>
      <c r="E391" t="s">
        <v>104</v>
      </c>
      <c r="F391">
        <v>17</v>
      </c>
      <c r="G391" t="b">
        <v>1</v>
      </c>
      <c r="H391" t="s">
        <v>108</v>
      </c>
      <c r="I391" t="s">
        <v>113</v>
      </c>
      <c r="J391">
        <v>0.2</v>
      </c>
      <c r="K391">
        <v>0.19700000000000001</v>
      </c>
      <c r="L391">
        <v>0.51</v>
      </c>
      <c r="M391">
        <v>0.19400000000000001</v>
      </c>
      <c r="N391">
        <v>4</v>
      </c>
      <c r="O391">
        <v>67</v>
      </c>
      <c r="P391">
        <v>71</v>
      </c>
    </row>
    <row r="392" spans="1:16" x14ac:dyDescent="0.35">
      <c r="A392">
        <v>391</v>
      </c>
      <c r="B392" s="37">
        <v>40560</v>
      </c>
      <c r="C392">
        <v>1</v>
      </c>
      <c r="D392">
        <v>0</v>
      </c>
      <c r="E392" t="s">
        <v>104</v>
      </c>
      <c r="F392">
        <v>18</v>
      </c>
      <c r="G392" t="b">
        <v>1</v>
      </c>
      <c r="H392" t="s">
        <v>108</v>
      </c>
      <c r="I392" t="s">
        <v>114</v>
      </c>
      <c r="J392">
        <v>0.18</v>
      </c>
      <c r="K392">
        <v>0.16669999999999999</v>
      </c>
      <c r="L392">
        <v>0.55000000000000004</v>
      </c>
      <c r="M392">
        <v>0.25369999999999998</v>
      </c>
      <c r="N392">
        <v>7</v>
      </c>
      <c r="O392">
        <v>85</v>
      </c>
      <c r="P392">
        <v>92</v>
      </c>
    </row>
    <row r="393" spans="1:16" x14ac:dyDescent="0.35">
      <c r="A393">
        <v>392</v>
      </c>
      <c r="B393" s="37">
        <v>40560</v>
      </c>
      <c r="C393">
        <v>1</v>
      </c>
      <c r="D393">
        <v>0</v>
      </c>
      <c r="E393" t="s">
        <v>104</v>
      </c>
      <c r="F393">
        <v>19</v>
      </c>
      <c r="G393" t="b">
        <v>1</v>
      </c>
      <c r="H393" t="s">
        <v>108</v>
      </c>
      <c r="I393" t="s">
        <v>115</v>
      </c>
      <c r="J393">
        <v>0.18</v>
      </c>
      <c r="K393">
        <v>0.18179999999999999</v>
      </c>
      <c r="L393">
        <v>0.59</v>
      </c>
      <c r="M393">
        <v>0.19400000000000001</v>
      </c>
      <c r="N393">
        <v>2</v>
      </c>
      <c r="O393">
        <v>58</v>
      </c>
      <c r="P393">
        <v>60</v>
      </c>
    </row>
    <row r="394" spans="1:16" x14ac:dyDescent="0.35">
      <c r="A394">
        <v>393</v>
      </c>
      <c r="B394" s="37">
        <v>40560</v>
      </c>
      <c r="C394">
        <v>1</v>
      </c>
      <c r="D394">
        <v>0</v>
      </c>
      <c r="E394" t="s">
        <v>104</v>
      </c>
      <c r="F394">
        <v>20</v>
      </c>
      <c r="G394" t="b">
        <v>1</v>
      </c>
      <c r="H394" t="s">
        <v>108</v>
      </c>
      <c r="I394" t="s">
        <v>115</v>
      </c>
      <c r="J394">
        <v>0.16</v>
      </c>
      <c r="K394">
        <v>0.1515</v>
      </c>
      <c r="L394">
        <v>0.8</v>
      </c>
      <c r="M394">
        <v>0.19400000000000001</v>
      </c>
      <c r="N394">
        <v>4</v>
      </c>
      <c r="O394">
        <v>29</v>
      </c>
      <c r="P394">
        <v>33</v>
      </c>
    </row>
    <row r="395" spans="1:16" x14ac:dyDescent="0.35">
      <c r="A395">
        <v>394</v>
      </c>
      <c r="B395" s="37">
        <v>40560</v>
      </c>
      <c r="C395">
        <v>1</v>
      </c>
      <c r="D395">
        <v>0</v>
      </c>
      <c r="E395" t="s">
        <v>104</v>
      </c>
      <c r="F395">
        <v>21</v>
      </c>
      <c r="G395" t="b">
        <v>1</v>
      </c>
      <c r="H395" t="s">
        <v>108</v>
      </c>
      <c r="I395" t="s">
        <v>115</v>
      </c>
      <c r="J395">
        <v>0.16</v>
      </c>
      <c r="K395">
        <v>0.1515</v>
      </c>
      <c r="L395">
        <v>0.8</v>
      </c>
      <c r="M395">
        <v>0.19400000000000001</v>
      </c>
      <c r="N395">
        <v>3</v>
      </c>
      <c r="O395">
        <v>24</v>
      </c>
      <c r="P395">
        <v>27</v>
      </c>
    </row>
    <row r="396" spans="1:16" x14ac:dyDescent="0.35">
      <c r="A396">
        <v>395</v>
      </c>
      <c r="B396" s="37">
        <v>40560</v>
      </c>
      <c r="C396">
        <v>1</v>
      </c>
      <c r="D396">
        <v>0</v>
      </c>
      <c r="E396" t="s">
        <v>104</v>
      </c>
      <c r="F396">
        <v>22</v>
      </c>
      <c r="G396" t="b">
        <v>1</v>
      </c>
      <c r="H396" t="s">
        <v>108</v>
      </c>
      <c r="I396" t="s">
        <v>115</v>
      </c>
      <c r="J396">
        <v>0.14000000000000001</v>
      </c>
      <c r="K396">
        <v>0.1212</v>
      </c>
      <c r="L396">
        <v>0.93</v>
      </c>
      <c r="M396">
        <v>0.25369999999999998</v>
      </c>
      <c r="N396">
        <v>0</v>
      </c>
      <c r="O396">
        <v>13</v>
      </c>
      <c r="P396">
        <v>13</v>
      </c>
    </row>
    <row r="397" spans="1:16" x14ac:dyDescent="0.35">
      <c r="A397">
        <v>396</v>
      </c>
      <c r="B397" s="37">
        <v>40560</v>
      </c>
      <c r="C397">
        <v>1</v>
      </c>
      <c r="D397">
        <v>0</v>
      </c>
      <c r="E397" t="s">
        <v>104</v>
      </c>
      <c r="F397">
        <v>23</v>
      </c>
      <c r="G397" t="b">
        <v>1</v>
      </c>
      <c r="H397" t="s">
        <v>108</v>
      </c>
      <c r="I397" t="s">
        <v>115</v>
      </c>
      <c r="J397">
        <v>0.16</v>
      </c>
      <c r="K397">
        <v>0.13639999999999999</v>
      </c>
      <c r="L397">
        <v>0.86</v>
      </c>
      <c r="M397">
        <v>0.28360000000000002</v>
      </c>
      <c r="N397">
        <v>1</v>
      </c>
      <c r="O397">
        <v>3</v>
      </c>
      <c r="P397">
        <v>4</v>
      </c>
    </row>
    <row r="398" spans="1:16" x14ac:dyDescent="0.35">
      <c r="A398">
        <v>397</v>
      </c>
      <c r="B398" s="37">
        <v>40561</v>
      </c>
      <c r="C398">
        <v>1</v>
      </c>
      <c r="D398">
        <v>0</v>
      </c>
      <c r="E398" t="s">
        <v>104</v>
      </c>
      <c r="F398">
        <v>12</v>
      </c>
      <c r="G398" t="b">
        <v>0</v>
      </c>
      <c r="H398" t="s">
        <v>109</v>
      </c>
      <c r="I398" t="s">
        <v>114</v>
      </c>
      <c r="J398">
        <v>0.2</v>
      </c>
      <c r="K398">
        <v>0.18179999999999999</v>
      </c>
      <c r="L398">
        <v>0.86</v>
      </c>
      <c r="M398">
        <v>0.32840000000000003</v>
      </c>
      <c r="N398">
        <v>0</v>
      </c>
      <c r="O398">
        <v>3</v>
      </c>
      <c r="P398">
        <v>3</v>
      </c>
    </row>
    <row r="399" spans="1:16" x14ac:dyDescent="0.35">
      <c r="A399">
        <v>398</v>
      </c>
      <c r="B399" s="37">
        <v>40561</v>
      </c>
      <c r="C399">
        <v>1</v>
      </c>
      <c r="D399">
        <v>0</v>
      </c>
      <c r="E399" t="s">
        <v>104</v>
      </c>
      <c r="F399">
        <v>13</v>
      </c>
      <c r="G399" t="b">
        <v>0</v>
      </c>
      <c r="H399" t="s">
        <v>109</v>
      </c>
      <c r="I399" t="s">
        <v>114</v>
      </c>
      <c r="J399">
        <v>0.2</v>
      </c>
      <c r="K399">
        <v>0.19700000000000001</v>
      </c>
      <c r="L399">
        <v>0.86</v>
      </c>
      <c r="M399">
        <v>0.22389999999999999</v>
      </c>
      <c r="N399">
        <v>0</v>
      </c>
      <c r="O399">
        <v>22</v>
      </c>
      <c r="P399">
        <v>22</v>
      </c>
    </row>
    <row r="400" spans="1:16" x14ac:dyDescent="0.35">
      <c r="A400">
        <v>399</v>
      </c>
      <c r="B400" s="37">
        <v>40561</v>
      </c>
      <c r="C400">
        <v>1</v>
      </c>
      <c r="D400">
        <v>0</v>
      </c>
      <c r="E400" t="s">
        <v>104</v>
      </c>
      <c r="F400">
        <v>14</v>
      </c>
      <c r="G400" t="b">
        <v>0</v>
      </c>
      <c r="H400" t="s">
        <v>109</v>
      </c>
      <c r="I400" t="s">
        <v>114</v>
      </c>
      <c r="J400">
        <v>0.22</v>
      </c>
      <c r="K400">
        <v>0.2273</v>
      </c>
      <c r="L400">
        <v>0.8</v>
      </c>
      <c r="M400">
        <v>0.16420000000000001</v>
      </c>
      <c r="N400">
        <v>2</v>
      </c>
      <c r="O400">
        <v>26</v>
      </c>
      <c r="P400">
        <v>28</v>
      </c>
    </row>
    <row r="401" spans="1:16" x14ac:dyDescent="0.35">
      <c r="A401">
        <v>400</v>
      </c>
      <c r="B401" s="37">
        <v>40561</v>
      </c>
      <c r="C401">
        <v>1</v>
      </c>
      <c r="D401">
        <v>0</v>
      </c>
      <c r="E401" t="s">
        <v>104</v>
      </c>
      <c r="F401">
        <v>15</v>
      </c>
      <c r="G401" t="b">
        <v>0</v>
      </c>
      <c r="H401" t="s">
        <v>109</v>
      </c>
      <c r="I401" t="s">
        <v>114</v>
      </c>
      <c r="J401">
        <v>0.22</v>
      </c>
      <c r="K401">
        <v>0.2273</v>
      </c>
      <c r="L401">
        <v>0.87</v>
      </c>
      <c r="M401">
        <v>0.16420000000000001</v>
      </c>
      <c r="N401">
        <v>3</v>
      </c>
      <c r="O401">
        <v>32</v>
      </c>
      <c r="P401">
        <v>35</v>
      </c>
    </row>
    <row r="402" spans="1:16" x14ac:dyDescent="0.35">
      <c r="A402">
        <v>401</v>
      </c>
      <c r="B402" s="37">
        <v>40561</v>
      </c>
      <c r="C402">
        <v>1</v>
      </c>
      <c r="D402">
        <v>0</v>
      </c>
      <c r="E402" t="s">
        <v>104</v>
      </c>
      <c r="F402">
        <v>16</v>
      </c>
      <c r="G402" t="b">
        <v>0</v>
      </c>
      <c r="H402" t="s">
        <v>109</v>
      </c>
      <c r="I402" t="s">
        <v>114</v>
      </c>
      <c r="J402">
        <v>0.22</v>
      </c>
      <c r="K402">
        <v>0.2273</v>
      </c>
      <c r="L402">
        <v>0.87</v>
      </c>
      <c r="M402">
        <v>0.19400000000000001</v>
      </c>
      <c r="N402">
        <v>0</v>
      </c>
      <c r="O402">
        <v>61</v>
      </c>
      <c r="P402">
        <v>61</v>
      </c>
    </row>
    <row r="403" spans="1:16" x14ac:dyDescent="0.35">
      <c r="A403">
        <v>402</v>
      </c>
      <c r="B403" s="37">
        <v>40561</v>
      </c>
      <c r="C403">
        <v>1</v>
      </c>
      <c r="D403">
        <v>0</v>
      </c>
      <c r="E403" t="s">
        <v>104</v>
      </c>
      <c r="F403">
        <v>17</v>
      </c>
      <c r="G403" t="b">
        <v>0</v>
      </c>
      <c r="H403" t="s">
        <v>109</v>
      </c>
      <c r="I403" t="s">
        <v>114</v>
      </c>
      <c r="J403">
        <v>0.22</v>
      </c>
      <c r="K403">
        <v>0.2273</v>
      </c>
      <c r="L403">
        <v>0.82</v>
      </c>
      <c r="M403">
        <v>0.19400000000000001</v>
      </c>
      <c r="N403">
        <v>1</v>
      </c>
      <c r="O403">
        <v>124</v>
      </c>
      <c r="P403">
        <v>125</v>
      </c>
    </row>
    <row r="404" spans="1:16" x14ac:dyDescent="0.35">
      <c r="A404">
        <v>403</v>
      </c>
      <c r="B404" s="37">
        <v>40561</v>
      </c>
      <c r="C404">
        <v>1</v>
      </c>
      <c r="D404">
        <v>0</v>
      </c>
      <c r="E404" t="s">
        <v>104</v>
      </c>
      <c r="F404">
        <v>18</v>
      </c>
      <c r="G404" t="b">
        <v>0</v>
      </c>
      <c r="H404" t="s">
        <v>109</v>
      </c>
      <c r="I404" t="s">
        <v>114</v>
      </c>
      <c r="J404">
        <v>0.22</v>
      </c>
      <c r="K404">
        <v>0.2273</v>
      </c>
      <c r="L404">
        <v>0.8</v>
      </c>
      <c r="M404">
        <v>0.16420000000000001</v>
      </c>
      <c r="N404">
        <v>1</v>
      </c>
      <c r="O404">
        <v>132</v>
      </c>
      <c r="P404">
        <v>133</v>
      </c>
    </row>
    <row r="405" spans="1:16" x14ac:dyDescent="0.35">
      <c r="A405">
        <v>404</v>
      </c>
      <c r="B405" s="37">
        <v>40561</v>
      </c>
      <c r="C405">
        <v>1</v>
      </c>
      <c r="D405">
        <v>0</v>
      </c>
      <c r="E405" t="s">
        <v>104</v>
      </c>
      <c r="F405">
        <v>19</v>
      </c>
      <c r="G405" t="b">
        <v>0</v>
      </c>
      <c r="H405" t="s">
        <v>109</v>
      </c>
      <c r="I405" t="s">
        <v>114</v>
      </c>
      <c r="J405">
        <v>0.22</v>
      </c>
      <c r="K405">
        <v>0.2273</v>
      </c>
      <c r="L405">
        <v>0.8</v>
      </c>
      <c r="M405">
        <v>0.1343</v>
      </c>
      <c r="N405">
        <v>1</v>
      </c>
      <c r="O405">
        <v>98</v>
      </c>
      <c r="P405">
        <v>99</v>
      </c>
    </row>
    <row r="406" spans="1:16" x14ac:dyDescent="0.35">
      <c r="A406">
        <v>405</v>
      </c>
      <c r="B406" s="37">
        <v>40561</v>
      </c>
      <c r="C406">
        <v>1</v>
      </c>
      <c r="D406">
        <v>0</v>
      </c>
      <c r="E406" t="s">
        <v>104</v>
      </c>
      <c r="F406">
        <v>20</v>
      </c>
      <c r="G406" t="b">
        <v>0</v>
      </c>
      <c r="H406" t="s">
        <v>109</v>
      </c>
      <c r="I406" t="s">
        <v>114</v>
      </c>
      <c r="J406">
        <v>0.22</v>
      </c>
      <c r="K406">
        <v>0.2727</v>
      </c>
      <c r="L406">
        <v>0.87</v>
      </c>
      <c r="M406">
        <v>0</v>
      </c>
      <c r="N406">
        <v>0</v>
      </c>
      <c r="O406">
        <v>83</v>
      </c>
      <c r="P406">
        <v>83</v>
      </c>
    </row>
    <row r="407" spans="1:16" x14ac:dyDescent="0.35">
      <c r="A407">
        <v>406</v>
      </c>
      <c r="B407" s="37">
        <v>40561</v>
      </c>
      <c r="C407">
        <v>1</v>
      </c>
      <c r="D407">
        <v>0</v>
      </c>
      <c r="E407" t="s">
        <v>104</v>
      </c>
      <c r="F407">
        <v>21</v>
      </c>
      <c r="G407" t="b">
        <v>0</v>
      </c>
      <c r="H407" t="s">
        <v>109</v>
      </c>
      <c r="I407" t="s">
        <v>114</v>
      </c>
      <c r="J407">
        <v>0.22</v>
      </c>
      <c r="K407">
        <v>0.2424</v>
      </c>
      <c r="L407">
        <v>0.93</v>
      </c>
      <c r="M407">
        <v>0.1045</v>
      </c>
      <c r="N407">
        <v>0</v>
      </c>
      <c r="O407">
        <v>41</v>
      </c>
      <c r="P407">
        <v>41</v>
      </c>
    </row>
    <row r="408" spans="1:16" x14ac:dyDescent="0.35">
      <c r="A408">
        <v>407</v>
      </c>
      <c r="B408" s="37">
        <v>40561</v>
      </c>
      <c r="C408">
        <v>1</v>
      </c>
      <c r="D408">
        <v>0</v>
      </c>
      <c r="E408" t="s">
        <v>104</v>
      </c>
      <c r="F408">
        <v>22</v>
      </c>
      <c r="G408" t="b">
        <v>0</v>
      </c>
      <c r="H408" t="s">
        <v>109</v>
      </c>
      <c r="I408" t="s">
        <v>114</v>
      </c>
      <c r="J408">
        <v>0.22</v>
      </c>
      <c r="K408">
        <v>0.2576</v>
      </c>
      <c r="L408">
        <v>0.93</v>
      </c>
      <c r="M408">
        <v>8.9599999999999999E-2</v>
      </c>
      <c r="N408">
        <v>0</v>
      </c>
      <c r="O408">
        <v>33</v>
      </c>
      <c r="P408">
        <v>33</v>
      </c>
    </row>
    <row r="409" spans="1:16" x14ac:dyDescent="0.35">
      <c r="A409">
        <v>408</v>
      </c>
      <c r="B409" s="37">
        <v>40561</v>
      </c>
      <c r="C409">
        <v>1</v>
      </c>
      <c r="D409">
        <v>0</v>
      </c>
      <c r="E409" t="s">
        <v>104</v>
      </c>
      <c r="F409">
        <v>23</v>
      </c>
      <c r="G409" t="b">
        <v>0</v>
      </c>
      <c r="H409" t="s">
        <v>109</v>
      </c>
      <c r="I409" t="s">
        <v>114</v>
      </c>
      <c r="J409">
        <v>0.22</v>
      </c>
      <c r="K409">
        <v>0.2727</v>
      </c>
      <c r="L409">
        <v>0.93</v>
      </c>
      <c r="M409">
        <v>0</v>
      </c>
      <c r="N409">
        <v>1</v>
      </c>
      <c r="O409">
        <v>19</v>
      </c>
      <c r="P409">
        <v>20</v>
      </c>
    </row>
    <row r="410" spans="1:16" x14ac:dyDescent="0.35">
      <c r="A410">
        <v>409</v>
      </c>
      <c r="B410" s="37">
        <v>40562</v>
      </c>
      <c r="C410">
        <v>1</v>
      </c>
      <c r="D410">
        <v>0</v>
      </c>
      <c r="E410" t="s">
        <v>104</v>
      </c>
      <c r="F410">
        <v>0</v>
      </c>
      <c r="G410" t="b">
        <v>0</v>
      </c>
      <c r="H410" t="s">
        <v>110</v>
      </c>
      <c r="I410" t="s">
        <v>114</v>
      </c>
      <c r="J410">
        <v>0.22</v>
      </c>
      <c r="K410">
        <v>0.2727</v>
      </c>
      <c r="L410">
        <v>0.93</v>
      </c>
      <c r="M410">
        <v>0</v>
      </c>
      <c r="N410">
        <v>0</v>
      </c>
      <c r="O410">
        <v>3</v>
      </c>
      <c r="P410">
        <v>3</v>
      </c>
    </row>
    <row r="411" spans="1:16" x14ac:dyDescent="0.35">
      <c r="A411">
        <v>410</v>
      </c>
      <c r="B411" s="37">
        <v>40562</v>
      </c>
      <c r="C411">
        <v>1</v>
      </c>
      <c r="D411">
        <v>0</v>
      </c>
      <c r="E411" t="s">
        <v>104</v>
      </c>
      <c r="F411">
        <v>1</v>
      </c>
      <c r="G411" t="b">
        <v>0</v>
      </c>
      <c r="H411" t="s">
        <v>110</v>
      </c>
      <c r="I411" t="s">
        <v>115</v>
      </c>
      <c r="J411">
        <v>0.22</v>
      </c>
      <c r="K411">
        <v>0.2273</v>
      </c>
      <c r="L411">
        <v>0.93</v>
      </c>
      <c r="M411">
        <v>0.1343</v>
      </c>
      <c r="N411">
        <v>1</v>
      </c>
      <c r="O411">
        <v>6</v>
      </c>
      <c r="P411">
        <v>7</v>
      </c>
    </row>
    <row r="412" spans="1:16" x14ac:dyDescent="0.35">
      <c r="A412">
        <v>411</v>
      </c>
      <c r="B412" s="37">
        <v>40562</v>
      </c>
      <c r="C412">
        <v>1</v>
      </c>
      <c r="D412">
        <v>0</v>
      </c>
      <c r="E412" t="s">
        <v>104</v>
      </c>
      <c r="F412">
        <v>2</v>
      </c>
      <c r="G412" t="b">
        <v>0</v>
      </c>
      <c r="H412" t="s">
        <v>110</v>
      </c>
      <c r="I412" t="s">
        <v>115</v>
      </c>
      <c r="J412">
        <v>0.22</v>
      </c>
      <c r="K412">
        <v>0.2273</v>
      </c>
      <c r="L412">
        <v>0.93</v>
      </c>
      <c r="M412">
        <v>0.1343</v>
      </c>
      <c r="N412">
        <v>0</v>
      </c>
      <c r="O412">
        <v>3</v>
      </c>
      <c r="P412">
        <v>3</v>
      </c>
    </row>
    <row r="413" spans="1:16" x14ac:dyDescent="0.35">
      <c r="A413">
        <v>412</v>
      </c>
      <c r="B413" s="37">
        <v>40562</v>
      </c>
      <c r="C413">
        <v>1</v>
      </c>
      <c r="D413">
        <v>0</v>
      </c>
      <c r="E413" t="s">
        <v>104</v>
      </c>
      <c r="F413">
        <v>4</v>
      </c>
      <c r="G413" t="b">
        <v>0</v>
      </c>
      <c r="H413" t="s">
        <v>110</v>
      </c>
      <c r="I413" t="s">
        <v>115</v>
      </c>
      <c r="J413">
        <v>0.22</v>
      </c>
      <c r="K413">
        <v>0.2273</v>
      </c>
      <c r="L413">
        <v>0.93</v>
      </c>
      <c r="M413">
        <v>0.1343</v>
      </c>
      <c r="N413">
        <v>1</v>
      </c>
      <c r="O413">
        <v>1</v>
      </c>
      <c r="P413">
        <v>2</v>
      </c>
    </row>
    <row r="414" spans="1:16" x14ac:dyDescent="0.35">
      <c r="A414">
        <v>413</v>
      </c>
      <c r="B414" s="37">
        <v>40562</v>
      </c>
      <c r="C414">
        <v>1</v>
      </c>
      <c r="D414">
        <v>0</v>
      </c>
      <c r="E414" t="s">
        <v>104</v>
      </c>
      <c r="F414">
        <v>5</v>
      </c>
      <c r="G414" t="b">
        <v>0</v>
      </c>
      <c r="H414" t="s">
        <v>110</v>
      </c>
      <c r="I414" t="s">
        <v>114</v>
      </c>
      <c r="J414">
        <v>0.22</v>
      </c>
      <c r="K414">
        <v>0.2576</v>
      </c>
      <c r="L414">
        <v>0.93</v>
      </c>
      <c r="M414">
        <v>8.9599999999999999E-2</v>
      </c>
      <c r="N414">
        <v>0</v>
      </c>
      <c r="O414">
        <v>7</v>
      </c>
      <c r="P414">
        <v>7</v>
      </c>
    </row>
    <row r="415" spans="1:16" x14ac:dyDescent="0.35">
      <c r="A415">
        <v>414</v>
      </c>
      <c r="B415" s="37">
        <v>40562</v>
      </c>
      <c r="C415">
        <v>1</v>
      </c>
      <c r="D415">
        <v>0</v>
      </c>
      <c r="E415" t="s">
        <v>104</v>
      </c>
      <c r="F415">
        <v>6</v>
      </c>
      <c r="G415" t="b">
        <v>0</v>
      </c>
      <c r="H415" t="s">
        <v>110</v>
      </c>
      <c r="I415" t="s">
        <v>114</v>
      </c>
      <c r="J415">
        <v>0.22</v>
      </c>
      <c r="K415">
        <v>0.2576</v>
      </c>
      <c r="L415">
        <v>0.93</v>
      </c>
      <c r="M415">
        <v>8.9599999999999999E-2</v>
      </c>
      <c r="N415">
        <v>0</v>
      </c>
      <c r="O415">
        <v>32</v>
      </c>
      <c r="P415">
        <v>32</v>
      </c>
    </row>
    <row r="416" spans="1:16" x14ac:dyDescent="0.35">
      <c r="A416">
        <v>415</v>
      </c>
      <c r="B416" s="37">
        <v>40562</v>
      </c>
      <c r="C416">
        <v>1</v>
      </c>
      <c r="D416">
        <v>0</v>
      </c>
      <c r="E416" t="s">
        <v>104</v>
      </c>
      <c r="F416">
        <v>7</v>
      </c>
      <c r="G416" t="b">
        <v>0</v>
      </c>
      <c r="H416" t="s">
        <v>110</v>
      </c>
      <c r="I416" t="s">
        <v>114</v>
      </c>
      <c r="J416">
        <v>0.24</v>
      </c>
      <c r="K416">
        <v>0.2576</v>
      </c>
      <c r="L416">
        <v>0.92</v>
      </c>
      <c r="M416">
        <v>0.1045</v>
      </c>
      <c r="N416">
        <v>1</v>
      </c>
      <c r="O416">
        <v>89</v>
      </c>
      <c r="P416">
        <v>90</v>
      </c>
    </row>
    <row r="417" spans="1:16" x14ac:dyDescent="0.35">
      <c r="A417">
        <v>416</v>
      </c>
      <c r="B417" s="37">
        <v>40562</v>
      </c>
      <c r="C417">
        <v>1</v>
      </c>
      <c r="D417">
        <v>0</v>
      </c>
      <c r="E417" t="s">
        <v>104</v>
      </c>
      <c r="F417">
        <v>8</v>
      </c>
      <c r="G417" t="b">
        <v>0</v>
      </c>
      <c r="H417" t="s">
        <v>110</v>
      </c>
      <c r="I417" t="s">
        <v>114</v>
      </c>
      <c r="J417">
        <v>0.24</v>
      </c>
      <c r="K417">
        <v>0.2576</v>
      </c>
      <c r="L417">
        <v>0.93</v>
      </c>
      <c r="M417">
        <v>0.1045</v>
      </c>
      <c r="N417">
        <v>1</v>
      </c>
      <c r="O417">
        <v>196</v>
      </c>
      <c r="P417">
        <v>197</v>
      </c>
    </row>
    <row r="418" spans="1:16" x14ac:dyDescent="0.35">
      <c r="A418">
        <v>417</v>
      </c>
      <c r="B418" s="37">
        <v>40562</v>
      </c>
      <c r="C418">
        <v>1</v>
      </c>
      <c r="D418">
        <v>0</v>
      </c>
      <c r="E418" t="s">
        <v>104</v>
      </c>
      <c r="F418">
        <v>9</v>
      </c>
      <c r="G418" t="b">
        <v>0</v>
      </c>
      <c r="H418" t="s">
        <v>110</v>
      </c>
      <c r="I418" t="s">
        <v>114</v>
      </c>
      <c r="J418">
        <v>0.24</v>
      </c>
      <c r="K418">
        <v>0.2576</v>
      </c>
      <c r="L418">
        <v>0.93</v>
      </c>
      <c r="M418">
        <v>0.1045</v>
      </c>
      <c r="N418">
        <v>2</v>
      </c>
      <c r="O418">
        <v>107</v>
      </c>
      <c r="P418">
        <v>109</v>
      </c>
    </row>
    <row r="419" spans="1:16" x14ac:dyDescent="0.35">
      <c r="A419">
        <v>418</v>
      </c>
      <c r="B419" s="37">
        <v>40562</v>
      </c>
      <c r="C419">
        <v>1</v>
      </c>
      <c r="D419">
        <v>0</v>
      </c>
      <c r="E419" t="s">
        <v>104</v>
      </c>
      <c r="F419">
        <v>10</v>
      </c>
      <c r="G419" t="b">
        <v>0</v>
      </c>
      <c r="H419" t="s">
        <v>110</v>
      </c>
      <c r="I419" t="s">
        <v>114</v>
      </c>
      <c r="J419">
        <v>0.26</v>
      </c>
      <c r="K419">
        <v>0.2727</v>
      </c>
      <c r="L419">
        <v>0.93</v>
      </c>
      <c r="M419">
        <v>0.1343</v>
      </c>
      <c r="N419">
        <v>1</v>
      </c>
      <c r="O419">
        <v>46</v>
      </c>
      <c r="P419">
        <v>47</v>
      </c>
    </row>
    <row r="420" spans="1:16" x14ac:dyDescent="0.35">
      <c r="A420">
        <v>419</v>
      </c>
      <c r="B420" s="37">
        <v>40562</v>
      </c>
      <c r="C420">
        <v>1</v>
      </c>
      <c r="D420">
        <v>0</v>
      </c>
      <c r="E420" t="s">
        <v>104</v>
      </c>
      <c r="F420">
        <v>11</v>
      </c>
      <c r="G420" t="b">
        <v>0</v>
      </c>
      <c r="H420" t="s">
        <v>110</v>
      </c>
      <c r="I420" t="s">
        <v>114</v>
      </c>
      <c r="J420">
        <v>0.28000000000000003</v>
      </c>
      <c r="K420">
        <v>0.30299999999999999</v>
      </c>
      <c r="L420">
        <v>0.87</v>
      </c>
      <c r="M420">
        <v>8.9599999999999999E-2</v>
      </c>
      <c r="N420">
        <v>5</v>
      </c>
      <c r="O420">
        <v>47</v>
      </c>
      <c r="P420">
        <v>52</v>
      </c>
    </row>
    <row r="421" spans="1:16" x14ac:dyDescent="0.35">
      <c r="A421">
        <v>420</v>
      </c>
      <c r="B421" s="37">
        <v>40562</v>
      </c>
      <c r="C421">
        <v>1</v>
      </c>
      <c r="D421">
        <v>0</v>
      </c>
      <c r="E421" t="s">
        <v>104</v>
      </c>
      <c r="F421">
        <v>12</v>
      </c>
      <c r="G421" t="b">
        <v>0</v>
      </c>
      <c r="H421" t="s">
        <v>110</v>
      </c>
      <c r="I421" t="s">
        <v>114</v>
      </c>
      <c r="J421">
        <v>0.3</v>
      </c>
      <c r="K421">
        <v>0.31819999999999998</v>
      </c>
      <c r="L421">
        <v>0.81</v>
      </c>
      <c r="M421">
        <v>8.9599999999999999E-2</v>
      </c>
      <c r="N421">
        <v>5</v>
      </c>
      <c r="O421">
        <v>65</v>
      </c>
      <c r="P421">
        <v>70</v>
      </c>
    </row>
    <row r="422" spans="1:16" x14ac:dyDescent="0.35">
      <c r="A422">
        <v>421</v>
      </c>
      <c r="B422" s="37">
        <v>40562</v>
      </c>
      <c r="C422">
        <v>1</v>
      </c>
      <c r="D422">
        <v>0</v>
      </c>
      <c r="E422" t="s">
        <v>104</v>
      </c>
      <c r="F422">
        <v>13</v>
      </c>
      <c r="G422" t="b">
        <v>0</v>
      </c>
      <c r="H422" t="s">
        <v>110</v>
      </c>
      <c r="I422" t="s">
        <v>113</v>
      </c>
      <c r="J422">
        <v>0.4</v>
      </c>
      <c r="K422">
        <v>0.40910000000000002</v>
      </c>
      <c r="L422">
        <v>0.62</v>
      </c>
      <c r="M422">
        <v>0.28360000000000002</v>
      </c>
      <c r="N422">
        <v>11</v>
      </c>
      <c r="O422">
        <v>67</v>
      </c>
      <c r="P422">
        <v>78</v>
      </c>
    </row>
    <row r="423" spans="1:16" x14ac:dyDescent="0.35">
      <c r="A423">
        <v>422</v>
      </c>
      <c r="B423" s="37">
        <v>40562</v>
      </c>
      <c r="C423">
        <v>1</v>
      </c>
      <c r="D423">
        <v>0</v>
      </c>
      <c r="E423" t="s">
        <v>104</v>
      </c>
      <c r="F423">
        <v>14</v>
      </c>
      <c r="G423" t="b">
        <v>0</v>
      </c>
      <c r="H423" t="s">
        <v>110</v>
      </c>
      <c r="I423" t="s">
        <v>113</v>
      </c>
      <c r="J423">
        <v>0.4</v>
      </c>
      <c r="K423">
        <v>0.40910000000000002</v>
      </c>
      <c r="L423">
        <v>0.57999999999999996</v>
      </c>
      <c r="M423">
        <v>0.25369999999999998</v>
      </c>
      <c r="N423">
        <v>7</v>
      </c>
      <c r="O423">
        <v>68</v>
      </c>
      <c r="P423">
        <v>75</v>
      </c>
    </row>
    <row r="424" spans="1:16" x14ac:dyDescent="0.35">
      <c r="A424">
        <v>423</v>
      </c>
      <c r="B424" s="37">
        <v>40562</v>
      </c>
      <c r="C424">
        <v>1</v>
      </c>
      <c r="D424">
        <v>0</v>
      </c>
      <c r="E424" t="s">
        <v>104</v>
      </c>
      <c r="F424">
        <v>15</v>
      </c>
      <c r="G424" t="b">
        <v>0</v>
      </c>
      <c r="H424" t="s">
        <v>110</v>
      </c>
      <c r="I424" t="s">
        <v>113</v>
      </c>
      <c r="J424">
        <v>0.4</v>
      </c>
      <c r="K424">
        <v>0.40910000000000002</v>
      </c>
      <c r="L424">
        <v>0.54</v>
      </c>
      <c r="M424">
        <v>0.28360000000000002</v>
      </c>
      <c r="N424">
        <v>4</v>
      </c>
      <c r="O424">
        <v>78</v>
      </c>
      <c r="P424">
        <v>82</v>
      </c>
    </row>
    <row r="425" spans="1:16" x14ac:dyDescent="0.35">
      <c r="A425">
        <v>424</v>
      </c>
      <c r="B425" s="37">
        <v>40562</v>
      </c>
      <c r="C425">
        <v>1</v>
      </c>
      <c r="D425">
        <v>0</v>
      </c>
      <c r="E425" t="s">
        <v>104</v>
      </c>
      <c r="F425">
        <v>16</v>
      </c>
      <c r="G425" t="b">
        <v>0</v>
      </c>
      <c r="H425" t="s">
        <v>110</v>
      </c>
      <c r="I425" t="s">
        <v>113</v>
      </c>
      <c r="J425">
        <v>0.38</v>
      </c>
      <c r="K425">
        <v>0.39389999999999997</v>
      </c>
      <c r="L425">
        <v>0.57999999999999996</v>
      </c>
      <c r="M425">
        <v>0.3881</v>
      </c>
      <c r="N425">
        <v>10</v>
      </c>
      <c r="O425">
        <v>94</v>
      </c>
      <c r="P425">
        <v>104</v>
      </c>
    </row>
    <row r="426" spans="1:16" x14ac:dyDescent="0.35">
      <c r="A426">
        <v>425</v>
      </c>
      <c r="B426" s="37">
        <v>40562</v>
      </c>
      <c r="C426">
        <v>1</v>
      </c>
      <c r="D426">
        <v>0</v>
      </c>
      <c r="E426" t="s">
        <v>104</v>
      </c>
      <c r="F426">
        <v>17</v>
      </c>
      <c r="G426" t="b">
        <v>0</v>
      </c>
      <c r="H426" t="s">
        <v>110</v>
      </c>
      <c r="I426" t="s">
        <v>113</v>
      </c>
      <c r="J426">
        <v>0.36</v>
      </c>
      <c r="K426">
        <v>0.33329999999999999</v>
      </c>
      <c r="L426">
        <v>0.56999999999999995</v>
      </c>
      <c r="M426">
        <v>0.32840000000000003</v>
      </c>
      <c r="N426">
        <v>7</v>
      </c>
      <c r="O426">
        <v>190</v>
      </c>
      <c r="P426">
        <v>197</v>
      </c>
    </row>
    <row r="427" spans="1:16" x14ac:dyDescent="0.35">
      <c r="A427">
        <v>426</v>
      </c>
      <c r="B427" s="37">
        <v>40562</v>
      </c>
      <c r="C427">
        <v>1</v>
      </c>
      <c r="D427">
        <v>0</v>
      </c>
      <c r="E427" t="s">
        <v>104</v>
      </c>
      <c r="F427">
        <v>18</v>
      </c>
      <c r="G427" t="b">
        <v>0</v>
      </c>
      <c r="H427" t="s">
        <v>110</v>
      </c>
      <c r="I427" t="s">
        <v>113</v>
      </c>
      <c r="J427">
        <v>0.34</v>
      </c>
      <c r="K427">
        <v>0.31819999999999998</v>
      </c>
      <c r="L427">
        <v>0.61</v>
      </c>
      <c r="M427">
        <v>0.28360000000000002</v>
      </c>
      <c r="N427">
        <v>5</v>
      </c>
      <c r="O427">
        <v>156</v>
      </c>
      <c r="P427">
        <v>161</v>
      </c>
    </row>
    <row r="428" spans="1:16" x14ac:dyDescent="0.35">
      <c r="A428">
        <v>427</v>
      </c>
      <c r="B428" s="37">
        <v>40562</v>
      </c>
      <c r="C428">
        <v>1</v>
      </c>
      <c r="D428">
        <v>0</v>
      </c>
      <c r="E428" t="s">
        <v>104</v>
      </c>
      <c r="F428">
        <v>19</v>
      </c>
      <c r="G428" t="b">
        <v>0</v>
      </c>
      <c r="H428" t="s">
        <v>110</v>
      </c>
      <c r="I428" t="s">
        <v>113</v>
      </c>
      <c r="J428">
        <v>0.32</v>
      </c>
      <c r="K428">
        <v>0.28789999999999999</v>
      </c>
      <c r="L428">
        <v>0.56999999999999995</v>
      </c>
      <c r="M428">
        <v>0.41789999999999999</v>
      </c>
      <c r="N428">
        <v>4</v>
      </c>
      <c r="O428">
        <v>108</v>
      </c>
      <c r="P428">
        <v>112</v>
      </c>
    </row>
    <row r="429" spans="1:16" x14ac:dyDescent="0.35">
      <c r="A429">
        <v>428</v>
      </c>
      <c r="B429" s="37">
        <v>40562</v>
      </c>
      <c r="C429">
        <v>1</v>
      </c>
      <c r="D429">
        <v>0</v>
      </c>
      <c r="E429" t="s">
        <v>104</v>
      </c>
      <c r="F429">
        <v>20</v>
      </c>
      <c r="G429" t="b">
        <v>0</v>
      </c>
      <c r="H429" t="s">
        <v>110</v>
      </c>
      <c r="I429" t="s">
        <v>113</v>
      </c>
      <c r="J429">
        <v>0.32</v>
      </c>
      <c r="K429">
        <v>0.30299999999999999</v>
      </c>
      <c r="L429">
        <v>0.49</v>
      </c>
      <c r="M429">
        <v>0.29849999999999999</v>
      </c>
      <c r="N429">
        <v>2</v>
      </c>
      <c r="O429">
        <v>74</v>
      </c>
      <c r="P429">
        <v>76</v>
      </c>
    </row>
    <row r="430" spans="1:16" x14ac:dyDescent="0.35">
      <c r="A430">
        <v>429</v>
      </c>
      <c r="B430" s="37">
        <v>40562</v>
      </c>
      <c r="C430">
        <v>1</v>
      </c>
      <c r="D430">
        <v>0</v>
      </c>
      <c r="E430" t="s">
        <v>104</v>
      </c>
      <c r="F430">
        <v>21</v>
      </c>
      <c r="G430" t="b">
        <v>0</v>
      </c>
      <c r="H430" t="s">
        <v>110</v>
      </c>
      <c r="I430" t="s">
        <v>113</v>
      </c>
      <c r="J430">
        <v>0.32</v>
      </c>
      <c r="K430">
        <v>0.28789999999999999</v>
      </c>
      <c r="L430">
        <v>0.49</v>
      </c>
      <c r="M430">
        <v>0.41789999999999999</v>
      </c>
      <c r="N430">
        <v>4</v>
      </c>
      <c r="O430">
        <v>55</v>
      </c>
      <c r="P430">
        <v>59</v>
      </c>
    </row>
    <row r="431" spans="1:16" x14ac:dyDescent="0.35">
      <c r="A431">
        <v>430</v>
      </c>
      <c r="B431" s="37">
        <v>40562</v>
      </c>
      <c r="C431">
        <v>1</v>
      </c>
      <c r="D431">
        <v>0</v>
      </c>
      <c r="E431" t="s">
        <v>104</v>
      </c>
      <c r="F431">
        <v>22</v>
      </c>
      <c r="G431" t="b">
        <v>0</v>
      </c>
      <c r="H431" t="s">
        <v>110</v>
      </c>
      <c r="I431" t="s">
        <v>113</v>
      </c>
      <c r="J431">
        <v>0.3</v>
      </c>
      <c r="K431">
        <v>0.30299999999999999</v>
      </c>
      <c r="L431">
        <v>0.52</v>
      </c>
      <c r="M431">
        <v>0.16420000000000001</v>
      </c>
      <c r="N431">
        <v>6</v>
      </c>
      <c r="O431">
        <v>53</v>
      </c>
      <c r="P431">
        <v>59</v>
      </c>
    </row>
    <row r="432" spans="1:16" x14ac:dyDescent="0.35">
      <c r="A432">
        <v>431</v>
      </c>
      <c r="B432" s="37">
        <v>40562</v>
      </c>
      <c r="C432">
        <v>1</v>
      </c>
      <c r="D432">
        <v>0</v>
      </c>
      <c r="E432" t="s">
        <v>104</v>
      </c>
      <c r="F432">
        <v>23</v>
      </c>
      <c r="G432" t="b">
        <v>0</v>
      </c>
      <c r="H432" t="s">
        <v>110</v>
      </c>
      <c r="I432" t="s">
        <v>113</v>
      </c>
      <c r="J432">
        <v>0.3</v>
      </c>
      <c r="K432">
        <v>0.2727</v>
      </c>
      <c r="L432">
        <v>0.52</v>
      </c>
      <c r="M432">
        <v>0.4627</v>
      </c>
      <c r="N432">
        <v>1</v>
      </c>
      <c r="O432">
        <v>27</v>
      </c>
      <c r="P432">
        <v>28</v>
      </c>
    </row>
    <row r="433" spans="1:16" x14ac:dyDescent="0.35">
      <c r="A433">
        <v>432</v>
      </c>
      <c r="B433" s="37">
        <v>40563</v>
      </c>
      <c r="C433">
        <v>1</v>
      </c>
      <c r="D433">
        <v>0</v>
      </c>
      <c r="E433" t="s">
        <v>104</v>
      </c>
      <c r="F433">
        <v>0</v>
      </c>
      <c r="G433" t="b">
        <v>0</v>
      </c>
      <c r="H433" t="s">
        <v>111</v>
      </c>
      <c r="I433" t="s">
        <v>113</v>
      </c>
      <c r="J433">
        <v>0.26</v>
      </c>
      <c r="K433">
        <v>0.2273</v>
      </c>
      <c r="L433">
        <v>0.56000000000000005</v>
      </c>
      <c r="M433">
        <v>0.3881</v>
      </c>
      <c r="N433">
        <v>5</v>
      </c>
      <c r="O433">
        <v>8</v>
      </c>
      <c r="P433">
        <v>13</v>
      </c>
    </row>
    <row r="434" spans="1:16" x14ac:dyDescent="0.35">
      <c r="A434">
        <v>433</v>
      </c>
      <c r="B434" s="37">
        <v>40563</v>
      </c>
      <c r="C434">
        <v>1</v>
      </c>
      <c r="D434">
        <v>0</v>
      </c>
      <c r="E434" t="s">
        <v>104</v>
      </c>
      <c r="F434">
        <v>1</v>
      </c>
      <c r="G434" t="b">
        <v>0</v>
      </c>
      <c r="H434" t="s">
        <v>111</v>
      </c>
      <c r="I434" t="s">
        <v>113</v>
      </c>
      <c r="J434">
        <v>0.26</v>
      </c>
      <c r="K434">
        <v>0.2727</v>
      </c>
      <c r="L434">
        <v>0.56000000000000005</v>
      </c>
      <c r="M434">
        <v>0</v>
      </c>
      <c r="N434">
        <v>2</v>
      </c>
      <c r="O434">
        <v>3</v>
      </c>
      <c r="P434">
        <v>5</v>
      </c>
    </row>
    <row r="435" spans="1:16" x14ac:dyDescent="0.35">
      <c r="A435">
        <v>434</v>
      </c>
      <c r="B435" s="37">
        <v>40563</v>
      </c>
      <c r="C435">
        <v>1</v>
      </c>
      <c r="D435">
        <v>0</v>
      </c>
      <c r="E435" t="s">
        <v>104</v>
      </c>
      <c r="F435">
        <v>2</v>
      </c>
      <c r="G435" t="b">
        <v>0</v>
      </c>
      <c r="H435" t="s">
        <v>111</v>
      </c>
      <c r="I435" t="s">
        <v>113</v>
      </c>
      <c r="J435">
        <v>0.26</v>
      </c>
      <c r="K435">
        <v>0.2727</v>
      </c>
      <c r="L435">
        <v>0.56000000000000005</v>
      </c>
      <c r="M435">
        <v>0</v>
      </c>
      <c r="N435">
        <v>0</v>
      </c>
      <c r="O435">
        <v>2</v>
      </c>
      <c r="P435">
        <v>2</v>
      </c>
    </row>
    <row r="436" spans="1:16" x14ac:dyDescent="0.35">
      <c r="A436">
        <v>435</v>
      </c>
      <c r="B436" s="37">
        <v>40563</v>
      </c>
      <c r="C436">
        <v>1</v>
      </c>
      <c r="D436">
        <v>0</v>
      </c>
      <c r="E436" t="s">
        <v>104</v>
      </c>
      <c r="F436">
        <v>3</v>
      </c>
      <c r="G436" t="b">
        <v>0</v>
      </c>
      <c r="H436" t="s">
        <v>111</v>
      </c>
      <c r="I436" t="s">
        <v>113</v>
      </c>
      <c r="J436">
        <v>0.26</v>
      </c>
      <c r="K436">
        <v>0.2576</v>
      </c>
      <c r="L436">
        <v>0.56000000000000005</v>
      </c>
      <c r="M436">
        <v>0.16420000000000001</v>
      </c>
      <c r="N436">
        <v>0</v>
      </c>
      <c r="O436">
        <v>1</v>
      </c>
      <c r="P436">
        <v>1</v>
      </c>
    </row>
    <row r="437" spans="1:16" x14ac:dyDescent="0.35">
      <c r="A437">
        <v>436</v>
      </c>
      <c r="B437" s="37">
        <v>40563</v>
      </c>
      <c r="C437">
        <v>1</v>
      </c>
      <c r="D437">
        <v>0</v>
      </c>
      <c r="E437" t="s">
        <v>104</v>
      </c>
      <c r="F437">
        <v>4</v>
      </c>
      <c r="G437" t="b">
        <v>0</v>
      </c>
      <c r="H437" t="s">
        <v>111</v>
      </c>
      <c r="I437" t="s">
        <v>113</v>
      </c>
      <c r="J437">
        <v>0.26</v>
      </c>
      <c r="K437">
        <v>0.2576</v>
      </c>
      <c r="L437">
        <v>0.56000000000000005</v>
      </c>
      <c r="M437">
        <v>0.16420000000000001</v>
      </c>
      <c r="N437">
        <v>0</v>
      </c>
      <c r="O437">
        <v>1</v>
      </c>
      <c r="P437">
        <v>1</v>
      </c>
    </row>
    <row r="438" spans="1:16" x14ac:dyDescent="0.35">
      <c r="A438">
        <v>437</v>
      </c>
      <c r="B438" s="37">
        <v>40563</v>
      </c>
      <c r="C438">
        <v>1</v>
      </c>
      <c r="D438">
        <v>0</v>
      </c>
      <c r="E438" t="s">
        <v>104</v>
      </c>
      <c r="F438">
        <v>5</v>
      </c>
      <c r="G438" t="b">
        <v>0</v>
      </c>
      <c r="H438" t="s">
        <v>111</v>
      </c>
      <c r="I438" t="s">
        <v>113</v>
      </c>
      <c r="J438">
        <v>0.24</v>
      </c>
      <c r="K438">
        <v>0.2273</v>
      </c>
      <c r="L438">
        <v>0.6</v>
      </c>
      <c r="M438">
        <v>0.22389999999999999</v>
      </c>
      <c r="N438">
        <v>0</v>
      </c>
      <c r="O438">
        <v>6</v>
      </c>
      <c r="P438">
        <v>6</v>
      </c>
    </row>
    <row r="439" spans="1:16" x14ac:dyDescent="0.35">
      <c r="A439">
        <v>438</v>
      </c>
      <c r="B439" s="37">
        <v>40563</v>
      </c>
      <c r="C439">
        <v>1</v>
      </c>
      <c r="D439">
        <v>0</v>
      </c>
      <c r="E439" t="s">
        <v>104</v>
      </c>
      <c r="F439">
        <v>6</v>
      </c>
      <c r="G439" t="b">
        <v>0</v>
      </c>
      <c r="H439" t="s">
        <v>111</v>
      </c>
      <c r="I439" t="s">
        <v>113</v>
      </c>
      <c r="J439">
        <v>0.22</v>
      </c>
      <c r="K439">
        <v>0.21210000000000001</v>
      </c>
      <c r="L439">
        <v>0.6</v>
      </c>
      <c r="M439">
        <v>0.22389999999999999</v>
      </c>
      <c r="N439">
        <v>0</v>
      </c>
      <c r="O439">
        <v>35</v>
      </c>
      <c r="P439">
        <v>35</v>
      </c>
    </row>
    <row r="440" spans="1:16" x14ac:dyDescent="0.35">
      <c r="A440">
        <v>439</v>
      </c>
      <c r="B440" s="37">
        <v>40563</v>
      </c>
      <c r="C440">
        <v>1</v>
      </c>
      <c r="D440">
        <v>0</v>
      </c>
      <c r="E440" t="s">
        <v>104</v>
      </c>
      <c r="F440">
        <v>7</v>
      </c>
      <c r="G440" t="b">
        <v>0</v>
      </c>
      <c r="H440" t="s">
        <v>111</v>
      </c>
      <c r="I440" t="s">
        <v>113</v>
      </c>
      <c r="J440">
        <v>0.22</v>
      </c>
      <c r="K440">
        <v>0.21210000000000001</v>
      </c>
      <c r="L440">
        <v>0.55000000000000004</v>
      </c>
      <c r="M440">
        <v>0.22389999999999999</v>
      </c>
      <c r="N440">
        <v>1</v>
      </c>
      <c r="O440">
        <v>100</v>
      </c>
      <c r="P440">
        <v>101</v>
      </c>
    </row>
    <row r="441" spans="1:16" x14ac:dyDescent="0.35">
      <c r="A441">
        <v>440</v>
      </c>
      <c r="B441" s="37">
        <v>40563</v>
      </c>
      <c r="C441">
        <v>1</v>
      </c>
      <c r="D441">
        <v>0</v>
      </c>
      <c r="E441" t="s">
        <v>104</v>
      </c>
      <c r="F441">
        <v>8</v>
      </c>
      <c r="G441" t="b">
        <v>0</v>
      </c>
      <c r="H441" t="s">
        <v>111</v>
      </c>
      <c r="I441" t="s">
        <v>113</v>
      </c>
      <c r="J441">
        <v>0.22</v>
      </c>
      <c r="K441">
        <v>0.21210000000000001</v>
      </c>
      <c r="L441">
        <v>0.55000000000000004</v>
      </c>
      <c r="M441">
        <v>0.28360000000000002</v>
      </c>
      <c r="N441">
        <v>2</v>
      </c>
      <c r="O441">
        <v>247</v>
      </c>
      <c r="P441">
        <v>249</v>
      </c>
    </row>
    <row r="442" spans="1:16" x14ac:dyDescent="0.35">
      <c r="A442">
        <v>441</v>
      </c>
      <c r="B442" s="37">
        <v>40563</v>
      </c>
      <c r="C442">
        <v>1</v>
      </c>
      <c r="D442">
        <v>0</v>
      </c>
      <c r="E442" t="s">
        <v>104</v>
      </c>
      <c r="F442">
        <v>9</v>
      </c>
      <c r="G442" t="b">
        <v>0</v>
      </c>
      <c r="H442" t="s">
        <v>111</v>
      </c>
      <c r="I442" t="s">
        <v>114</v>
      </c>
      <c r="J442">
        <v>0.24</v>
      </c>
      <c r="K442">
        <v>0.2273</v>
      </c>
      <c r="L442">
        <v>0.52</v>
      </c>
      <c r="M442">
        <v>0.22389999999999999</v>
      </c>
      <c r="N442">
        <v>3</v>
      </c>
      <c r="O442">
        <v>140</v>
      </c>
      <c r="P442">
        <v>143</v>
      </c>
    </row>
    <row r="443" spans="1:16" x14ac:dyDescent="0.35">
      <c r="A443">
        <v>442</v>
      </c>
      <c r="B443" s="37">
        <v>40563</v>
      </c>
      <c r="C443">
        <v>1</v>
      </c>
      <c r="D443">
        <v>0</v>
      </c>
      <c r="E443" t="s">
        <v>104</v>
      </c>
      <c r="F443">
        <v>10</v>
      </c>
      <c r="G443" t="b">
        <v>0</v>
      </c>
      <c r="H443" t="s">
        <v>111</v>
      </c>
      <c r="I443" t="s">
        <v>113</v>
      </c>
      <c r="J443">
        <v>0.26</v>
      </c>
      <c r="K443">
        <v>0.2273</v>
      </c>
      <c r="L443">
        <v>0.48</v>
      </c>
      <c r="M443">
        <v>0.29849999999999999</v>
      </c>
      <c r="N443">
        <v>1</v>
      </c>
      <c r="O443">
        <v>56</v>
      </c>
      <c r="P443">
        <v>57</v>
      </c>
    </row>
    <row r="444" spans="1:16" x14ac:dyDescent="0.35">
      <c r="A444">
        <v>443</v>
      </c>
      <c r="B444" s="37">
        <v>40563</v>
      </c>
      <c r="C444">
        <v>1</v>
      </c>
      <c r="D444">
        <v>0</v>
      </c>
      <c r="E444" t="s">
        <v>104</v>
      </c>
      <c r="F444">
        <v>11</v>
      </c>
      <c r="G444" t="b">
        <v>0</v>
      </c>
      <c r="H444" t="s">
        <v>111</v>
      </c>
      <c r="I444" t="s">
        <v>114</v>
      </c>
      <c r="J444">
        <v>0.28000000000000003</v>
      </c>
      <c r="K444">
        <v>0.2727</v>
      </c>
      <c r="L444">
        <v>0.45</v>
      </c>
      <c r="M444">
        <v>0.16420000000000001</v>
      </c>
      <c r="N444">
        <v>5</v>
      </c>
      <c r="O444">
        <v>63</v>
      </c>
      <c r="P444">
        <v>68</v>
      </c>
    </row>
    <row r="445" spans="1:16" x14ac:dyDescent="0.35">
      <c r="A445">
        <v>444</v>
      </c>
      <c r="B445" s="37">
        <v>40563</v>
      </c>
      <c r="C445">
        <v>1</v>
      </c>
      <c r="D445">
        <v>0</v>
      </c>
      <c r="E445" t="s">
        <v>104</v>
      </c>
      <c r="F445">
        <v>12</v>
      </c>
      <c r="G445" t="b">
        <v>0</v>
      </c>
      <c r="H445" t="s">
        <v>111</v>
      </c>
      <c r="I445" t="s">
        <v>114</v>
      </c>
      <c r="J445">
        <v>0.3</v>
      </c>
      <c r="K445">
        <v>0.33329999999999999</v>
      </c>
      <c r="L445">
        <v>0.42</v>
      </c>
      <c r="M445">
        <v>0</v>
      </c>
      <c r="N445">
        <v>7</v>
      </c>
      <c r="O445">
        <v>77</v>
      </c>
      <c r="P445">
        <v>84</v>
      </c>
    </row>
    <row r="446" spans="1:16" x14ac:dyDescent="0.35">
      <c r="A446">
        <v>445</v>
      </c>
      <c r="B446" s="37">
        <v>40563</v>
      </c>
      <c r="C446">
        <v>1</v>
      </c>
      <c r="D446">
        <v>0</v>
      </c>
      <c r="E446" t="s">
        <v>104</v>
      </c>
      <c r="F446">
        <v>13</v>
      </c>
      <c r="G446" t="b">
        <v>0</v>
      </c>
      <c r="H446" t="s">
        <v>111</v>
      </c>
      <c r="I446" t="s">
        <v>114</v>
      </c>
      <c r="J446">
        <v>0.28000000000000003</v>
      </c>
      <c r="K446">
        <v>0.28789999999999999</v>
      </c>
      <c r="L446">
        <v>0.45</v>
      </c>
      <c r="M446">
        <v>0.1045</v>
      </c>
      <c r="N446">
        <v>12</v>
      </c>
      <c r="O446">
        <v>86</v>
      </c>
      <c r="P446">
        <v>98</v>
      </c>
    </row>
    <row r="447" spans="1:16" x14ac:dyDescent="0.35">
      <c r="A447">
        <v>446</v>
      </c>
      <c r="B447" s="37">
        <v>40563</v>
      </c>
      <c r="C447">
        <v>1</v>
      </c>
      <c r="D447">
        <v>0</v>
      </c>
      <c r="E447" t="s">
        <v>104</v>
      </c>
      <c r="F447">
        <v>14</v>
      </c>
      <c r="G447" t="b">
        <v>0</v>
      </c>
      <c r="H447" t="s">
        <v>111</v>
      </c>
      <c r="I447" t="s">
        <v>114</v>
      </c>
      <c r="J447">
        <v>0.3</v>
      </c>
      <c r="K447">
        <v>0.30299999999999999</v>
      </c>
      <c r="L447">
        <v>0.45</v>
      </c>
      <c r="M447">
        <v>0.1343</v>
      </c>
      <c r="N447">
        <v>6</v>
      </c>
      <c r="O447">
        <v>75</v>
      </c>
      <c r="P447">
        <v>81</v>
      </c>
    </row>
    <row r="448" spans="1:16" x14ac:dyDescent="0.35">
      <c r="A448">
        <v>447</v>
      </c>
      <c r="B448" s="37">
        <v>40563</v>
      </c>
      <c r="C448">
        <v>1</v>
      </c>
      <c r="D448">
        <v>0</v>
      </c>
      <c r="E448" t="s">
        <v>104</v>
      </c>
      <c r="F448">
        <v>15</v>
      </c>
      <c r="G448" t="b">
        <v>0</v>
      </c>
      <c r="H448" t="s">
        <v>111</v>
      </c>
      <c r="I448" t="s">
        <v>114</v>
      </c>
      <c r="J448">
        <v>0.32</v>
      </c>
      <c r="K448">
        <v>0.31819999999999998</v>
      </c>
      <c r="L448">
        <v>0.45</v>
      </c>
      <c r="M448">
        <v>0.19400000000000001</v>
      </c>
      <c r="N448">
        <v>8</v>
      </c>
      <c r="O448">
        <v>62</v>
      </c>
      <c r="P448">
        <v>70</v>
      </c>
    </row>
    <row r="449" spans="1:16" x14ac:dyDescent="0.35">
      <c r="A449">
        <v>448</v>
      </c>
      <c r="B449" s="37">
        <v>40563</v>
      </c>
      <c r="C449">
        <v>1</v>
      </c>
      <c r="D449">
        <v>0</v>
      </c>
      <c r="E449" t="s">
        <v>104</v>
      </c>
      <c r="F449">
        <v>16</v>
      </c>
      <c r="G449" t="b">
        <v>0</v>
      </c>
      <c r="H449" t="s">
        <v>111</v>
      </c>
      <c r="I449" t="s">
        <v>114</v>
      </c>
      <c r="J449">
        <v>0.3</v>
      </c>
      <c r="K449">
        <v>0.30299999999999999</v>
      </c>
      <c r="L449">
        <v>0.49</v>
      </c>
      <c r="M449">
        <v>0.1343</v>
      </c>
      <c r="N449">
        <v>8</v>
      </c>
      <c r="O449">
        <v>83</v>
      </c>
      <c r="P449">
        <v>91</v>
      </c>
    </row>
    <row r="450" spans="1:16" x14ac:dyDescent="0.35">
      <c r="A450">
        <v>449</v>
      </c>
      <c r="B450" s="37">
        <v>40563</v>
      </c>
      <c r="C450">
        <v>1</v>
      </c>
      <c r="D450">
        <v>0</v>
      </c>
      <c r="E450" t="s">
        <v>104</v>
      </c>
      <c r="F450">
        <v>17</v>
      </c>
      <c r="G450" t="b">
        <v>0</v>
      </c>
      <c r="H450" t="s">
        <v>111</v>
      </c>
      <c r="I450" t="s">
        <v>114</v>
      </c>
      <c r="J450">
        <v>0.3</v>
      </c>
      <c r="K450">
        <v>0.31819999999999998</v>
      </c>
      <c r="L450">
        <v>0.49</v>
      </c>
      <c r="M450">
        <v>0.1045</v>
      </c>
      <c r="N450">
        <v>8</v>
      </c>
      <c r="O450">
        <v>207</v>
      </c>
      <c r="P450">
        <v>215</v>
      </c>
    </row>
    <row r="451" spans="1:16" x14ac:dyDescent="0.35">
      <c r="A451">
        <v>450</v>
      </c>
      <c r="B451" s="37">
        <v>40563</v>
      </c>
      <c r="C451">
        <v>1</v>
      </c>
      <c r="D451">
        <v>0</v>
      </c>
      <c r="E451" t="s">
        <v>104</v>
      </c>
      <c r="F451">
        <v>18</v>
      </c>
      <c r="G451" t="b">
        <v>0</v>
      </c>
      <c r="H451" t="s">
        <v>111</v>
      </c>
      <c r="I451" t="s">
        <v>114</v>
      </c>
      <c r="J451">
        <v>0.26</v>
      </c>
      <c r="K451">
        <v>0.2576</v>
      </c>
      <c r="L451">
        <v>0.56000000000000005</v>
      </c>
      <c r="M451">
        <v>0.19400000000000001</v>
      </c>
      <c r="N451">
        <v>1</v>
      </c>
      <c r="O451">
        <v>184</v>
      </c>
      <c r="P451">
        <v>185</v>
      </c>
    </row>
    <row r="452" spans="1:16" x14ac:dyDescent="0.35">
      <c r="A452">
        <v>451</v>
      </c>
      <c r="B452" s="37">
        <v>40563</v>
      </c>
      <c r="C452">
        <v>1</v>
      </c>
      <c r="D452">
        <v>0</v>
      </c>
      <c r="E452" t="s">
        <v>104</v>
      </c>
      <c r="F452">
        <v>19</v>
      </c>
      <c r="G452" t="b">
        <v>0</v>
      </c>
      <c r="H452" t="s">
        <v>111</v>
      </c>
      <c r="I452" t="s">
        <v>113</v>
      </c>
      <c r="J452">
        <v>0.26</v>
      </c>
      <c r="K452">
        <v>0.2273</v>
      </c>
      <c r="L452">
        <v>0.56000000000000005</v>
      </c>
      <c r="M452">
        <v>0.32840000000000003</v>
      </c>
      <c r="N452">
        <v>6</v>
      </c>
      <c r="O452">
        <v>146</v>
      </c>
      <c r="P452">
        <v>152</v>
      </c>
    </row>
    <row r="453" spans="1:16" x14ac:dyDescent="0.35">
      <c r="A453">
        <v>452</v>
      </c>
      <c r="B453" s="37">
        <v>40563</v>
      </c>
      <c r="C453">
        <v>1</v>
      </c>
      <c r="D453">
        <v>0</v>
      </c>
      <c r="E453" t="s">
        <v>104</v>
      </c>
      <c r="F453">
        <v>20</v>
      </c>
      <c r="G453" t="b">
        <v>0</v>
      </c>
      <c r="H453" t="s">
        <v>111</v>
      </c>
      <c r="I453" t="s">
        <v>114</v>
      </c>
      <c r="J453">
        <v>0.26</v>
      </c>
      <c r="K453">
        <v>0.2424</v>
      </c>
      <c r="L453">
        <v>0.6</v>
      </c>
      <c r="M453">
        <v>0.28360000000000002</v>
      </c>
      <c r="N453">
        <v>2</v>
      </c>
      <c r="O453">
        <v>124</v>
      </c>
      <c r="P453">
        <v>126</v>
      </c>
    </row>
    <row r="454" spans="1:16" x14ac:dyDescent="0.35">
      <c r="A454">
        <v>453</v>
      </c>
      <c r="B454" s="37">
        <v>40563</v>
      </c>
      <c r="C454">
        <v>1</v>
      </c>
      <c r="D454">
        <v>0</v>
      </c>
      <c r="E454" t="s">
        <v>104</v>
      </c>
      <c r="F454">
        <v>21</v>
      </c>
      <c r="G454" t="b">
        <v>0</v>
      </c>
      <c r="H454" t="s">
        <v>111</v>
      </c>
      <c r="I454" t="s">
        <v>114</v>
      </c>
      <c r="J454">
        <v>0.24</v>
      </c>
      <c r="K454">
        <v>0.2273</v>
      </c>
      <c r="L454">
        <v>0.6</v>
      </c>
      <c r="M454">
        <v>0.25369999999999998</v>
      </c>
      <c r="N454">
        <v>3</v>
      </c>
      <c r="O454">
        <v>54</v>
      </c>
      <c r="P454">
        <v>57</v>
      </c>
    </row>
    <row r="455" spans="1:16" x14ac:dyDescent="0.35">
      <c r="A455">
        <v>454</v>
      </c>
      <c r="B455" s="37">
        <v>40563</v>
      </c>
      <c r="C455">
        <v>1</v>
      </c>
      <c r="D455">
        <v>0</v>
      </c>
      <c r="E455" t="s">
        <v>104</v>
      </c>
      <c r="F455">
        <v>22</v>
      </c>
      <c r="G455" t="b">
        <v>0</v>
      </c>
      <c r="H455" t="s">
        <v>111</v>
      </c>
      <c r="I455" t="s">
        <v>114</v>
      </c>
      <c r="J455">
        <v>0.24</v>
      </c>
      <c r="K455">
        <v>0.21210000000000001</v>
      </c>
      <c r="L455">
        <v>0.65</v>
      </c>
      <c r="M455">
        <v>0.28360000000000002</v>
      </c>
      <c r="N455">
        <v>0</v>
      </c>
      <c r="O455">
        <v>56</v>
      </c>
      <c r="P455">
        <v>56</v>
      </c>
    </row>
    <row r="456" spans="1:16" x14ac:dyDescent="0.35">
      <c r="A456">
        <v>455</v>
      </c>
      <c r="B456" s="37">
        <v>40563</v>
      </c>
      <c r="C456">
        <v>1</v>
      </c>
      <c r="D456">
        <v>0</v>
      </c>
      <c r="E456" t="s">
        <v>104</v>
      </c>
      <c r="F456">
        <v>23</v>
      </c>
      <c r="G456" t="b">
        <v>0</v>
      </c>
      <c r="H456" t="s">
        <v>111</v>
      </c>
      <c r="I456" t="s">
        <v>114</v>
      </c>
      <c r="J456">
        <v>0.24</v>
      </c>
      <c r="K456">
        <v>0.21210000000000001</v>
      </c>
      <c r="L456">
        <v>0.65</v>
      </c>
      <c r="M456">
        <v>0.32840000000000003</v>
      </c>
      <c r="N456">
        <v>3</v>
      </c>
      <c r="O456">
        <v>28</v>
      </c>
      <c r="P456">
        <v>31</v>
      </c>
    </row>
    <row r="457" spans="1:16" x14ac:dyDescent="0.35">
      <c r="A457">
        <v>456</v>
      </c>
      <c r="B457" s="37">
        <v>40564</v>
      </c>
      <c r="C457">
        <v>1</v>
      </c>
      <c r="D457">
        <v>0</v>
      </c>
      <c r="E457" t="s">
        <v>104</v>
      </c>
      <c r="F457">
        <v>0</v>
      </c>
      <c r="G457" t="b">
        <v>0</v>
      </c>
      <c r="H457" t="s">
        <v>112</v>
      </c>
      <c r="I457" t="s">
        <v>114</v>
      </c>
      <c r="J457">
        <v>0.24</v>
      </c>
      <c r="K457">
        <v>0.2273</v>
      </c>
      <c r="L457">
        <v>0.7</v>
      </c>
      <c r="M457">
        <v>0.25369999999999998</v>
      </c>
      <c r="N457">
        <v>1</v>
      </c>
      <c r="O457">
        <v>20</v>
      </c>
      <c r="P457">
        <v>21</v>
      </c>
    </row>
    <row r="458" spans="1:16" x14ac:dyDescent="0.35">
      <c r="A458">
        <v>457</v>
      </c>
      <c r="B458" s="37">
        <v>40564</v>
      </c>
      <c r="C458">
        <v>1</v>
      </c>
      <c r="D458">
        <v>0</v>
      </c>
      <c r="E458" t="s">
        <v>104</v>
      </c>
      <c r="F458">
        <v>1</v>
      </c>
      <c r="G458" t="b">
        <v>0</v>
      </c>
      <c r="H458" t="s">
        <v>112</v>
      </c>
      <c r="I458" t="s">
        <v>114</v>
      </c>
      <c r="J458">
        <v>0.24</v>
      </c>
      <c r="K458">
        <v>0.2273</v>
      </c>
      <c r="L458">
        <v>0.7</v>
      </c>
      <c r="M458">
        <v>0.25369999999999998</v>
      </c>
      <c r="N458">
        <v>0</v>
      </c>
      <c r="O458">
        <v>6</v>
      </c>
      <c r="P458">
        <v>6</v>
      </c>
    </row>
    <row r="459" spans="1:16" x14ac:dyDescent="0.35">
      <c r="A459">
        <v>458</v>
      </c>
      <c r="B459" s="37">
        <v>40564</v>
      </c>
      <c r="C459">
        <v>1</v>
      </c>
      <c r="D459">
        <v>0</v>
      </c>
      <c r="E459" t="s">
        <v>104</v>
      </c>
      <c r="F459">
        <v>2</v>
      </c>
      <c r="G459" t="b">
        <v>0</v>
      </c>
      <c r="H459" t="s">
        <v>112</v>
      </c>
      <c r="I459" t="s">
        <v>115</v>
      </c>
      <c r="J459">
        <v>0.24</v>
      </c>
      <c r="K459">
        <v>0.2424</v>
      </c>
      <c r="L459">
        <v>0.75</v>
      </c>
      <c r="M459">
        <v>0.16420000000000001</v>
      </c>
      <c r="N459">
        <v>0</v>
      </c>
      <c r="O459">
        <v>2</v>
      </c>
      <c r="P459">
        <v>2</v>
      </c>
    </row>
    <row r="460" spans="1:16" x14ac:dyDescent="0.35">
      <c r="A460">
        <v>459</v>
      </c>
      <c r="B460" s="37">
        <v>40564</v>
      </c>
      <c r="C460">
        <v>1</v>
      </c>
      <c r="D460">
        <v>0</v>
      </c>
      <c r="E460" t="s">
        <v>104</v>
      </c>
      <c r="F460">
        <v>3</v>
      </c>
      <c r="G460" t="b">
        <v>0</v>
      </c>
      <c r="H460" t="s">
        <v>112</v>
      </c>
      <c r="I460" t="s">
        <v>115</v>
      </c>
      <c r="J460">
        <v>0.22</v>
      </c>
      <c r="K460">
        <v>0.21210000000000001</v>
      </c>
      <c r="L460">
        <v>0.8</v>
      </c>
      <c r="M460">
        <v>0.29849999999999999</v>
      </c>
      <c r="N460">
        <v>0</v>
      </c>
      <c r="O460">
        <v>1</v>
      </c>
      <c r="P460">
        <v>1</v>
      </c>
    </row>
    <row r="461" spans="1:16" x14ac:dyDescent="0.35">
      <c r="A461">
        <v>460</v>
      </c>
      <c r="B461" s="37">
        <v>40564</v>
      </c>
      <c r="C461">
        <v>1</v>
      </c>
      <c r="D461">
        <v>0</v>
      </c>
      <c r="E461" t="s">
        <v>104</v>
      </c>
      <c r="F461">
        <v>4</v>
      </c>
      <c r="G461" t="b">
        <v>0</v>
      </c>
      <c r="H461" t="s">
        <v>112</v>
      </c>
      <c r="I461" t="s">
        <v>114</v>
      </c>
      <c r="J461">
        <v>0.22</v>
      </c>
      <c r="K461">
        <v>0.2576</v>
      </c>
      <c r="L461">
        <v>0.87</v>
      </c>
      <c r="M461">
        <v>8.9599999999999999E-2</v>
      </c>
      <c r="N461">
        <v>0</v>
      </c>
      <c r="O461">
        <v>1</v>
      </c>
      <c r="P461">
        <v>1</v>
      </c>
    </row>
    <row r="462" spans="1:16" x14ac:dyDescent="0.35">
      <c r="A462">
        <v>461</v>
      </c>
      <c r="B462" s="37">
        <v>40564</v>
      </c>
      <c r="C462">
        <v>1</v>
      </c>
      <c r="D462">
        <v>0</v>
      </c>
      <c r="E462" t="s">
        <v>104</v>
      </c>
      <c r="F462">
        <v>5</v>
      </c>
      <c r="G462" t="b">
        <v>0</v>
      </c>
      <c r="H462" t="s">
        <v>112</v>
      </c>
      <c r="I462" t="s">
        <v>113</v>
      </c>
      <c r="J462">
        <v>0.24</v>
      </c>
      <c r="K462">
        <v>0.19700000000000001</v>
      </c>
      <c r="L462">
        <v>0.6</v>
      </c>
      <c r="M462">
        <v>0.41789999999999999</v>
      </c>
      <c r="N462">
        <v>1</v>
      </c>
      <c r="O462">
        <v>4</v>
      </c>
      <c r="P462">
        <v>5</v>
      </c>
    </row>
    <row r="463" spans="1:16" x14ac:dyDescent="0.35">
      <c r="A463">
        <v>462</v>
      </c>
      <c r="B463" s="37">
        <v>40564</v>
      </c>
      <c r="C463">
        <v>1</v>
      </c>
      <c r="D463">
        <v>0</v>
      </c>
      <c r="E463" t="s">
        <v>104</v>
      </c>
      <c r="F463">
        <v>6</v>
      </c>
      <c r="G463" t="b">
        <v>0</v>
      </c>
      <c r="H463" t="s">
        <v>112</v>
      </c>
      <c r="I463" t="s">
        <v>113</v>
      </c>
      <c r="J463">
        <v>0.22</v>
      </c>
      <c r="K463">
        <v>0.21210000000000001</v>
      </c>
      <c r="L463">
        <v>0.55000000000000004</v>
      </c>
      <c r="M463">
        <v>0.25369999999999998</v>
      </c>
      <c r="N463">
        <v>0</v>
      </c>
      <c r="O463">
        <v>27</v>
      </c>
      <c r="P463">
        <v>27</v>
      </c>
    </row>
    <row r="464" spans="1:16" x14ac:dyDescent="0.35">
      <c r="A464">
        <v>463</v>
      </c>
      <c r="B464" s="37">
        <v>40564</v>
      </c>
      <c r="C464">
        <v>1</v>
      </c>
      <c r="D464">
        <v>0</v>
      </c>
      <c r="E464" t="s">
        <v>104</v>
      </c>
      <c r="F464">
        <v>7</v>
      </c>
      <c r="G464" t="b">
        <v>0</v>
      </c>
      <c r="H464" t="s">
        <v>112</v>
      </c>
      <c r="I464" t="s">
        <v>113</v>
      </c>
      <c r="J464">
        <v>0.2</v>
      </c>
      <c r="K464">
        <v>0.18179999999999999</v>
      </c>
      <c r="L464">
        <v>0.51</v>
      </c>
      <c r="M464">
        <v>0.28360000000000002</v>
      </c>
      <c r="N464">
        <v>2</v>
      </c>
      <c r="O464">
        <v>66</v>
      </c>
      <c r="P464">
        <v>68</v>
      </c>
    </row>
    <row r="465" spans="1:16" x14ac:dyDescent="0.35">
      <c r="A465">
        <v>464</v>
      </c>
      <c r="B465" s="37">
        <v>40564</v>
      </c>
      <c r="C465">
        <v>1</v>
      </c>
      <c r="D465">
        <v>0</v>
      </c>
      <c r="E465" t="s">
        <v>104</v>
      </c>
      <c r="F465">
        <v>8</v>
      </c>
      <c r="G465" t="b">
        <v>0</v>
      </c>
      <c r="H465" t="s">
        <v>112</v>
      </c>
      <c r="I465" t="s">
        <v>113</v>
      </c>
      <c r="J465">
        <v>0.2</v>
      </c>
      <c r="K465">
        <v>0.18179999999999999</v>
      </c>
      <c r="L465">
        <v>0.47</v>
      </c>
      <c r="M465">
        <v>0.32840000000000003</v>
      </c>
      <c r="N465">
        <v>7</v>
      </c>
      <c r="O465">
        <v>210</v>
      </c>
      <c r="P465">
        <v>217</v>
      </c>
    </row>
    <row r="466" spans="1:16" x14ac:dyDescent="0.35">
      <c r="A466">
        <v>465</v>
      </c>
      <c r="B466" s="37">
        <v>40564</v>
      </c>
      <c r="C466">
        <v>1</v>
      </c>
      <c r="D466">
        <v>0</v>
      </c>
      <c r="E466" t="s">
        <v>104</v>
      </c>
      <c r="F466">
        <v>9</v>
      </c>
      <c r="G466" t="b">
        <v>0</v>
      </c>
      <c r="H466" t="s">
        <v>112</v>
      </c>
      <c r="I466" t="s">
        <v>113</v>
      </c>
      <c r="J466">
        <v>0.2</v>
      </c>
      <c r="K466">
        <v>0.18179999999999999</v>
      </c>
      <c r="L466">
        <v>0.51</v>
      </c>
      <c r="M466">
        <v>0.35820000000000002</v>
      </c>
      <c r="N466">
        <v>7</v>
      </c>
      <c r="O466">
        <v>159</v>
      </c>
      <c r="P466">
        <v>166</v>
      </c>
    </row>
    <row r="467" spans="1:16" x14ac:dyDescent="0.35">
      <c r="A467">
        <v>466</v>
      </c>
      <c r="B467" s="37">
        <v>40564</v>
      </c>
      <c r="C467">
        <v>1</v>
      </c>
      <c r="D467">
        <v>0</v>
      </c>
      <c r="E467" t="s">
        <v>104</v>
      </c>
      <c r="F467">
        <v>10</v>
      </c>
      <c r="G467" t="b">
        <v>0</v>
      </c>
      <c r="H467" t="s">
        <v>112</v>
      </c>
      <c r="I467" t="s">
        <v>113</v>
      </c>
      <c r="J467">
        <v>0.2</v>
      </c>
      <c r="K467">
        <v>0.16669999999999999</v>
      </c>
      <c r="L467">
        <v>0.47</v>
      </c>
      <c r="M467">
        <v>0.4627</v>
      </c>
      <c r="N467">
        <v>6</v>
      </c>
      <c r="O467">
        <v>57</v>
      </c>
      <c r="P467">
        <v>63</v>
      </c>
    </row>
    <row r="468" spans="1:16" x14ac:dyDescent="0.35">
      <c r="A468">
        <v>467</v>
      </c>
      <c r="B468" s="37">
        <v>40564</v>
      </c>
      <c r="C468">
        <v>1</v>
      </c>
      <c r="D468">
        <v>0</v>
      </c>
      <c r="E468" t="s">
        <v>104</v>
      </c>
      <c r="F468">
        <v>11</v>
      </c>
      <c r="G468" t="b">
        <v>0</v>
      </c>
      <c r="H468" t="s">
        <v>112</v>
      </c>
      <c r="I468" t="s">
        <v>113</v>
      </c>
      <c r="J468">
        <v>0.22</v>
      </c>
      <c r="K468">
        <v>0.18179999999999999</v>
      </c>
      <c r="L468">
        <v>0.41</v>
      </c>
      <c r="M468">
        <v>0.4627</v>
      </c>
      <c r="N468">
        <v>6</v>
      </c>
      <c r="O468">
        <v>53</v>
      </c>
      <c r="P468">
        <v>59</v>
      </c>
    </row>
    <row r="469" spans="1:16" x14ac:dyDescent="0.35">
      <c r="A469">
        <v>468</v>
      </c>
      <c r="B469" s="37">
        <v>40564</v>
      </c>
      <c r="C469">
        <v>1</v>
      </c>
      <c r="D469">
        <v>0</v>
      </c>
      <c r="E469" t="s">
        <v>104</v>
      </c>
      <c r="F469">
        <v>12</v>
      </c>
      <c r="G469" t="b">
        <v>0</v>
      </c>
      <c r="H469" t="s">
        <v>112</v>
      </c>
      <c r="I469" t="s">
        <v>113</v>
      </c>
      <c r="J469">
        <v>0.22</v>
      </c>
      <c r="K469">
        <v>0.18179999999999999</v>
      </c>
      <c r="L469">
        <v>0.27</v>
      </c>
      <c r="M469">
        <v>0.58209999999999995</v>
      </c>
      <c r="N469">
        <v>11</v>
      </c>
      <c r="O469">
        <v>67</v>
      </c>
      <c r="P469">
        <v>78</v>
      </c>
    </row>
    <row r="470" spans="1:16" x14ac:dyDescent="0.35">
      <c r="A470">
        <v>469</v>
      </c>
      <c r="B470" s="37">
        <v>40564</v>
      </c>
      <c r="C470">
        <v>1</v>
      </c>
      <c r="D470">
        <v>0</v>
      </c>
      <c r="E470" t="s">
        <v>104</v>
      </c>
      <c r="F470">
        <v>13</v>
      </c>
      <c r="G470" t="b">
        <v>0</v>
      </c>
      <c r="H470" t="s">
        <v>112</v>
      </c>
      <c r="I470" t="s">
        <v>113</v>
      </c>
      <c r="J470">
        <v>0.2</v>
      </c>
      <c r="K470">
        <v>0.1515</v>
      </c>
      <c r="L470">
        <v>0.21</v>
      </c>
      <c r="M470">
        <v>0.58209999999999995</v>
      </c>
      <c r="N470">
        <v>8</v>
      </c>
      <c r="O470">
        <v>65</v>
      </c>
      <c r="P470">
        <v>73</v>
      </c>
    </row>
    <row r="471" spans="1:16" x14ac:dyDescent="0.35">
      <c r="A471">
        <v>470</v>
      </c>
      <c r="B471" s="37">
        <v>40564</v>
      </c>
      <c r="C471">
        <v>1</v>
      </c>
      <c r="D471">
        <v>0</v>
      </c>
      <c r="E471" t="s">
        <v>104</v>
      </c>
      <c r="F471">
        <v>14</v>
      </c>
      <c r="G471" t="b">
        <v>0</v>
      </c>
      <c r="H471" t="s">
        <v>112</v>
      </c>
      <c r="I471" t="s">
        <v>113</v>
      </c>
      <c r="J471">
        <v>0.2</v>
      </c>
      <c r="K471">
        <v>0.1515</v>
      </c>
      <c r="L471">
        <v>0.25</v>
      </c>
      <c r="M471">
        <v>0.52239999999999998</v>
      </c>
      <c r="N471">
        <v>6</v>
      </c>
      <c r="O471">
        <v>56</v>
      </c>
      <c r="P471">
        <v>62</v>
      </c>
    </row>
    <row r="472" spans="1:16" x14ac:dyDescent="0.35">
      <c r="A472">
        <v>471</v>
      </c>
      <c r="B472" s="37">
        <v>40564</v>
      </c>
      <c r="C472">
        <v>1</v>
      </c>
      <c r="D472">
        <v>0</v>
      </c>
      <c r="E472" t="s">
        <v>104</v>
      </c>
      <c r="F472">
        <v>15</v>
      </c>
      <c r="G472" t="b">
        <v>0</v>
      </c>
      <c r="H472" t="s">
        <v>112</v>
      </c>
      <c r="I472" t="s">
        <v>113</v>
      </c>
      <c r="J472">
        <v>0.16</v>
      </c>
      <c r="K472">
        <v>0.1212</v>
      </c>
      <c r="L472">
        <v>0.26</v>
      </c>
      <c r="M472">
        <v>0.44779999999999998</v>
      </c>
      <c r="N472">
        <v>4</v>
      </c>
      <c r="O472">
        <v>61</v>
      </c>
      <c r="P472">
        <v>65</v>
      </c>
    </row>
    <row r="473" spans="1:16" x14ac:dyDescent="0.35">
      <c r="A473">
        <v>472</v>
      </c>
      <c r="B473" s="37">
        <v>40564</v>
      </c>
      <c r="C473">
        <v>1</v>
      </c>
      <c r="D473">
        <v>0</v>
      </c>
      <c r="E473" t="s">
        <v>104</v>
      </c>
      <c r="F473">
        <v>16</v>
      </c>
      <c r="G473" t="b">
        <v>0</v>
      </c>
      <c r="H473" t="s">
        <v>112</v>
      </c>
      <c r="I473" t="s">
        <v>113</v>
      </c>
      <c r="J473">
        <v>0.16</v>
      </c>
      <c r="K473">
        <v>0.13639999999999999</v>
      </c>
      <c r="L473">
        <v>0.26</v>
      </c>
      <c r="M473">
        <v>0.35820000000000002</v>
      </c>
      <c r="N473">
        <v>0</v>
      </c>
      <c r="O473">
        <v>97</v>
      </c>
      <c r="P473">
        <v>97</v>
      </c>
    </row>
    <row r="474" spans="1:16" x14ac:dyDescent="0.35">
      <c r="A474">
        <v>473</v>
      </c>
      <c r="B474" s="37">
        <v>40564</v>
      </c>
      <c r="C474">
        <v>1</v>
      </c>
      <c r="D474">
        <v>0</v>
      </c>
      <c r="E474" t="s">
        <v>104</v>
      </c>
      <c r="F474">
        <v>17</v>
      </c>
      <c r="G474" t="b">
        <v>0</v>
      </c>
      <c r="H474" t="s">
        <v>112</v>
      </c>
      <c r="I474" t="s">
        <v>113</v>
      </c>
      <c r="J474">
        <v>0.14000000000000001</v>
      </c>
      <c r="K474">
        <v>0.1212</v>
      </c>
      <c r="L474">
        <v>0.28000000000000003</v>
      </c>
      <c r="M474">
        <v>0.35820000000000002</v>
      </c>
      <c r="N474">
        <v>10</v>
      </c>
      <c r="O474">
        <v>151</v>
      </c>
      <c r="P474">
        <v>161</v>
      </c>
    </row>
    <row r="475" spans="1:16" x14ac:dyDescent="0.35">
      <c r="A475">
        <v>474</v>
      </c>
      <c r="B475" s="37">
        <v>40564</v>
      </c>
      <c r="C475">
        <v>1</v>
      </c>
      <c r="D475">
        <v>0</v>
      </c>
      <c r="E475" t="s">
        <v>104</v>
      </c>
      <c r="F475">
        <v>18</v>
      </c>
      <c r="G475" t="b">
        <v>0</v>
      </c>
      <c r="H475" t="s">
        <v>112</v>
      </c>
      <c r="I475" t="s">
        <v>113</v>
      </c>
      <c r="J475">
        <v>0.12</v>
      </c>
      <c r="K475">
        <v>0.1212</v>
      </c>
      <c r="L475">
        <v>0.3</v>
      </c>
      <c r="M475">
        <v>0.25369999999999998</v>
      </c>
      <c r="N475">
        <v>1</v>
      </c>
      <c r="O475">
        <v>119</v>
      </c>
      <c r="P475">
        <v>120</v>
      </c>
    </row>
    <row r="476" spans="1:16" x14ac:dyDescent="0.35">
      <c r="A476">
        <v>475</v>
      </c>
      <c r="B476" s="37">
        <v>40564</v>
      </c>
      <c r="C476">
        <v>1</v>
      </c>
      <c r="D476">
        <v>0</v>
      </c>
      <c r="E476" t="s">
        <v>104</v>
      </c>
      <c r="F476">
        <v>19</v>
      </c>
      <c r="G476" t="b">
        <v>0</v>
      </c>
      <c r="H476" t="s">
        <v>112</v>
      </c>
      <c r="I476" t="s">
        <v>113</v>
      </c>
      <c r="J476">
        <v>0.12</v>
      </c>
      <c r="K476">
        <v>0.1061</v>
      </c>
      <c r="L476">
        <v>0.3</v>
      </c>
      <c r="M476">
        <v>0.32840000000000003</v>
      </c>
      <c r="N476">
        <v>3</v>
      </c>
      <c r="O476">
        <v>93</v>
      </c>
      <c r="P476">
        <v>96</v>
      </c>
    </row>
    <row r="477" spans="1:16" x14ac:dyDescent="0.35">
      <c r="A477">
        <v>476</v>
      </c>
      <c r="B477" s="37">
        <v>40564</v>
      </c>
      <c r="C477">
        <v>1</v>
      </c>
      <c r="D477">
        <v>0</v>
      </c>
      <c r="E477" t="s">
        <v>104</v>
      </c>
      <c r="F477">
        <v>20</v>
      </c>
      <c r="G477" t="b">
        <v>0</v>
      </c>
      <c r="H477" t="s">
        <v>112</v>
      </c>
      <c r="I477" t="s">
        <v>113</v>
      </c>
      <c r="J477">
        <v>0.1</v>
      </c>
      <c r="K477">
        <v>7.5800000000000006E-2</v>
      </c>
      <c r="L477">
        <v>0.33</v>
      </c>
      <c r="M477">
        <v>0.41789999999999999</v>
      </c>
      <c r="N477">
        <v>1</v>
      </c>
      <c r="O477">
        <v>52</v>
      </c>
      <c r="P477">
        <v>53</v>
      </c>
    </row>
    <row r="478" spans="1:16" x14ac:dyDescent="0.35">
      <c r="A478">
        <v>477</v>
      </c>
      <c r="B478" s="37">
        <v>40564</v>
      </c>
      <c r="C478">
        <v>1</v>
      </c>
      <c r="D478">
        <v>0</v>
      </c>
      <c r="E478" t="s">
        <v>104</v>
      </c>
      <c r="F478">
        <v>21</v>
      </c>
      <c r="G478" t="b">
        <v>0</v>
      </c>
      <c r="H478" t="s">
        <v>112</v>
      </c>
      <c r="I478" t="s">
        <v>113</v>
      </c>
      <c r="J478">
        <v>0.08</v>
      </c>
      <c r="K478">
        <v>7.5800000000000006E-2</v>
      </c>
      <c r="L478">
        <v>0.38</v>
      </c>
      <c r="M478">
        <v>0.28360000000000002</v>
      </c>
      <c r="N478">
        <v>0</v>
      </c>
      <c r="O478">
        <v>41</v>
      </c>
      <c r="P478">
        <v>41</v>
      </c>
    </row>
    <row r="479" spans="1:16" x14ac:dyDescent="0.35">
      <c r="A479">
        <v>478</v>
      </c>
      <c r="B479" s="37">
        <v>40564</v>
      </c>
      <c r="C479">
        <v>1</v>
      </c>
      <c r="D479">
        <v>0</v>
      </c>
      <c r="E479" t="s">
        <v>104</v>
      </c>
      <c r="F479">
        <v>22</v>
      </c>
      <c r="G479" t="b">
        <v>0</v>
      </c>
      <c r="H479" t="s">
        <v>112</v>
      </c>
      <c r="I479" t="s">
        <v>113</v>
      </c>
      <c r="J479">
        <v>0.06</v>
      </c>
      <c r="K479">
        <v>3.0300000000000001E-2</v>
      </c>
      <c r="L479">
        <v>0.41</v>
      </c>
      <c r="M479">
        <v>0.3881</v>
      </c>
      <c r="N479">
        <v>1</v>
      </c>
      <c r="O479">
        <v>33</v>
      </c>
      <c r="P479">
        <v>34</v>
      </c>
    </row>
    <row r="480" spans="1:16" x14ac:dyDescent="0.35">
      <c r="A480">
        <v>479</v>
      </c>
      <c r="B480" s="37">
        <v>40564</v>
      </c>
      <c r="C480">
        <v>1</v>
      </c>
      <c r="D480">
        <v>0</v>
      </c>
      <c r="E480" t="s">
        <v>104</v>
      </c>
      <c r="F480">
        <v>23</v>
      </c>
      <c r="G480" t="b">
        <v>0</v>
      </c>
      <c r="H480" t="s">
        <v>112</v>
      </c>
      <c r="I480" t="s">
        <v>113</v>
      </c>
      <c r="J480">
        <v>0.06</v>
      </c>
      <c r="K480">
        <v>4.5499999999999999E-2</v>
      </c>
      <c r="L480">
        <v>0.38</v>
      </c>
      <c r="M480">
        <v>0.32840000000000003</v>
      </c>
      <c r="N480">
        <v>0</v>
      </c>
      <c r="O480">
        <v>27</v>
      </c>
      <c r="P480">
        <v>27</v>
      </c>
    </row>
    <row r="481" spans="1:16" x14ac:dyDescent="0.35">
      <c r="A481">
        <v>480</v>
      </c>
      <c r="B481" s="37">
        <v>40565</v>
      </c>
      <c r="C481">
        <v>1</v>
      </c>
      <c r="D481">
        <v>0</v>
      </c>
      <c r="E481" t="s">
        <v>104</v>
      </c>
      <c r="F481">
        <v>0</v>
      </c>
      <c r="G481" t="b">
        <v>0</v>
      </c>
      <c r="H481" t="s">
        <v>106</v>
      </c>
      <c r="I481" t="s">
        <v>113</v>
      </c>
      <c r="J481">
        <v>0.04</v>
      </c>
      <c r="K481">
        <v>3.0300000000000001E-2</v>
      </c>
      <c r="L481">
        <v>0.45</v>
      </c>
      <c r="M481">
        <v>0.25369999999999998</v>
      </c>
      <c r="N481">
        <v>0</v>
      </c>
      <c r="O481">
        <v>13</v>
      </c>
      <c r="P481">
        <v>13</v>
      </c>
    </row>
    <row r="482" spans="1:16" x14ac:dyDescent="0.35">
      <c r="A482">
        <v>481</v>
      </c>
      <c r="B482" s="37">
        <v>40565</v>
      </c>
      <c r="C482">
        <v>1</v>
      </c>
      <c r="D482">
        <v>0</v>
      </c>
      <c r="E482" t="s">
        <v>104</v>
      </c>
      <c r="F482">
        <v>1</v>
      </c>
      <c r="G482" t="b">
        <v>0</v>
      </c>
      <c r="H482" t="s">
        <v>106</v>
      </c>
      <c r="I482" t="s">
        <v>114</v>
      </c>
      <c r="J482">
        <v>0.04</v>
      </c>
      <c r="K482">
        <v>0</v>
      </c>
      <c r="L482">
        <v>0.41</v>
      </c>
      <c r="M482">
        <v>0.3881</v>
      </c>
      <c r="N482">
        <v>3</v>
      </c>
      <c r="O482">
        <v>9</v>
      </c>
      <c r="P482">
        <v>12</v>
      </c>
    </row>
    <row r="483" spans="1:16" x14ac:dyDescent="0.35">
      <c r="A483">
        <v>482</v>
      </c>
      <c r="B483" s="37">
        <v>40565</v>
      </c>
      <c r="C483">
        <v>1</v>
      </c>
      <c r="D483">
        <v>0</v>
      </c>
      <c r="E483" t="s">
        <v>104</v>
      </c>
      <c r="F483">
        <v>2</v>
      </c>
      <c r="G483" t="b">
        <v>0</v>
      </c>
      <c r="H483" t="s">
        <v>106</v>
      </c>
      <c r="I483" t="s">
        <v>114</v>
      </c>
      <c r="J483">
        <v>0.04</v>
      </c>
      <c r="K483">
        <v>3.0300000000000001E-2</v>
      </c>
      <c r="L483">
        <v>0.41</v>
      </c>
      <c r="M483">
        <v>0.25369999999999998</v>
      </c>
      <c r="N483">
        <v>0</v>
      </c>
      <c r="O483">
        <v>11</v>
      </c>
      <c r="P483">
        <v>11</v>
      </c>
    </row>
    <row r="484" spans="1:16" x14ac:dyDescent="0.35">
      <c r="A484">
        <v>483</v>
      </c>
      <c r="B484" s="37">
        <v>40565</v>
      </c>
      <c r="C484">
        <v>1</v>
      </c>
      <c r="D484">
        <v>0</v>
      </c>
      <c r="E484" t="s">
        <v>104</v>
      </c>
      <c r="F484">
        <v>3</v>
      </c>
      <c r="G484" t="b">
        <v>0</v>
      </c>
      <c r="H484" t="s">
        <v>106</v>
      </c>
      <c r="I484" t="s">
        <v>114</v>
      </c>
      <c r="J484">
        <v>0.04</v>
      </c>
      <c r="K484">
        <v>3.0300000000000001E-2</v>
      </c>
      <c r="L484">
        <v>0.41</v>
      </c>
      <c r="M484">
        <v>0.28360000000000002</v>
      </c>
      <c r="N484">
        <v>1</v>
      </c>
      <c r="O484">
        <v>6</v>
      </c>
      <c r="P484">
        <v>7</v>
      </c>
    </row>
    <row r="485" spans="1:16" x14ac:dyDescent="0.35">
      <c r="A485">
        <v>484</v>
      </c>
      <c r="B485" s="37">
        <v>40565</v>
      </c>
      <c r="C485">
        <v>1</v>
      </c>
      <c r="D485">
        <v>0</v>
      </c>
      <c r="E485" t="s">
        <v>104</v>
      </c>
      <c r="F485">
        <v>4</v>
      </c>
      <c r="G485" t="b">
        <v>0</v>
      </c>
      <c r="H485" t="s">
        <v>106</v>
      </c>
      <c r="I485" t="s">
        <v>114</v>
      </c>
      <c r="J485">
        <v>0.02</v>
      </c>
      <c r="K485">
        <v>1.52E-2</v>
      </c>
      <c r="L485">
        <v>0.48</v>
      </c>
      <c r="M485">
        <v>0.29849999999999999</v>
      </c>
      <c r="N485">
        <v>0</v>
      </c>
      <c r="O485">
        <v>3</v>
      </c>
      <c r="P485">
        <v>3</v>
      </c>
    </row>
    <row r="486" spans="1:16" x14ac:dyDescent="0.35">
      <c r="A486">
        <v>485</v>
      </c>
      <c r="B486" s="37">
        <v>40565</v>
      </c>
      <c r="C486">
        <v>1</v>
      </c>
      <c r="D486">
        <v>0</v>
      </c>
      <c r="E486" t="s">
        <v>104</v>
      </c>
      <c r="F486">
        <v>6</v>
      </c>
      <c r="G486" t="b">
        <v>0</v>
      </c>
      <c r="H486" t="s">
        <v>106</v>
      </c>
      <c r="I486" t="s">
        <v>114</v>
      </c>
      <c r="J486">
        <v>0.02</v>
      </c>
      <c r="K486">
        <v>3.0300000000000001E-2</v>
      </c>
      <c r="L486">
        <v>0.44</v>
      </c>
      <c r="M486">
        <v>0.22389999999999999</v>
      </c>
      <c r="N486">
        <v>0</v>
      </c>
      <c r="O486">
        <v>2</v>
      </c>
      <c r="P486">
        <v>2</v>
      </c>
    </row>
    <row r="487" spans="1:16" x14ac:dyDescent="0.35">
      <c r="A487">
        <v>486</v>
      </c>
      <c r="B487" s="37">
        <v>40565</v>
      </c>
      <c r="C487">
        <v>1</v>
      </c>
      <c r="D487">
        <v>0</v>
      </c>
      <c r="E487" t="s">
        <v>104</v>
      </c>
      <c r="F487">
        <v>7</v>
      </c>
      <c r="G487" t="b">
        <v>0</v>
      </c>
      <c r="H487" t="s">
        <v>106</v>
      </c>
      <c r="I487" t="s">
        <v>113</v>
      </c>
      <c r="J487">
        <v>0.02</v>
      </c>
      <c r="K487">
        <v>1.52E-2</v>
      </c>
      <c r="L487">
        <v>0.44</v>
      </c>
      <c r="M487">
        <v>0.28360000000000002</v>
      </c>
      <c r="N487">
        <v>0</v>
      </c>
      <c r="O487">
        <v>8</v>
      </c>
      <c r="P487">
        <v>8</v>
      </c>
    </row>
    <row r="488" spans="1:16" x14ac:dyDescent="0.35">
      <c r="A488">
        <v>487</v>
      </c>
      <c r="B488" s="37">
        <v>40565</v>
      </c>
      <c r="C488">
        <v>1</v>
      </c>
      <c r="D488">
        <v>0</v>
      </c>
      <c r="E488" t="s">
        <v>104</v>
      </c>
      <c r="F488">
        <v>8</v>
      </c>
      <c r="G488" t="b">
        <v>0</v>
      </c>
      <c r="H488" t="s">
        <v>106</v>
      </c>
      <c r="I488" t="s">
        <v>113</v>
      </c>
      <c r="J488">
        <v>0.02</v>
      </c>
      <c r="K488">
        <v>0</v>
      </c>
      <c r="L488">
        <v>0.44</v>
      </c>
      <c r="M488">
        <v>0.32840000000000003</v>
      </c>
      <c r="N488">
        <v>1</v>
      </c>
      <c r="O488">
        <v>26</v>
      </c>
      <c r="P488">
        <v>27</v>
      </c>
    </row>
    <row r="489" spans="1:16" x14ac:dyDescent="0.35">
      <c r="A489">
        <v>488</v>
      </c>
      <c r="B489" s="37">
        <v>40565</v>
      </c>
      <c r="C489">
        <v>1</v>
      </c>
      <c r="D489">
        <v>0</v>
      </c>
      <c r="E489" t="s">
        <v>104</v>
      </c>
      <c r="F489">
        <v>9</v>
      </c>
      <c r="G489" t="b">
        <v>0</v>
      </c>
      <c r="H489" t="s">
        <v>106</v>
      </c>
      <c r="I489" t="s">
        <v>113</v>
      </c>
      <c r="J489">
        <v>0.04</v>
      </c>
      <c r="K489">
        <v>3.0300000000000001E-2</v>
      </c>
      <c r="L489">
        <v>0.41</v>
      </c>
      <c r="M489">
        <v>0.25369999999999998</v>
      </c>
      <c r="N489">
        <v>3</v>
      </c>
      <c r="O489">
        <v>37</v>
      </c>
      <c r="P489">
        <v>40</v>
      </c>
    </row>
    <row r="490" spans="1:16" x14ac:dyDescent="0.35">
      <c r="A490">
        <v>489</v>
      </c>
      <c r="B490" s="37">
        <v>40565</v>
      </c>
      <c r="C490">
        <v>1</v>
      </c>
      <c r="D490">
        <v>0</v>
      </c>
      <c r="E490" t="s">
        <v>104</v>
      </c>
      <c r="F490">
        <v>10</v>
      </c>
      <c r="G490" t="b">
        <v>0</v>
      </c>
      <c r="H490" t="s">
        <v>106</v>
      </c>
      <c r="I490" t="s">
        <v>114</v>
      </c>
      <c r="J490">
        <v>0.04</v>
      </c>
      <c r="K490">
        <v>6.0600000000000001E-2</v>
      </c>
      <c r="L490">
        <v>0.41</v>
      </c>
      <c r="M490">
        <v>0.16420000000000001</v>
      </c>
      <c r="N490">
        <v>3</v>
      </c>
      <c r="O490">
        <v>50</v>
      </c>
      <c r="P490">
        <v>53</v>
      </c>
    </row>
    <row r="491" spans="1:16" x14ac:dyDescent="0.35">
      <c r="A491">
        <v>490</v>
      </c>
      <c r="B491" s="37">
        <v>40565</v>
      </c>
      <c r="C491">
        <v>1</v>
      </c>
      <c r="D491">
        <v>0</v>
      </c>
      <c r="E491" t="s">
        <v>104</v>
      </c>
      <c r="F491">
        <v>11</v>
      </c>
      <c r="G491" t="b">
        <v>0</v>
      </c>
      <c r="H491" t="s">
        <v>106</v>
      </c>
      <c r="I491" t="s">
        <v>114</v>
      </c>
      <c r="J491">
        <v>0.06</v>
      </c>
      <c r="K491">
        <v>7.5800000000000006E-2</v>
      </c>
      <c r="L491">
        <v>0.38</v>
      </c>
      <c r="M491">
        <v>0.1343</v>
      </c>
      <c r="N491">
        <v>4</v>
      </c>
      <c r="O491">
        <v>59</v>
      </c>
      <c r="P491">
        <v>63</v>
      </c>
    </row>
    <row r="492" spans="1:16" x14ac:dyDescent="0.35">
      <c r="A492">
        <v>491</v>
      </c>
      <c r="B492" s="37">
        <v>40565</v>
      </c>
      <c r="C492">
        <v>1</v>
      </c>
      <c r="D492">
        <v>0</v>
      </c>
      <c r="E492" t="s">
        <v>104</v>
      </c>
      <c r="F492">
        <v>12</v>
      </c>
      <c r="G492" t="b">
        <v>0</v>
      </c>
      <c r="H492" t="s">
        <v>106</v>
      </c>
      <c r="I492" t="s">
        <v>114</v>
      </c>
      <c r="J492">
        <v>0.06</v>
      </c>
      <c r="K492">
        <v>0.1061</v>
      </c>
      <c r="L492">
        <v>0.38</v>
      </c>
      <c r="M492">
        <v>0.1045</v>
      </c>
      <c r="N492">
        <v>10</v>
      </c>
      <c r="O492">
        <v>60</v>
      </c>
      <c r="P492">
        <v>70</v>
      </c>
    </row>
    <row r="493" spans="1:16" x14ac:dyDescent="0.35">
      <c r="A493">
        <v>492</v>
      </c>
      <c r="B493" s="37">
        <v>40565</v>
      </c>
      <c r="C493">
        <v>1</v>
      </c>
      <c r="D493">
        <v>0</v>
      </c>
      <c r="E493" t="s">
        <v>104</v>
      </c>
      <c r="F493">
        <v>13</v>
      </c>
      <c r="G493" t="b">
        <v>0</v>
      </c>
      <c r="H493" t="s">
        <v>106</v>
      </c>
      <c r="I493" t="s">
        <v>113</v>
      </c>
      <c r="J493">
        <v>0.08</v>
      </c>
      <c r="K493">
        <v>0.16669999999999999</v>
      </c>
      <c r="L493">
        <v>0.35</v>
      </c>
      <c r="M493">
        <v>0</v>
      </c>
      <c r="N493">
        <v>12</v>
      </c>
      <c r="O493">
        <v>72</v>
      </c>
      <c r="P493">
        <v>84</v>
      </c>
    </row>
    <row r="494" spans="1:16" x14ac:dyDescent="0.35">
      <c r="A494">
        <v>493</v>
      </c>
      <c r="B494" s="37">
        <v>40565</v>
      </c>
      <c r="C494">
        <v>1</v>
      </c>
      <c r="D494">
        <v>0</v>
      </c>
      <c r="E494" t="s">
        <v>104</v>
      </c>
      <c r="F494">
        <v>14</v>
      </c>
      <c r="G494" t="b">
        <v>0</v>
      </c>
      <c r="H494" t="s">
        <v>106</v>
      </c>
      <c r="I494" t="s">
        <v>113</v>
      </c>
      <c r="J494">
        <v>0.1</v>
      </c>
      <c r="K494">
        <v>0.13639999999999999</v>
      </c>
      <c r="L494">
        <v>0.33</v>
      </c>
      <c r="M494">
        <v>0.1045</v>
      </c>
      <c r="N494">
        <v>11</v>
      </c>
      <c r="O494">
        <v>64</v>
      </c>
      <c r="P494">
        <v>75</v>
      </c>
    </row>
    <row r="495" spans="1:16" x14ac:dyDescent="0.35">
      <c r="A495">
        <v>494</v>
      </c>
      <c r="B495" s="37">
        <v>40565</v>
      </c>
      <c r="C495">
        <v>1</v>
      </c>
      <c r="D495">
        <v>0</v>
      </c>
      <c r="E495" t="s">
        <v>104</v>
      </c>
      <c r="F495">
        <v>15</v>
      </c>
      <c r="G495" t="b">
        <v>0</v>
      </c>
      <c r="H495" t="s">
        <v>106</v>
      </c>
      <c r="I495" t="s">
        <v>113</v>
      </c>
      <c r="J495">
        <v>0.12</v>
      </c>
      <c r="K495">
        <v>0.1515</v>
      </c>
      <c r="L495">
        <v>0.28000000000000003</v>
      </c>
      <c r="M495">
        <v>0</v>
      </c>
      <c r="N495">
        <v>10</v>
      </c>
      <c r="O495">
        <v>93</v>
      </c>
      <c r="P495">
        <v>103</v>
      </c>
    </row>
    <row r="496" spans="1:16" x14ac:dyDescent="0.35">
      <c r="A496">
        <v>495</v>
      </c>
      <c r="B496" s="37">
        <v>40565</v>
      </c>
      <c r="C496">
        <v>1</v>
      </c>
      <c r="D496">
        <v>0</v>
      </c>
      <c r="E496" t="s">
        <v>104</v>
      </c>
      <c r="F496">
        <v>16</v>
      </c>
      <c r="G496" t="b">
        <v>0</v>
      </c>
      <c r="H496" t="s">
        <v>106</v>
      </c>
      <c r="I496" t="s">
        <v>113</v>
      </c>
      <c r="J496">
        <v>0.12</v>
      </c>
      <c r="K496">
        <v>0.13639999999999999</v>
      </c>
      <c r="L496">
        <v>0.28000000000000003</v>
      </c>
      <c r="M496">
        <v>0.19400000000000001</v>
      </c>
      <c r="N496">
        <v>11</v>
      </c>
      <c r="O496">
        <v>72</v>
      </c>
      <c r="P496">
        <v>83</v>
      </c>
    </row>
    <row r="497" spans="1:16" x14ac:dyDescent="0.35">
      <c r="A497">
        <v>496</v>
      </c>
      <c r="B497" s="37">
        <v>40565</v>
      </c>
      <c r="C497">
        <v>1</v>
      </c>
      <c r="D497">
        <v>0</v>
      </c>
      <c r="E497" t="s">
        <v>104</v>
      </c>
      <c r="F497">
        <v>17</v>
      </c>
      <c r="G497" t="b">
        <v>0</v>
      </c>
      <c r="H497" t="s">
        <v>106</v>
      </c>
      <c r="I497" t="s">
        <v>113</v>
      </c>
      <c r="J497">
        <v>0.12</v>
      </c>
      <c r="K497">
        <v>0.19700000000000001</v>
      </c>
      <c r="L497">
        <v>0.28000000000000003</v>
      </c>
      <c r="M497">
        <v>0</v>
      </c>
      <c r="N497">
        <v>8</v>
      </c>
      <c r="O497">
        <v>59</v>
      </c>
      <c r="P497">
        <v>67</v>
      </c>
    </row>
    <row r="498" spans="1:16" x14ac:dyDescent="0.35">
      <c r="A498">
        <v>497</v>
      </c>
      <c r="B498" s="37">
        <v>40565</v>
      </c>
      <c r="C498">
        <v>1</v>
      </c>
      <c r="D498">
        <v>0</v>
      </c>
      <c r="E498" t="s">
        <v>104</v>
      </c>
      <c r="F498">
        <v>18</v>
      </c>
      <c r="G498" t="b">
        <v>0</v>
      </c>
      <c r="H498" t="s">
        <v>106</v>
      </c>
      <c r="I498" t="s">
        <v>113</v>
      </c>
      <c r="J498">
        <v>0.08</v>
      </c>
      <c r="K498">
        <v>9.0899999999999995E-2</v>
      </c>
      <c r="L498">
        <v>0.35</v>
      </c>
      <c r="M498">
        <v>0.19400000000000001</v>
      </c>
      <c r="N498">
        <v>0</v>
      </c>
      <c r="O498">
        <v>54</v>
      </c>
      <c r="P498">
        <v>54</v>
      </c>
    </row>
    <row r="499" spans="1:16" x14ac:dyDescent="0.35">
      <c r="A499">
        <v>498</v>
      </c>
      <c r="B499" s="37">
        <v>40565</v>
      </c>
      <c r="C499">
        <v>1</v>
      </c>
      <c r="D499">
        <v>0</v>
      </c>
      <c r="E499" t="s">
        <v>104</v>
      </c>
      <c r="F499">
        <v>19</v>
      </c>
      <c r="G499" t="b">
        <v>0</v>
      </c>
      <c r="H499" t="s">
        <v>106</v>
      </c>
      <c r="I499" t="s">
        <v>113</v>
      </c>
      <c r="J499">
        <v>0.08</v>
      </c>
      <c r="K499">
        <v>0.1061</v>
      </c>
      <c r="L499">
        <v>0.35</v>
      </c>
      <c r="M499">
        <v>0.1343</v>
      </c>
      <c r="N499">
        <v>6</v>
      </c>
      <c r="O499">
        <v>53</v>
      </c>
      <c r="P499">
        <v>59</v>
      </c>
    </row>
    <row r="500" spans="1:16" x14ac:dyDescent="0.35">
      <c r="A500">
        <v>499</v>
      </c>
      <c r="B500" s="37">
        <v>40565</v>
      </c>
      <c r="C500">
        <v>1</v>
      </c>
      <c r="D500">
        <v>0</v>
      </c>
      <c r="E500" t="s">
        <v>104</v>
      </c>
      <c r="F500">
        <v>20</v>
      </c>
      <c r="G500" t="b">
        <v>0</v>
      </c>
      <c r="H500" t="s">
        <v>106</v>
      </c>
      <c r="I500" t="s">
        <v>113</v>
      </c>
      <c r="J500">
        <v>0.06</v>
      </c>
      <c r="K500">
        <v>7.5800000000000006E-2</v>
      </c>
      <c r="L500">
        <v>0.45</v>
      </c>
      <c r="M500">
        <v>0.16420000000000001</v>
      </c>
      <c r="N500">
        <v>1</v>
      </c>
      <c r="O500">
        <v>44</v>
      </c>
      <c r="P500">
        <v>45</v>
      </c>
    </row>
    <row r="501" spans="1:16" x14ac:dyDescent="0.35">
      <c r="A501">
        <v>500</v>
      </c>
      <c r="B501" s="37">
        <v>40565</v>
      </c>
      <c r="C501">
        <v>1</v>
      </c>
      <c r="D501">
        <v>0</v>
      </c>
      <c r="E501" t="s">
        <v>104</v>
      </c>
      <c r="F501">
        <v>21</v>
      </c>
      <c r="G501" t="b">
        <v>0</v>
      </c>
      <c r="H501" t="s">
        <v>106</v>
      </c>
      <c r="I501" t="s">
        <v>113</v>
      </c>
      <c r="J501">
        <v>0.06</v>
      </c>
      <c r="K501">
        <v>0.1061</v>
      </c>
      <c r="L501">
        <v>0.41</v>
      </c>
      <c r="M501">
        <v>8.9599999999999999E-2</v>
      </c>
      <c r="N501">
        <v>0</v>
      </c>
      <c r="O501">
        <v>39</v>
      </c>
      <c r="P501">
        <v>39</v>
      </c>
    </row>
    <row r="502" spans="1:16" x14ac:dyDescent="0.35">
      <c r="A502">
        <v>501</v>
      </c>
      <c r="B502" s="37">
        <v>40565</v>
      </c>
      <c r="C502">
        <v>1</v>
      </c>
      <c r="D502">
        <v>0</v>
      </c>
      <c r="E502" t="s">
        <v>104</v>
      </c>
      <c r="F502">
        <v>22</v>
      </c>
      <c r="G502" t="b">
        <v>0</v>
      </c>
      <c r="H502" t="s">
        <v>106</v>
      </c>
      <c r="I502" t="s">
        <v>113</v>
      </c>
      <c r="J502">
        <v>0.06</v>
      </c>
      <c r="K502">
        <v>0.1515</v>
      </c>
      <c r="L502">
        <v>0.49</v>
      </c>
      <c r="M502">
        <v>0</v>
      </c>
      <c r="N502">
        <v>7</v>
      </c>
      <c r="O502">
        <v>23</v>
      </c>
      <c r="P502">
        <v>30</v>
      </c>
    </row>
    <row r="503" spans="1:16" x14ac:dyDescent="0.35">
      <c r="A503">
        <v>502</v>
      </c>
      <c r="B503" s="37">
        <v>40565</v>
      </c>
      <c r="C503">
        <v>1</v>
      </c>
      <c r="D503">
        <v>0</v>
      </c>
      <c r="E503" t="s">
        <v>104</v>
      </c>
      <c r="F503">
        <v>23</v>
      </c>
      <c r="G503" t="b">
        <v>0</v>
      </c>
      <c r="H503" t="s">
        <v>106</v>
      </c>
      <c r="I503" t="s">
        <v>113</v>
      </c>
      <c r="J503">
        <v>0.04</v>
      </c>
      <c r="K503">
        <v>7.5800000000000006E-2</v>
      </c>
      <c r="L503">
        <v>0.56999999999999995</v>
      </c>
      <c r="M503">
        <v>0.1045</v>
      </c>
      <c r="N503">
        <v>2</v>
      </c>
      <c r="O503">
        <v>31</v>
      </c>
      <c r="P503">
        <v>33</v>
      </c>
    </row>
    <row r="504" spans="1:16" x14ac:dyDescent="0.35">
      <c r="A504">
        <v>503</v>
      </c>
      <c r="B504" s="37">
        <v>40566</v>
      </c>
      <c r="C504">
        <v>1</v>
      </c>
      <c r="D504">
        <v>0</v>
      </c>
      <c r="E504" t="s">
        <v>104</v>
      </c>
      <c r="F504">
        <v>0</v>
      </c>
      <c r="G504" t="b">
        <v>0</v>
      </c>
      <c r="H504" t="s">
        <v>107</v>
      </c>
      <c r="I504" t="s">
        <v>113</v>
      </c>
      <c r="J504">
        <v>0.04</v>
      </c>
      <c r="K504">
        <v>7.5800000000000006E-2</v>
      </c>
      <c r="L504">
        <v>0.56999999999999995</v>
      </c>
      <c r="M504">
        <v>0.1045</v>
      </c>
      <c r="N504">
        <v>2</v>
      </c>
      <c r="O504">
        <v>20</v>
      </c>
      <c r="P504">
        <v>22</v>
      </c>
    </row>
    <row r="505" spans="1:16" x14ac:dyDescent="0.35">
      <c r="A505">
        <v>504</v>
      </c>
      <c r="B505" s="37">
        <v>40566</v>
      </c>
      <c r="C505">
        <v>1</v>
      </c>
      <c r="D505">
        <v>0</v>
      </c>
      <c r="E505" t="s">
        <v>104</v>
      </c>
      <c r="F505">
        <v>1</v>
      </c>
      <c r="G505" t="b">
        <v>0</v>
      </c>
      <c r="H505" t="s">
        <v>107</v>
      </c>
      <c r="I505" t="s">
        <v>113</v>
      </c>
      <c r="J505">
        <v>0.04</v>
      </c>
      <c r="K505">
        <v>7.5800000000000006E-2</v>
      </c>
      <c r="L505">
        <v>0.56999999999999995</v>
      </c>
      <c r="M505">
        <v>0.1045</v>
      </c>
      <c r="N505">
        <v>1</v>
      </c>
      <c r="O505">
        <v>12</v>
      </c>
      <c r="P505">
        <v>13</v>
      </c>
    </row>
    <row r="506" spans="1:16" x14ac:dyDescent="0.35">
      <c r="A506">
        <v>505</v>
      </c>
      <c r="B506" s="37">
        <v>40566</v>
      </c>
      <c r="C506">
        <v>1</v>
      </c>
      <c r="D506">
        <v>0</v>
      </c>
      <c r="E506" t="s">
        <v>104</v>
      </c>
      <c r="F506">
        <v>2</v>
      </c>
      <c r="G506" t="b">
        <v>0</v>
      </c>
      <c r="H506" t="s">
        <v>107</v>
      </c>
      <c r="I506" t="s">
        <v>113</v>
      </c>
      <c r="J506">
        <v>0.02</v>
      </c>
      <c r="K506">
        <v>6.0600000000000001E-2</v>
      </c>
      <c r="L506">
        <v>0.62</v>
      </c>
      <c r="M506">
        <v>0.1343</v>
      </c>
      <c r="N506">
        <v>3</v>
      </c>
      <c r="O506">
        <v>15</v>
      </c>
      <c r="P506">
        <v>18</v>
      </c>
    </row>
    <row r="507" spans="1:16" x14ac:dyDescent="0.35">
      <c r="A507">
        <v>506</v>
      </c>
      <c r="B507" s="37">
        <v>40566</v>
      </c>
      <c r="C507">
        <v>1</v>
      </c>
      <c r="D507">
        <v>0</v>
      </c>
      <c r="E507" t="s">
        <v>104</v>
      </c>
      <c r="F507">
        <v>3</v>
      </c>
      <c r="G507" t="b">
        <v>0</v>
      </c>
      <c r="H507" t="s">
        <v>107</v>
      </c>
      <c r="I507" t="s">
        <v>113</v>
      </c>
      <c r="J507">
        <v>0.02</v>
      </c>
      <c r="K507">
        <v>6.0600000000000001E-2</v>
      </c>
      <c r="L507">
        <v>0.62</v>
      </c>
      <c r="M507">
        <v>0.1343</v>
      </c>
      <c r="N507">
        <v>1</v>
      </c>
      <c r="O507">
        <v>4</v>
      </c>
      <c r="P507">
        <v>5</v>
      </c>
    </row>
    <row r="508" spans="1:16" x14ac:dyDescent="0.35">
      <c r="A508">
        <v>507</v>
      </c>
      <c r="B508" s="37">
        <v>40566</v>
      </c>
      <c r="C508">
        <v>1</v>
      </c>
      <c r="D508">
        <v>0</v>
      </c>
      <c r="E508" t="s">
        <v>104</v>
      </c>
      <c r="F508">
        <v>5</v>
      </c>
      <c r="G508" t="b">
        <v>0</v>
      </c>
      <c r="H508" t="s">
        <v>107</v>
      </c>
      <c r="I508" t="s">
        <v>114</v>
      </c>
      <c r="J508">
        <v>0.04</v>
      </c>
      <c r="K508">
        <v>7.5800000000000006E-2</v>
      </c>
      <c r="L508">
        <v>0.56999999999999995</v>
      </c>
      <c r="M508">
        <v>0.1045</v>
      </c>
      <c r="N508">
        <v>0</v>
      </c>
      <c r="O508">
        <v>3</v>
      </c>
      <c r="P508">
        <v>3</v>
      </c>
    </row>
    <row r="509" spans="1:16" x14ac:dyDescent="0.35">
      <c r="A509">
        <v>508</v>
      </c>
      <c r="B509" s="37">
        <v>40566</v>
      </c>
      <c r="C509">
        <v>1</v>
      </c>
      <c r="D509">
        <v>0</v>
      </c>
      <c r="E509" t="s">
        <v>104</v>
      </c>
      <c r="F509">
        <v>6</v>
      </c>
      <c r="G509" t="b">
        <v>0</v>
      </c>
      <c r="H509" t="s">
        <v>107</v>
      </c>
      <c r="I509" t="s">
        <v>114</v>
      </c>
      <c r="J509">
        <v>0.04</v>
      </c>
      <c r="K509">
        <v>7.5800000000000006E-2</v>
      </c>
      <c r="L509">
        <v>0.56999999999999995</v>
      </c>
      <c r="M509">
        <v>0.1045</v>
      </c>
      <c r="N509">
        <v>0</v>
      </c>
      <c r="O509">
        <v>1</v>
      </c>
      <c r="P509">
        <v>1</v>
      </c>
    </row>
    <row r="510" spans="1:16" x14ac:dyDescent="0.35">
      <c r="A510">
        <v>509</v>
      </c>
      <c r="B510" s="37">
        <v>40566</v>
      </c>
      <c r="C510">
        <v>1</v>
      </c>
      <c r="D510">
        <v>0</v>
      </c>
      <c r="E510" t="s">
        <v>104</v>
      </c>
      <c r="F510">
        <v>7</v>
      </c>
      <c r="G510" t="b">
        <v>0</v>
      </c>
      <c r="H510" t="s">
        <v>107</v>
      </c>
      <c r="I510" t="s">
        <v>113</v>
      </c>
      <c r="J510">
        <v>0.08</v>
      </c>
      <c r="K510">
        <v>0.1061</v>
      </c>
      <c r="L510">
        <v>0.57999999999999996</v>
      </c>
      <c r="M510">
        <v>0.16420000000000001</v>
      </c>
      <c r="N510">
        <v>1</v>
      </c>
      <c r="O510">
        <v>1</v>
      </c>
      <c r="P510">
        <v>2</v>
      </c>
    </row>
    <row r="511" spans="1:16" x14ac:dyDescent="0.35">
      <c r="A511">
        <v>510</v>
      </c>
      <c r="B511" s="37">
        <v>40566</v>
      </c>
      <c r="C511">
        <v>1</v>
      </c>
      <c r="D511">
        <v>0</v>
      </c>
      <c r="E511" t="s">
        <v>104</v>
      </c>
      <c r="F511">
        <v>8</v>
      </c>
      <c r="G511" t="b">
        <v>0</v>
      </c>
      <c r="H511" t="s">
        <v>107</v>
      </c>
      <c r="I511" t="s">
        <v>113</v>
      </c>
      <c r="J511">
        <v>0.06</v>
      </c>
      <c r="K511">
        <v>7.5800000000000006E-2</v>
      </c>
      <c r="L511">
        <v>0.62</v>
      </c>
      <c r="M511">
        <v>0.16420000000000001</v>
      </c>
      <c r="N511">
        <v>2</v>
      </c>
      <c r="O511">
        <v>17</v>
      </c>
      <c r="P511">
        <v>19</v>
      </c>
    </row>
    <row r="512" spans="1:16" x14ac:dyDescent="0.35">
      <c r="A512">
        <v>511</v>
      </c>
      <c r="B512" s="37">
        <v>40566</v>
      </c>
      <c r="C512">
        <v>1</v>
      </c>
      <c r="D512">
        <v>0</v>
      </c>
      <c r="E512" t="s">
        <v>104</v>
      </c>
      <c r="F512">
        <v>9</v>
      </c>
      <c r="G512" t="b">
        <v>0</v>
      </c>
      <c r="H512" t="s">
        <v>107</v>
      </c>
      <c r="I512" t="s">
        <v>113</v>
      </c>
      <c r="J512">
        <v>0.1</v>
      </c>
      <c r="K512">
        <v>7.5800000000000006E-2</v>
      </c>
      <c r="L512">
        <v>0.54</v>
      </c>
      <c r="M512">
        <v>0.35820000000000002</v>
      </c>
      <c r="N512">
        <v>3</v>
      </c>
      <c r="O512">
        <v>25</v>
      </c>
      <c r="P512">
        <v>28</v>
      </c>
    </row>
    <row r="513" spans="1:16" x14ac:dyDescent="0.35">
      <c r="A513">
        <v>512</v>
      </c>
      <c r="B513" s="37">
        <v>40566</v>
      </c>
      <c r="C513">
        <v>1</v>
      </c>
      <c r="D513">
        <v>0</v>
      </c>
      <c r="E513" t="s">
        <v>104</v>
      </c>
      <c r="F513">
        <v>10</v>
      </c>
      <c r="G513" t="b">
        <v>0</v>
      </c>
      <c r="H513" t="s">
        <v>107</v>
      </c>
      <c r="I513" t="s">
        <v>113</v>
      </c>
      <c r="J513">
        <v>0.14000000000000001</v>
      </c>
      <c r="K513">
        <v>0.1061</v>
      </c>
      <c r="L513">
        <v>0.46</v>
      </c>
      <c r="M513">
        <v>0.3881</v>
      </c>
      <c r="N513">
        <v>7</v>
      </c>
      <c r="O513">
        <v>51</v>
      </c>
      <c r="P513">
        <v>58</v>
      </c>
    </row>
    <row r="514" spans="1:16" x14ac:dyDescent="0.35">
      <c r="A514">
        <v>513</v>
      </c>
      <c r="B514" s="37">
        <v>40566</v>
      </c>
      <c r="C514">
        <v>1</v>
      </c>
      <c r="D514">
        <v>0</v>
      </c>
      <c r="E514" t="s">
        <v>104</v>
      </c>
      <c r="F514">
        <v>11</v>
      </c>
      <c r="G514" t="b">
        <v>0</v>
      </c>
      <c r="H514" t="s">
        <v>107</v>
      </c>
      <c r="I514" t="s">
        <v>113</v>
      </c>
      <c r="J514">
        <v>0.14000000000000001</v>
      </c>
      <c r="K514">
        <v>0.13639999999999999</v>
      </c>
      <c r="L514">
        <v>0.43</v>
      </c>
      <c r="M514">
        <v>0.22389999999999999</v>
      </c>
      <c r="N514">
        <v>22</v>
      </c>
      <c r="O514">
        <v>77</v>
      </c>
      <c r="P514">
        <v>99</v>
      </c>
    </row>
    <row r="515" spans="1:16" x14ac:dyDescent="0.35">
      <c r="A515">
        <v>514</v>
      </c>
      <c r="B515" s="37">
        <v>40566</v>
      </c>
      <c r="C515">
        <v>1</v>
      </c>
      <c r="D515">
        <v>0</v>
      </c>
      <c r="E515" t="s">
        <v>104</v>
      </c>
      <c r="F515">
        <v>12</v>
      </c>
      <c r="G515" t="b">
        <v>0</v>
      </c>
      <c r="H515" t="s">
        <v>107</v>
      </c>
      <c r="I515" t="s">
        <v>113</v>
      </c>
      <c r="J515">
        <v>0.16</v>
      </c>
      <c r="K515">
        <v>0.1212</v>
      </c>
      <c r="L515">
        <v>0.37</v>
      </c>
      <c r="M515">
        <v>0.4627</v>
      </c>
      <c r="N515">
        <v>24</v>
      </c>
      <c r="O515">
        <v>92</v>
      </c>
      <c r="P515">
        <v>116</v>
      </c>
    </row>
    <row r="516" spans="1:16" x14ac:dyDescent="0.35">
      <c r="A516">
        <v>515</v>
      </c>
      <c r="B516" s="37">
        <v>40566</v>
      </c>
      <c r="C516">
        <v>1</v>
      </c>
      <c r="D516">
        <v>0</v>
      </c>
      <c r="E516" t="s">
        <v>104</v>
      </c>
      <c r="F516">
        <v>13</v>
      </c>
      <c r="G516" t="b">
        <v>0</v>
      </c>
      <c r="H516" t="s">
        <v>107</v>
      </c>
      <c r="I516" t="s">
        <v>113</v>
      </c>
      <c r="J516">
        <v>0.14000000000000001</v>
      </c>
      <c r="K516">
        <v>0.1061</v>
      </c>
      <c r="L516">
        <v>0.33</v>
      </c>
      <c r="M516">
        <v>0.3881</v>
      </c>
      <c r="N516">
        <v>12</v>
      </c>
      <c r="O516">
        <v>75</v>
      </c>
      <c r="P516">
        <v>87</v>
      </c>
    </row>
    <row r="517" spans="1:16" x14ac:dyDescent="0.35">
      <c r="A517">
        <v>516</v>
      </c>
      <c r="B517" s="37">
        <v>40566</v>
      </c>
      <c r="C517">
        <v>1</v>
      </c>
      <c r="D517">
        <v>0</v>
      </c>
      <c r="E517" t="s">
        <v>104</v>
      </c>
      <c r="F517">
        <v>14</v>
      </c>
      <c r="G517" t="b">
        <v>0</v>
      </c>
      <c r="H517" t="s">
        <v>107</v>
      </c>
      <c r="I517" t="s">
        <v>113</v>
      </c>
      <c r="J517">
        <v>0.16</v>
      </c>
      <c r="K517">
        <v>0.13639999999999999</v>
      </c>
      <c r="L517">
        <v>0.28000000000000003</v>
      </c>
      <c r="M517">
        <v>0.35820000000000002</v>
      </c>
      <c r="N517">
        <v>17</v>
      </c>
      <c r="O517">
        <v>93</v>
      </c>
      <c r="P517">
        <v>110</v>
      </c>
    </row>
    <row r="518" spans="1:16" x14ac:dyDescent="0.35">
      <c r="A518">
        <v>517</v>
      </c>
      <c r="B518" s="37">
        <v>40566</v>
      </c>
      <c r="C518">
        <v>1</v>
      </c>
      <c r="D518">
        <v>0</v>
      </c>
      <c r="E518" t="s">
        <v>104</v>
      </c>
      <c r="F518">
        <v>15</v>
      </c>
      <c r="G518" t="b">
        <v>0</v>
      </c>
      <c r="H518" t="s">
        <v>107</v>
      </c>
      <c r="I518" t="s">
        <v>113</v>
      </c>
      <c r="J518">
        <v>0.16</v>
      </c>
      <c r="K518">
        <v>0.13639999999999999</v>
      </c>
      <c r="L518">
        <v>0.28000000000000003</v>
      </c>
      <c r="M518">
        <v>0.35820000000000002</v>
      </c>
      <c r="N518">
        <v>13</v>
      </c>
      <c r="O518">
        <v>64</v>
      </c>
      <c r="P518">
        <v>77</v>
      </c>
    </row>
    <row r="519" spans="1:16" x14ac:dyDescent="0.35">
      <c r="A519">
        <v>518</v>
      </c>
      <c r="B519" s="37">
        <v>40566</v>
      </c>
      <c r="C519">
        <v>1</v>
      </c>
      <c r="D519">
        <v>0</v>
      </c>
      <c r="E519" t="s">
        <v>104</v>
      </c>
      <c r="F519">
        <v>16</v>
      </c>
      <c r="G519" t="b">
        <v>0</v>
      </c>
      <c r="H519" t="s">
        <v>107</v>
      </c>
      <c r="I519" t="s">
        <v>113</v>
      </c>
      <c r="J519">
        <v>0.16</v>
      </c>
      <c r="K519">
        <v>0.13639999999999999</v>
      </c>
      <c r="L519">
        <v>0.26</v>
      </c>
      <c r="M519">
        <v>0.32840000000000003</v>
      </c>
      <c r="N519">
        <v>9</v>
      </c>
      <c r="O519">
        <v>56</v>
      </c>
      <c r="P519">
        <v>65</v>
      </c>
    </row>
    <row r="520" spans="1:16" x14ac:dyDescent="0.35">
      <c r="A520">
        <v>519</v>
      </c>
      <c r="B520" s="37">
        <v>40566</v>
      </c>
      <c r="C520">
        <v>1</v>
      </c>
      <c r="D520">
        <v>0</v>
      </c>
      <c r="E520" t="s">
        <v>104</v>
      </c>
      <c r="F520">
        <v>17</v>
      </c>
      <c r="G520" t="b">
        <v>0</v>
      </c>
      <c r="H520" t="s">
        <v>107</v>
      </c>
      <c r="I520" t="s">
        <v>113</v>
      </c>
      <c r="J520">
        <v>0.14000000000000001</v>
      </c>
      <c r="K520">
        <v>0.1061</v>
      </c>
      <c r="L520">
        <v>0.26</v>
      </c>
      <c r="M520">
        <v>0.3881</v>
      </c>
      <c r="N520">
        <v>5</v>
      </c>
      <c r="O520">
        <v>50</v>
      </c>
      <c r="P520">
        <v>55</v>
      </c>
    </row>
    <row r="521" spans="1:16" x14ac:dyDescent="0.35">
      <c r="A521">
        <v>520</v>
      </c>
      <c r="B521" s="37">
        <v>40566</v>
      </c>
      <c r="C521">
        <v>1</v>
      </c>
      <c r="D521">
        <v>0</v>
      </c>
      <c r="E521" t="s">
        <v>104</v>
      </c>
      <c r="F521">
        <v>18</v>
      </c>
      <c r="G521" t="b">
        <v>0</v>
      </c>
      <c r="H521" t="s">
        <v>107</v>
      </c>
      <c r="I521" t="s">
        <v>113</v>
      </c>
      <c r="J521">
        <v>0.12</v>
      </c>
      <c r="K521">
        <v>0.1212</v>
      </c>
      <c r="L521">
        <v>0.3</v>
      </c>
      <c r="M521">
        <v>0.25369999999999998</v>
      </c>
      <c r="N521">
        <v>5</v>
      </c>
      <c r="O521">
        <v>44</v>
      </c>
      <c r="P521">
        <v>49</v>
      </c>
    </row>
    <row r="522" spans="1:16" x14ac:dyDescent="0.35">
      <c r="A522">
        <v>521</v>
      </c>
      <c r="B522" s="37">
        <v>40566</v>
      </c>
      <c r="C522">
        <v>1</v>
      </c>
      <c r="D522">
        <v>0</v>
      </c>
      <c r="E522" t="s">
        <v>104</v>
      </c>
      <c r="F522">
        <v>19</v>
      </c>
      <c r="G522" t="b">
        <v>0</v>
      </c>
      <c r="H522" t="s">
        <v>107</v>
      </c>
      <c r="I522" t="s">
        <v>113</v>
      </c>
      <c r="J522">
        <v>0.12</v>
      </c>
      <c r="K522">
        <v>0.1212</v>
      </c>
      <c r="L522">
        <v>0.3</v>
      </c>
      <c r="M522">
        <v>0.28360000000000002</v>
      </c>
      <c r="N522">
        <v>5</v>
      </c>
      <c r="O522">
        <v>45</v>
      </c>
      <c r="P522">
        <v>50</v>
      </c>
    </row>
    <row r="523" spans="1:16" x14ac:dyDescent="0.35">
      <c r="A523">
        <v>522</v>
      </c>
      <c r="B523" s="37">
        <v>40566</v>
      </c>
      <c r="C523">
        <v>1</v>
      </c>
      <c r="D523">
        <v>0</v>
      </c>
      <c r="E523" t="s">
        <v>104</v>
      </c>
      <c r="F523">
        <v>20</v>
      </c>
      <c r="G523" t="b">
        <v>0</v>
      </c>
      <c r="H523" t="s">
        <v>107</v>
      </c>
      <c r="I523" t="s">
        <v>113</v>
      </c>
      <c r="J523">
        <v>0.1</v>
      </c>
      <c r="K523">
        <v>0.1061</v>
      </c>
      <c r="L523">
        <v>0.36</v>
      </c>
      <c r="M523">
        <v>0.25369999999999998</v>
      </c>
      <c r="N523">
        <v>4</v>
      </c>
      <c r="O523">
        <v>31</v>
      </c>
      <c r="P523">
        <v>35</v>
      </c>
    </row>
    <row r="524" spans="1:16" x14ac:dyDescent="0.35">
      <c r="A524">
        <v>523</v>
      </c>
      <c r="B524" s="37">
        <v>40566</v>
      </c>
      <c r="C524">
        <v>1</v>
      </c>
      <c r="D524">
        <v>0</v>
      </c>
      <c r="E524" t="s">
        <v>104</v>
      </c>
      <c r="F524">
        <v>21</v>
      </c>
      <c r="G524" t="b">
        <v>0</v>
      </c>
      <c r="H524" t="s">
        <v>107</v>
      </c>
      <c r="I524" t="s">
        <v>113</v>
      </c>
      <c r="J524">
        <v>0.1</v>
      </c>
      <c r="K524">
        <v>0.1061</v>
      </c>
      <c r="L524">
        <v>0.36</v>
      </c>
      <c r="M524">
        <v>0.19400000000000001</v>
      </c>
      <c r="N524">
        <v>5</v>
      </c>
      <c r="O524">
        <v>20</v>
      </c>
      <c r="P524">
        <v>25</v>
      </c>
    </row>
    <row r="525" spans="1:16" x14ac:dyDescent="0.35">
      <c r="A525">
        <v>524</v>
      </c>
      <c r="B525" s="37">
        <v>40566</v>
      </c>
      <c r="C525">
        <v>1</v>
      </c>
      <c r="D525">
        <v>0</v>
      </c>
      <c r="E525" t="s">
        <v>104</v>
      </c>
      <c r="F525">
        <v>22</v>
      </c>
      <c r="G525" t="b">
        <v>0</v>
      </c>
      <c r="H525" t="s">
        <v>107</v>
      </c>
      <c r="I525" t="s">
        <v>113</v>
      </c>
      <c r="J525">
        <v>0.08</v>
      </c>
      <c r="K525">
        <v>9.0899999999999995E-2</v>
      </c>
      <c r="L525">
        <v>0.38</v>
      </c>
      <c r="M525">
        <v>0.19400000000000001</v>
      </c>
      <c r="N525">
        <v>5</v>
      </c>
      <c r="O525">
        <v>23</v>
      </c>
      <c r="P525">
        <v>28</v>
      </c>
    </row>
    <row r="526" spans="1:16" x14ac:dyDescent="0.35">
      <c r="A526">
        <v>525</v>
      </c>
      <c r="B526" s="37">
        <v>40566</v>
      </c>
      <c r="C526">
        <v>1</v>
      </c>
      <c r="D526">
        <v>0</v>
      </c>
      <c r="E526" t="s">
        <v>104</v>
      </c>
      <c r="F526">
        <v>23</v>
      </c>
      <c r="G526" t="b">
        <v>0</v>
      </c>
      <c r="H526" t="s">
        <v>107</v>
      </c>
      <c r="I526" t="s">
        <v>113</v>
      </c>
      <c r="J526">
        <v>0.06</v>
      </c>
      <c r="K526">
        <v>6.0600000000000001E-2</v>
      </c>
      <c r="L526">
        <v>0.41</v>
      </c>
      <c r="M526">
        <v>0.22389999999999999</v>
      </c>
      <c r="N526">
        <v>4</v>
      </c>
      <c r="O526">
        <v>17</v>
      </c>
      <c r="P526">
        <v>21</v>
      </c>
    </row>
    <row r="527" spans="1:16" x14ac:dyDescent="0.35">
      <c r="A527">
        <v>526</v>
      </c>
      <c r="B527" s="37">
        <v>40567</v>
      </c>
      <c r="C527">
        <v>1</v>
      </c>
      <c r="D527">
        <v>0</v>
      </c>
      <c r="E527" t="s">
        <v>104</v>
      </c>
      <c r="F527">
        <v>0</v>
      </c>
      <c r="G527" t="b">
        <v>0</v>
      </c>
      <c r="H527" t="s">
        <v>108</v>
      </c>
      <c r="I527" t="s">
        <v>113</v>
      </c>
      <c r="J527">
        <v>0.06</v>
      </c>
      <c r="K527">
        <v>6.0600000000000001E-2</v>
      </c>
      <c r="L527">
        <v>0.41</v>
      </c>
      <c r="M527">
        <v>0.19400000000000001</v>
      </c>
      <c r="N527">
        <v>0</v>
      </c>
      <c r="O527">
        <v>7</v>
      </c>
      <c r="P527">
        <v>7</v>
      </c>
    </row>
    <row r="528" spans="1:16" x14ac:dyDescent="0.35">
      <c r="A528">
        <v>527</v>
      </c>
      <c r="B528" s="37">
        <v>40567</v>
      </c>
      <c r="C528">
        <v>1</v>
      </c>
      <c r="D528">
        <v>0</v>
      </c>
      <c r="E528" t="s">
        <v>104</v>
      </c>
      <c r="F528">
        <v>1</v>
      </c>
      <c r="G528" t="b">
        <v>0</v>
      </c>
      <c r="H528" t="s">
        <v>108</v>
      </c>
      <c r="I528" t="s">
        <v>113</v>
      </c>
      <c r="J528">
        <v>0.04</v>
      </c>
      <c r="K528">
        <v>4.5499999999999999E-2</v>
      </c>
      <c r="L528">
        <v>0.45</v>
      </c>
      <c r="M528">
        <v>0.19400000000000001</v>
      </c>
      <c r="N528">
        <v>0</v>
      </c>
      <c r="O528">
        <v>1</v>
      </c>
      <c r="P528">
        <v>1</v>
      </c>
    </row>
    <row r="529" spans="1:16" x14ac:dyDescent="0.35">
      <c r="A529">
        <v>528</v>
      </c>
      <c r="B529" s="37">
        <v>40567</v>
      </c>
      <c r="C529">
        <v>1</v>
      </c>
      <c r="D529">
        <v>0</v>
      </c>
      <c r="E529" t="s">
        <v>104</v>
      </c>
      <c r="F529">
        <v>3</v>
      </c>
      <c r="G529" t="b">
        <v>0</v>
      </c>
      <c r="H529" t="s">
        <v>108</v>
      </c>
      <c r="I529" t="s">
        <v>113</v>
      </c>
      <c r="J529">
        <v>0.04</v>
      </c>
      <c r="K529">
        <v>3.0300000000000001E-2</v>
      </c>
      <c r="L529">
        <v>0.45</v>
      </c>
      <c r="M529">
        <v>0.25369999999999998</v>
      </c>
      <c r="N529">
        <v>0</v>
      </c>
      <c r="O529">
        <v>1</v>
      </c>
      <c r="P529">
        <v>1</v>
      </c>
    </row>
    <row r="530" spans="1:16" x14ac:dyDescent="0.35">
      <c r="A530">
        <v>529</v>
      </c>
      <c r="B530" s="37">
        <v>40567</v>
      </c>
      <c r="C530">
        <v>1</v>
      </c>
      <c r="D530">
        <v>0</v>
      </c>
      <c r="E530" t="s">
        <v>104</v>
      </c>
      <c r="F530">
        <v>4</v>
      </c>
      <c r="G530" t="b">
        <v>0</v>
      </c>
      <c r="H530" t="s">
        <v>108</v>
      </c>
      <c r="I530" t="s">
        <v>113</v>
      </c>
      <c r="J530">
        <v>0.02</v>
      </c>
      <c r="K530">
        <v>6.0600000000000001E-2</v>
      </c>
      <c r="L530">
        <v>0.48</v>
      </c>
      <c r="M530">
        <v>0.1343</v>
      </c>
      <c r="N530">
        <v>0</v>
      </c>
      <c r="O530">
        <v>1</v>
      </c>
      <c r="P530">
        <v>1</v>
      </c>
    </row>
    <row r="531" spans="1:16" x14ac:dyDescent="0.35">
      <c r="A531">
        <v>530</v>
      </c>
      <c r="B531" s="37">
        <v>40567</v>
      </c>
      <c r="C531">
        <v>1</v>
      </c>
      <c r="D531">
        <v>0</v>
      </c>
      <c r="E531" t="s">
        <v>104</v>
      </c>
      <c r="F531">
        <v>5</v>
      </c>
      <c r="G531" t="b">
        <v>0</v>
      </c>
      <c r="H531" t="s">
        <v>108</v>
      </c>
      <c r="I531" t="s">
        <v>113</v>
      </c>
      <c r="J531">
        <v>0.02</v>
      </c>
      <c r="K531">
        <v>6.0600000000000001E-2</v>
      </c>
      <c r="L531">
        <v>0.48</v>
      </c>
      <c r="M531">
        <v>0.1343</v>
      </c>
      <c r="N531">
        <v>0</v>
      </c>
      <c r="O531">
        <v>5</v>
      </c>
      <c r="P531">
        <v>5</v>
      </c>
    </row>
    <row r="532" spans="1:16" x14ac:dyDescent="0.35">
      <c r="A532">
        <v>531</v>
      </c>
      <c r="B532" s="37">
        <v>40567</v>
      </c>
      <c r="C532">
        <v>1</v>
      </c>
      <c r="D532">
        <v>0</v>
      </c>
      <c r="E532" t="s">
        <v>104</v>
      </c>
      <c r="F532">
        <v>6</v>
      </c>
      <c r="G532" t="b">
        <v>0</v>
      </c>
      <c r="H532" t="s">
        <v>108</v>
      </c>
      <c r="I532" t="s">
        <v>113</v>
      </c>
      <c r="J532">
        <v>0.02</v>
      </c>
      <c r="K532">
        <v>7.5800000000000006E-2</v>
      </c>
      <c r="L532">
        <v>0.48</v>
      </c>
      <c r="M532">
        <v>8.9599999999999999E-2</v>
      </c>
      <c r="N532">
        <v>0</v>
      </c>
      <c r="O532">
        <v>15</v>
      </c>
      <c r="P532">
        <v>15</v>
      </c>
    </row>
    <row r="533" spans="1:16" x14ac:dyDescent="0.35">
      <c r="A533">
        <v>532</v>
      </c>
      <c r="B533" s="37">
        <v>40567</v>
      </c>
      <c r="C533">
        <v>1</v>
      </c>
      <c r="D533">
        <v>0</v>
      </c>
      <c r="E533" t="s">
        <v>104</v>
      </c>
      <c r="F533">
        <v>7</v>
      </c>
      <c r="G533" t="b">
        <v>0</v>
      </c>
      <c r="H533" t="s">
        <v>108</v>
      </c>
      <c r="I533" t="s">
        <v>113</v>
      </c>
      <c r="J533">
        <v>0.02</v>
      </c>
      <c r="K533">
        <v>0.1212</v>
      </c>
      <c r="L533">
        <v>0.48</v>
      </c>
      <c r="M533">
        <v>0</v>
      </c>
      <c r="N533">
        <v>5</v>
      </c>
      <c r="O533">
        <v>79</v>
      </c>
      <c r="P533">
        <v>84</v>
      </c>
    </row>
    <row r="534" spans="1:16" x14ac:dyDescent="0.35">
      <c r="A534">
        <v>533</v>
      </c>
      <c r="B534" s="37">
        <v>40567</v>
      </c>
      <c r="C534">
        <v>1</v>
      </c>
      <c r="D534">
        <v>0</v>
      </c>
      <c r="E534" t="s">
        <v>104</v>
      </c>
      <c r="F534">
        <v>8</v>
      </c>
      <c r="G534" t="b">
        <v>0</v>
      </c>
      <c r="H534" t="s">
        <v>108</v>
      </c>
      <c r="I534" t="s">
        <v>113</v>
      </c>
      <c r="J534">
        <v>0.04</v>
      </c>
      <c r="K534">
        <v>0.13639999999999999</v>
      </c>
      <c r="L534">
        <v>0.49</v>
      </c>
      <c r="M534">
        <v>0</v>
      </c>
      <c r="N534">
        <v>6</v>
      </c>
      <c r="O534">
        <v>171</v>
      </c>
      <c r="P534">
        <v>177</v>
      </c>
    </row>
    <row r="535" spans="1:16" x14ac:dyDescent="0.35">
      <c r="A535">
        <v>534</v>
      </c>
      <c r="B535" s="37">
        <v>40567</v>
      </c>
      <c r="C535">
        <v>1</v>
      </c>
      <c r="D535">
        <v>0</v>
      </c>
      <c r="E535" t="s">
        <v>104</v>
      </c>
      <c r="F535">
        <v>9</v>
      </c>
      <c r="G535" t="b">
        <v>0</v>
      </c>
      <c r="H535" t="s">
        <v>108</v>
      </c>
      <c r="I535" t="s">
        <v>113</v>
      </c>
      <c r="J535">
        <v>0.06</v>
      </c>
      <c r="K535">
        <v>0.1515</v>
      </c>
      <c r="L535">
        <v>0.41</v>
      </c>
      <c r="M535">
        <v>0</v>
      </c>
      <c r="N535">
        <v>4</v>
      </c>
      <c r="O535">
        <v>98</v>
      </c>
      <c r="P535">
        <v>102</v>
      </c>
    </row>
    <row r="536" spans="1:16" x14ac:dyDescent="0.35">
      <c r="A536">
        <v>535</v>
      </c>
      <c r="B536" s="37">
        <v>40567</v>
      </c>
      <c r="C536">
        <v>1</v>
      </c>
      <c r="D536">
        <v>0</v>
      </c>
      <c r="E536" t="s">
        <v>104</v>
      </c>
      <c r="F536">
        <v>10</v>
      </c>
      <c r="G536" t="b">
        <v>0</v>
      </c>
      <c r="H536" t="s">
        <v>108</v>
      </c>
      <c r="I536" t="s">
        <v>113</v>
      </c>
      <c r="J536">
        <v>0.1</v>
      </c>
      <c r="K536">
        <v>0.13639999999999999</v>
      </c>
      <c r="L536">
        <v>0.42</v>
      </c>
      <c r="M536">
        <v>0</v>
      </c>
      <c r="N536">
        <v>6</v>
      </c>
      <c r="O536">
        <v>34</v>
      </c>
      <c r="P536">
        <v>40</v>
      </c>
    </row>
    <row r="537" spans="1:16" x14ac:dyDescent="0.35">
      <c r="A537">
        <v>536</v>
      </c>
      <c r="B537" s="37">
        <v>40567</v>
      </c>
      <c r="C537">
        <v>1</v>
      </c>
      <c r="D537">
        <v>0</v>
      </c>
      <c r="E537" t="s">
        <v>104</v>
      </c>
      <c r="F537">
        <v>11</v>
      </c>
      <c r="G537" t="b">
        <v>0</v>
      </c>
      <c r="H537" t="s">
        <v>108</v>
      </c>
      <c r="I537" t="s">
        <v>113</v>
      </c>
      <c r="J537">
        <v>0.1</v>
      </c>
      <c r="K537">
        <v>0.1212</v>
      </c>
      <c r="L537">
        <v>0.46</v>
      </c>
      <c r="M537">
        <v>0.1343</v>
      </c>
      <c r="N537">
        <v>3</v>
      </c>
      <c r="O537">
        <v>43</v>
      </c>
      <c r="P537">
        <v>46</v>
      </c>
    </row>
    <row r="538" spans="1:16" x14ac:dyDescent="0.35">
      <c r="A538">
        <v>537</v>
      </c>
      <c r="B538" s="37">
        <v>40567</v>
      </c>
      <c r="C538">
        <v>1</v>
      </c>
      <c r="D538">
        <v>0</v>
      </c>
      <c r="E538" t="s">
        <v>104</v>
      </c>
      <c r="F538">
        <v>12</v>
      </c>
      <c r="G538" t="b">
        <v>0</v>
      </c>
      <c r="H538" t="s">
        <v>108</v>
      </c>
      <c r="I538" t="s">
        <v>114</v>
      </c>
      <c r="J538">
        <v>0.12</v>
      </c>
      <c r="K538">
        <v>0.13639999999999999</v>
      </c>
      <c r="L538">
        <v>0.42</v>
      </c>
      <c r="M538">
        <v>0.19400000000000001</v>
      </c>
      <c r="N538">
        <v>11</v>
      </c>
      <c r="O538">
        <v>52</v>
      </c>
      <c r="P538">
        <v>63</v>
      </c>
    </row>
    <row r="539" spans="1:16" x14ac:dyDescent="0.35">
      <c r="A539">
        <v>538</v>
      </c>
      <c r="B539" s="37">
        <v>40567</v>
      </c>
      <c r="C539">
        <v>1</v>
      </c>
      <c r="D539">
        <v>0</v>
      </c>
      <c r="E539" t="s">
        <v>104</v>
      </c>
      <c r="F539">
        <v>13</v>
      </c>
      <c r="G539" t="b">
        <v>0</v>
      </c>
      <c r="H539" t="s">
        <v>108</v>
      </c>
      <c r="I539" t="s">
        <v>114</v>
      </c>
      <c r="J539">
        <v>0.14000000000000001</v>
      </c>
      <c r="K539">
        <v>0.13639999999999999</v>
      </c>
      <c r="L539">
        <v>0.43</v>
      </c>
      <c r="M539">
        <v>0.22389999999999999</v>
      </c>
      <c r="N539">
        <v>6</v>
      </c>
      <c r="O539">
        <v>54</v>
      </c>
      <c r="P539">
        <v>60</v>
      </c>
    </row>
    <row r="540" spans="1:16" x14ac:dyDescent="0.35">
      <c r="A540">
        <v>539</v>
      </c>
      <c r="B540" s="37">
        <v>40567</v>
      </c>
      <c r="C540">
        <v>1</v>
      </c>
      <c r="D540">
        <v>0</v>
      </c>
      <c r="E540" t="s">
        <v>104</v>
      </c>
      <c r="F540">
        <v>14</v>
      </c>
      <c r="G540" t="b">
        <v>0</v>
      </c>
      <c r="H540" t="s">
        <v>108</v>
      </c>
      <c r="I540" t="s">
        <v>114</v>
      </c>
      <c r="J540">
        <v>0.14000000000000001</v>
      </c>
      <c r="K540">
        <v>0.13639999999999999</v>
      </c>
      <c r="L540">
        <v>0.46</v>
      </c>
      <c r="M540">
        <v>0.22389999999999999</v>
      </c>
      <c r="N540">
        <v>2</v>
      </c>
      <c r="O540">
        <v>43</v>
      </c>
      <c r="P540">
        <v>45</v>
      </c>
    </row>
    <row r="541" spans="1:16" x14ac:dyDescent="0.35">
      <c r="A541">
        <v>540</v>
      </c>
      <c r="B541" s="37">
        <v>40567</v>
      </c>
      <c r="C541">
        <v>1</v>
      </c>
      <c r="D541">
        <v>0</v>
      </c>
      <c r="E541" t="s">
        <v>104</v>
      </c>
      <c r="F541">
        <v>15</v>
      </c>
      <c r="G541" t="b">
        <v>0</v>
      </c>
      <c r="H541" t="s">
        <v>108</v>
      </c>
      <c r="I541" t="s">
        <v>113</v>
      </c>
      <c r="J541">
        <v>0.16</v>
      </c>
      <c r="K541">
        <v>0.16669999999999999</v>
      </c>
      <c r="L541">
        <v>0.4</v>
      </c>
      <c r="M541">
        <v>0.16420000000000001</v>
      </c>
      <c r="N541">
        <v>7</v>
      </c>
      <c r="O541">
        <v>50</v>
      </c>
      <c r="P541">
        <v>57</v>
      </c>
    </row>
    <row r="542" spans="1:16" x14ac:dyDescent="0.35">
      <c r="A542">
        <v>541</v>
      </c>
      <c r="B542" s="37">
        <v>40567</v>
      </c>
      <c r="C542">
        <v>1</v>
      </c>
      <c r="D542">
        <v>0</v>
      </c>
      <c r="E542" t="s">
        <v>104</v>
      </c>
      <c r="F542">
        <v>16</v>
      </c>
      <c r="G542" t="b">
        <v>0</v>
      </c>
      <c r="H542" t="s">
        <v>108</v>
      </c>
      <c r="I542" t="s">
        <v>113</v>
      </c>
      <c r="J542">
        <v>0.16</v>
      </c>
      <c r="K542">
        <v>0.1515</v>
      </c>
      <c r="L542">
        <v>0.47</v>
      </c>
      <c r="M542">
        <v>0.25369999999999998</v>
      </c>
      <c r="N542">
        <v>4</v>
      </c>
      <c r="O542">
        <v>66</v>
      </c>
      <c r="P542">
        <v>70</v>
      </c>
    </row>
    <row r="543" spans="1:16" x14ac:dyDescent="0.35">
      <c r="A543">
        <v>542</v>
      </c>
      <c r="B543" s="37">
        <v>40567</v>
      </c>
      <c r="C543">
        <v>1</v>
      </c>
      <c r="D543">
        <v>0</v>
      </c>
      <c r="E543" t="s">
        <v>104</v>
      </c>
      <c r="F543">
        <v>17</v>
      </c>
      <c r="G543" t="b">
        <v>0</v>
      </c>
      <c r="H543" t="s">
        <v>108</v>
      </c>
      <c r="I543" t="s">
        <v>113</v>
      </c>
      <c r="J543">
        <v>0.14000000000000001</v>
      </c>
      <c r="K543">
        <v>0.1212</v>
      </c>
      <c r="L543">
        <v>0.5</v>
      </c>
      <c r="M543">
        <v>0.25369999999999998</v>
      </c>
      <c r="N543">
        <v>6</v>
      </c>
      <c r="O543">
        <v>178</v>
      </c>
      <c r="P543">
        <v>184</v>
      </c>
    </row>
    <row r="544" spans="1:16" x14ac:dyDescent="0.35">
      <c r="A544">
        <v>543</v>
      </c>
      <c r="B544" s="37">
        <v>40567</v>
      </c>
      <c r="C544">
        <v>1</v>
      </c>
      <c r="D544">
        <v>0</v>
      </c>
      <c r="E544" t="s">
        <v>104</v>
      </c>
      <c r="F544">
        <v>18</v>
      </c>
      <c r="G544" t="b">
        <v>0</v>
      </c>
      <c r="H544" t="s">
        <v>108</v>
      </c>
      <c r="I544" t="s">
        <v>113</v>
      </c>
      <c r="J544">
        <v>0.14000000000000001</v>
      </c>
      <c r="K544">
        <v>0.13639999999999999</v>
      </c>
      <c r="L544">
        <v>0.59</v>
      </c>
      <c r="M544">
        <v>0.19400000000000001</v>
      </c>
      <c r="N544">
        <v>8</v>
      </c>
      <c r="O544">
        <v>145</v>
      </c>
      <c r="P544">
        <v>153</v>
      </c>
    </row>
    <row r="545" spans="1:16" x14ac:dyDescent="0.35">
      <c r="A545">
        <v>544</v>
      </c>
      <c r="B545" s="37">
        <v>40567</v>
      </c>
      <c r="C545">
        <v>1</v>
      </c>
      <c r="D545">
        <v>0</v>
      </c>
      <c r="E545" t="s">
        <v>104</v>
      </c>
      <c r="F545">
        <v>19</v>
      </c>
      <c r="G545" t="b">
        <v>0</v>
      </c>
      <c r="H545" t="s">
        <v>108</v>
      </c>
      <c r="I545" t="s">
        <v>113</v>
      </c>
      <c r="J545">
        <v>0.14000000000000001</v>
      </c>
      <c r="K545">
        <v>0.1515</v>
      </c>
      <c r="L545">
        <v>0.54</v>
      </c>
      <c r="M545">
        <v>0.16420000000000001</v>
      </c>
      <c r="N545">
        <v>5</v>
      </c>
      <c r="O545">
        <v>101</v>
      </c>
      <c r="P545">
        <v>106</v>
      </c>
    </row>
    <row r="546" spans="1:16" x14ac:dyDescent="0.35">
      <c r="A546">
        <v>545</v>
      </c>
      <c r="B546" s="37">
        <v>40567</v>
      </c>
      <c r="C546">
        <v>1</v>
      </c>
      <c r="D546">
        <v>0</v>
      </c>
      <c r="E546" t="s">
        <v>104</v>
      </c>
      <c r="F546">
        <v>20</v>
      </c>
      <c r="G546" t="b">
        <v>0</v>
      </c>
      <c r="H546" t="s">
        <v>108</v>
      </c>
      <c r="I546" t="s">
        <v>113</v>
      </c>
      <c r="J546">
        <v>0.14000000000000001</v>
      </c>
      <c r="K546">
        <v>0.13639999999999999</v>
      </c>
      <c r="L546">
        <v>0.59</v>
      </c>
      <c r="M546">
        <v>0.19400000000000001</v>
      </c>
      <c r="N546">
        <v>1</v>
      </c>
      <c r="O546">
        <v>80</v>
      </c>
      <c r="P546">
        <v>81</v>
      </c>
    </row>
    <row r="547" spans="1:16" x14ac:dyDescent="0.35">
      <c r="A547">
        <v>546</v>
      </c>
      <c r="B547" s="37">
        <v>40567</v>
      </c>
      <c r="C547">
        <v>1</v>
      </c>
      <c r="D547">
        <v>0</v>
      </c>
      <c r="E547" t="s">
        <v>104</v>
      </c>
      <c r="F547">
        <v>21</v>
      </c>
      <c r="G547" t="b">
        <v>0</v>
      </c>
      <c r="H547" t="s">
        <v>108</v>
      </c>
      <c r="I547" t="s">
        <v>113</v>
      </c>
      <c r="J547">
        <v>0.14000000000000001</v>
      </c>
      <c r="K547">
        <v>0.1515</v>
      </c>
      <c r="L547">
        <v>0.63</v>
      </c>
      <c r="M547">
        <v>0.16420000000000001</v>
      </c>
      <c r="N547">
        <v>6</v>
      </c>
      <c r="O547">
        <v>53</v>
      </c>
      <c r="P547">
        <v>59</v>
      </c>
    </row>
    <row r="548" spans="1:16" x14ac:dyDescent="0.35">
      <c r="A548">
        <v>547</v>
      </c>
      <c r="B548" s="37">
        <v>40567</v>
      </c>
      <c r="C548">
        <v>1</v>
      </c>
      <c r="D548">
        <v>0</v>
      </c>
      <c r="E548" t="s">
        <v>104</v>
      </c>
      <c r="F548">
        <v>22</v>
      </c>
      <c r="G548" t="b">
        <v>0</v>
      </c>
      <c r="H548" t="s">
        <v>108</v>
      </c>
      <c r="I548" t="s">
        <v>114</v>
      </c>
      <c r="J548">
        <v>0.14000000000000001</v>
      </c>
      <c r="K548">
        <v>0.13639999999999999</v>
      </c>
      <c r="L548">
        <v>0.63</v>
      </c>
      <c r="M548">
        <v>0.22389999999999999</v>
      </c>
      <c r="N548">
        <v>3</v>
      </c>
      <c r="O548">
        <v>32</v>
      </c>
      <c r="P548">
        <v>35</v>
      </c>
    </row>
    <row r="549" spans="1:16" x14ac:dyDescent="0.35">
      <c r="A549">
        <v>548</v>
      </c>
      <c r="B549" s="37">
        <v>40567</v>
      </c>
      <c r="C549">
        <v>1</v>
      </c>
      <c r="D549">
        <v>0</v>
      </c>
      <c r="E549" t="s">
        <v>104</v>
      </c>
      <c r="F549">
        <v>23</v>
      </c>
      <c r="G549" t="b">
        <v>0</v>
      </c>
      <c r="H549" t="s">
        <v>108</v>
      </c>
      <c r="I549" t="s">
        <v>114</v>
      </c>
      <c r="J549">
        <v>0.16</v>
      </c>
      <c r="K549">
        <v>0.1515</v>
      </c>
      <c r="L549">
        <v>0.64</v>
      </c>
      <c r="M549">
        <v>0.25369999999999998</v>
      </c>
      <c r="N549">
        <v>3</v>
      </c>
      <c r="O549">
        <v>21</v>
      </c>
      <c r="P549">
        <v>24</v>
      </c>
    </row>
    <row r="550" spans="1:16" x14ac:dyDescent="0.35">
      <c r="A550">
        <v>549</v>
      </c>
      <c r="B550" s="37">
        <v>40568</v>
      </c>
      <c r="C550">
        <v>1</v>
      </c>
      <c r="D550">
        <v>0</v>
      </c>
      <c r="E550" t="s">
        <v>104</v>
      </c>
      <c r="F550">
        <v>0</v>
      </c>
      <c r="G550" t="b">
        <v>0</v>
      </c>
      <c r="H550" t="s">
        <v>109</v>
      </c>
      <c r="I550" t="s">
        <v>114</v>
      </c>
      <c r="J550">
        <v>0.16</v>
      </c>
      <c r="K550">
        <v>0.13639999999999999</v>
      </c>
      <c r="L550">
        <v>0.69</v>
      </c>
      <c r="M550">
        <v>0.28360000000000002</v>
      </c>
      <c r="N550">
        <v>3</v>
      </c>
      <c r="O550">
        <v>6</v>
      </c>
      <c r="P550">
        <v>9</v>
      </c>
    </row>
    <row r="551" spans="1:16" x14ac:dyDescent="0.35">
      <c r="A551">
        <v>550</v>
      </c>
      <c r="B551" s="37">
        <v>40568</v>
      </c>
      <c r="C551">
        <v>1</v>
      </c>
      <c r="D551">
        <v>0</v>
      </c>
      <c r="E551" t="s">
        <v>104</v>
      </c>
      <c r="F551">
        <v>1</v>
      </c>
      <c r="G551" t="b">
        <v>0</v>
      </c>
      <c r="H551" t="s">
        <v>109</v>
      </c>
      <c r="I551" t="s">
        <v>114</v>
      </c>
      <c r="J551">
        <v>0.16</v>
      </c>
      <c r="K551">
        <v>0.16669999999999999</v>
      </c>
      <c r="L551">
        <v>0.69</v>
      </c>
      <c r="M551">
        <v>0.16420000000000001</v>
      </c>
      <c r="N551">
        <v>0</v>
      </c>
      <c r="O551">
        <v>5</v>
      </c>
      <c r="P551">
        <v>5</v>
      </c>
    </row>
    <row r="552" spans="1:16" x14ac:dyDescent="0.35">
      <c r="A552">
        <v>551</v>
      </c>
      <c r="B552" s="37">
        <v>40568</v>
      </c>
      <c r="C552">
        <v>1</v>
      </c>
      <c r="D552">
        <v>0</v>
      </c>
      <c r="E552" t="s">
        <v>104</v>
      </c>
      <c r="F552">
        <v>2</v>
      </c>
      <c r="G552" t="b">
        <v>0</v>
      </c>
      <c r="H552" t="s">
        <v>109</v>
      </c>
      <c r="I552" t="s">
        <v>113</v>
      </c>
      <c r="J552">
        <v>0.16</v>
      </c>
      <c r="K552">
        <v>0.1515</v>
      </c>
      <c r="L552">
        <v>0.69</v>
      </c>
      <c r="M552">
        <v>0.22389999999999999</v>
      </c>
      <c r="N552">
        <v>0</v>
      </c>
      <c r="O552">
        <v>2</v>
      </c>
      <c r="P552">
        <v>2</v>
      </c>
    </row>
    <row r="553" spans="1:16" x14ac:dyDescent="0.35">
      <c r="A553">
        <v>552</v>
      </c>
      <c r="B553" s="37">
        <v>40568</v>
      </c>
      <c r="C553">
        <v>1</v>
      </c>
      <c r="D553">
        <v>0</v>
      </c>
      <c r="E553" t="s">
        <v>104</v>
      </c>
      <c r="F553">
        <v>4</v>
      </c>
      <c r="G553" t="b">
        <v>0</v>
      </c>
      <c r="H553" t="s">
        <v>109</v>
      </c>
      <c r="I553" t="s">
        <v>113</v>
      </c>
      <c r="J553">
        <v>0.14000000000000001</v>
      </c>
      <c r="K553">
        <v>0.16669999999999999</v>
      </c>
      <c r="L553">
        <v>0.74</v>
      </c>
      <c r="M553">
        <v>0.1045</v>
      </c>
      <c r="N553">
        <v>0</v>
      </c>
      <c r="O553">
        <v>1</v>
      </c>
      <c r="P553">
        <v>1</v>
      </c>
    </row>
    <row r="554" spans="1:16" x14ac:dyDescent="0.35">
      <c r="A554">
        <v>553</v>
      </c>
      <c r="B554" s="37">
        <v>40568</v>
      </c>
      <c r="C554">
        <v>1</v>
      </c>
      <c r="D554">
        <v>0</v>
      </c>
      <c r="E554" t="s">
        <v>104</v>
      </c>
      <c r="F554">
        <v>5</v>
      </c>
      <c r="G554" t="b">
        <v>0</v>
      </c>
      <c r="H554" t="s">
        <v>109</v>
      </c>
      <c r="I554" t="s">
        <v>113</v>
      </c>
      <c r="J554">
        <v>0.14000000000000001</v>
      </c>
      <c r="K554">
        <v>0.13639999999999999</v>
      </c>
      <c r="L554">
        <v>0.74</v>
      </c>
      <c r="M554">
        <v>0.22389999999999999</v>
      </c>
      <c r="N554">
        <v>0</v>
      </c>
      <c r="O554">
        <v>9</v>
      </c>
      <c r="P554">
        <v>9</v>
      </c>
    </row>
    <row r="555" spans="1:16" x14ac:dyDescent="0.35">
      <c r="A555">
        <v>554</v>
      </c>
      <c r="B555" s="37">
        <v>40568</v>
      </c>
      <c r="C555">
        <v>1</v>
      </c>
      <c r="D555">
        <v>0</v>
      </c>
      <c r="E555" t="s">
        <v>104</v>
      </c>
      <c r="F555">
        <v>6</v>
      </c>
      <c r="G555" t="b">
        <v>0</v>
      </c>
      <c r="H555" t="s">
        <v>109</v>
      </c>
      <c r="I555" t="s">
        <v>113</v>
      </c>
      <c r="J555">
        <v>0.16</v>
      </c>
      <c r="K555">
        <v>0.18179999999999999</v>
      </c>
      <c r="L555">
        <v>0.74</v>
      </c>
      <c r="M555">
        <v>0.1045</v>
      </c>
      <c r="N555">
        <v>1</v>
      </c>
      <c r="O555">
        <v>35</v>
      </c>
      <c r="P555">
        <v>36</v>
      </c>
    </row>
    <row r="556" spans="1:16" x14ac:dyDescent="0.35">
      <c r="A556">
        <v>555</v>
      </c>
      <c r="B556" s="37">
        <v>40568</v>
      </c>
      <c r="C556">
        <v>1</v>
      </c>
      <c r="D556">
        <v>0</v>
      </c>
      <c r="E556" t="s">
        <v>104</v>
      </c>
      <c r="F556">
        <v>7</v>
      </c>
      <c r="G556" t="b">
        <v>0</v>
      </c>
      <c r="H556" t="s">
        <v>109</v>
      </c>
      <c r="I556" t="s">
        <v>113</v>
      </c>
      <c r="J556">
        <v>0.16</v>
      </c>
      <c r="K556">
        <v>0.1515</v>
      </c>
      <c r="L556">
        <v>0.74</v>
      </c>
      <c r="M556">
        <v>0.22389999999999999</v>
      </c>
      <c r="N556">
        <v>5</v>
      </c>
      <c r="O556">
        <v>103</v>
      </c>
      <c r="P556">
        <v>108</v>
      </c>
    </row>
    <row r="557" spans="1:16" x14ac:dyDescent="0.35">
      <c r="A557">
        <v>556</v>
      </c>
      <c r="B557" s="37">
        <v>40568</v>
      </c>
      <c r="C557">
        <v>1</v>
      </c>
      <c r="D557">
        <v>0</v>
      </c>
      <c r="E557" t="s">
        <v>104</v>
      </c>
      <c r="F557">
        <v>8</v>
      </c>
      <c r="G557" t="b">
        <v>0</v>
      </c>
      <c r="H557" t="s">
        <v>109</v>
      </c>
      <c r="I557" t="s">
        <v>114</v>
      </c>
      <c r="J557">
        <v>0.16</v>
      </c>
      <c r="K557">
        <v>0.18179999999999999</v>
      </c>
      <c r="L557">
        <v>0.74</v>
      </c>
      <c r="M557">
        <v>0.1343</v>
      </c>
      <c r="N557">
        <v>5</v>
      </c>
      <c r="O557">
        <v>233</v>
      </c>
      <c r="P557">
        <v>238</v>
      </c>
    </row>
    <row r="558" spans="1:16" x14ac:dyDescent="0.35">
      <c r="A558">
        <v>557</v>
      </c>
      <c r="B558" s="37">
        <v>40568</v>
      </c>
      <c r="C558">
        <v>1</v>
      </c>
      <c r="D558">
        <v>0</v>
      </c>
      <c r="E558" t="s">
        <v>104</v>
      </c>
      <c r="F558">
        <v>9</v>
      </c>
      <c r="G558" t="b">
        <v>0</v>
      </c>
      <c r="H558" t="s">
        <v>109</v>
      </c>
      <c r="I558" t="s">
        <v>114</v>
      </c>
      <c r="J558">
        <v>0.2</v>
      </c>
      <c r="K558">
        <v>0.2273</v>
      </c>
      <c r="L558">
        <v>0.64</v>
      </c>
      <c r="M558">
        <v>8.9599999999999999E-2</v>
      </c>
      <c r="N558">
        <v>10</v>
      </c>
      <c r="O558">
        <v>134</v>
      </c>
      <c r="P558">
        <v>144</v>
      </c>
    </row>
    <row r="559" spans="1:16" x14ac:dyDescent="0.35">
      <c r="A559">
        <v>558</v>
      </c>
      <c r="B559" s="37">
        <v>40568</v>
      </c>
      <c r="C559">
        <v>1</v>
      </c>
      <c r="D559">
        <v>0</v>
      </c>
      <c r="E559" t="s">
        <v>104</v>
      </c>
      <c r="F559">
        <v>10</v>
      </c>
      <c r="G559" t="b">
        <v>0</v>
      </c>
      <c r="H559" t="s">
        <v>109</v>
      </c>
      <c r="I559" t="s">
        <v>114</v>
      </c>
      <c r="J559">
        <v>0.22</v>
      </c>
      <c r="K559">
        <v>0.2424</v>
      </c>
      <c r="L559">
        <v>0.6</v>
      </c>
      <c r="M559">
        <v>0.1045</v>
      </c>
      <c r="N559">
        <v>6</v>
      </c>
      <c r="O559">
        <v>49</v>
      </c>
      <c r="P559">
        <v>55</v>
      </c>
    </row>
    <row r="560" spans="1:16" x14ac:dyDescent="0.35">
      <c r="A560">
        <v>559</v>
      </c>
      <c r="B560" s="37">
        <v>40568</v>
      </c>
      <c r="C560">
        <v>1</v>
      </c>
      <c r="D560">
        <v>0</v>
      </c>
      <c r="E560" t="s">
        <v>104</v>
      </c>
      <c r="F560">
        <v>11</v>
      </c>
      <c r="G560" t="b">
        <v>0</v>
      </c>
      <c r="H560" t="s">
        <v>109</v>
      </c>
      <c r="I560" t="s">
        <v>114</v>
      </c>
      <c r="J560">
        <v>0.24</v>
      </c>
      <c r="K560">
        <v>0.2424</v>
      </c>
      <c r="L560">
        <v>0.6</v>
      </c>
      <c r="M560">
        <v>0.1343</v>
      </c>
      <c r="N560">
        <v>6</v>
      </c>
      <c r="O560">
        <v>55</v>
      </c>
      <c r="P560">
        <v>61</v>
      </c>
    </row>
    <row r="561" spans="1:16" x14ac:dyDescent="0.35">
      <c r="A561">
        <v>560</v>
      </c>
      <c r="B561" s="37">
        <v>40568</v>
      </c>
      <c r="C561">
        <v>1</v>
      </c>
      <c r="D561">
        <v>0</v>
      </c>
      <c r="E561" t="s">
        <v>104</v>
      </c>
      <c r="F561">
        <v>12</v>
      </c>
      <c r="G561" t="b">
        <v>0</v>
      </c>
      <c r="H561" t="s">
        <v>109</v>
      </c>
      <c r="I561" t="s">
        <v>114</v>
      </c>
      <c r="J561">
        <v>0.26</v>
      </c>
      <c r="K561">
        <v>0.28789999999999999</v>
      </c>
      <c r="L561">
        <v>0.56000000000000005</v>
      </c>
      <c r="M561">
        <v>8.9599999999999999E-2</v>
      </c>
      <c r="N561">
        <v>21</v>
      </c>
      <c r="O561">
        <v>85</v>
      </c>
      <c r="P561">
        <v>106</v>
      </c>
    </row>
    <row r="562" spans="1:16" x14ac:dyDescent="0.35">
      <c r="A562">
        <v>561</v>
      </c>
      <c r="B562" s="37">
        <v>40568</v>
      </c>
      <c r="C562">
        <v>1</v>
      </c>
      <c r="D562">
        <v>0</v>
      </c>
      <c r="E562" t="s">
        <v>104</v>
      </c>
      <c r="F562">
        <v>13</v>
      </c>
      <c r="G562" t="b">
        <v>0</v>
      </c>
      <c r="H562" t="s">
        <v>109</v>
      </c>
      <c r="I562" t="s">
        <v>114</v>
      </c>
      <c r="J562">
        <v>0.26</v>
      </c>
      <c r="K562">
        <v>0.2727</v>
      </c>
      <c r="L562">
        <v>0.56000000000000005</v>
      </c>
      <c r="M562">
        <v>0.1343</v>
      </c>
      <c r="N562">
        <v>21</v>
      </c>
      <c r="O562">
        <v>72</v>
      </c>
      <c r="P562">
        <v>93</v>
      </c>
    </row>
    <row r="563" spans="1:16" x14ac:dyDescent="0.35">
      <c r="A563">
        <v>562</v>
      </c>
      <c r="B563" s="37">
        <v>40568</v>
      </c>
      <c r="C563">
        <v>1</v>
      </c>
      <c r="D563">
        <v>0</v>
      </c>
      <c r="E563" t="s">
        <v>104</v>
      </c>
      <c r="F563">
        <v>14</v>
      </c>
      <c r="G563" t="b">
        <v>0</v>
      </c>
      <c r="H563" t="s">
        <v>109</v>
      </c>
      <c r="I563" t="s">
        <v>114</v>
      </c>
      <c r="J563">
        <v>0.3</v>
      </c>
      <c r="K563">
        <v>0.33329999999999999</v>
      </c>
      <c r="L563">
        <v>0.45</v>
      </c>
      <c r="M563">
        <v>0</v>
      </c>
      <c r="N563">
        <v>11</v>
      </c>
      <c r="O563">
        <v>57</v>
      </c>
      <c r="P563">
        <v>68</v>
      </c>
    </row>
    <row r="564" spans="1:16" x14ac:dyDescent="0.35">
      <c r="A564">
        <v>563</v>
      </c>
      <c r="B564" s="37">
        <v>40568</v>
      </c>
      <c r="C564">
        <v>1</v>
      </c>
      <c r="D564">
        <v>0</v>
      </c>
      <c r="E564" t="s">
        <v>104</v>
      </c>
      <c r="F564">
        <v>15</v>
      </c>
      <c r="G564" t="b">
        <v>0</v>
      </c>
      <c r="H564" t="s">
        <v>109</v>
      </c>
      <c r="I564" t="s">
        <v>114</v>
      </c>
      <c r="J564">
        <v>0.32</v>
      </c>
      <c r="K564">
        <v>0.34849999999999998</v>
      </c>
      <c r="L564">
        <v>0.42</v>
      </c>
      <c r="M564">
        <v>0</v>
      </c>
      <c r="N564">
        <v>21</v>
      </c>
      <c r="O564">
        <v>63</v>
      </c>
      <c r="P564">
        <v>84</v>
      </c>
    </row>
    <row r="565" spans="1:16" x14ac:dyDescent="0.35">
      <c r="A565">
        <v>564</v>
      </c>
      <c r="B565" s="37">
        <v>40568</v>
      </c>
      <c r="C565">
        <v>1</v>
      </c>
      <c r="D565">
        <v>0</v>
      </c>
      <c r="E565" t="s">
        <v>104</v>
      </c>
      <c r="F565">
        <v>16</v>
      </c>
      <c r="G565" t="b">
        <v>0</v>
      </c>
      <c r="H565" t="s">
        <v>109</v>
      </c>
      <c r="I565" t="s">
        <v>114</v>
      </c>
      <c r="J565">
        <v>0.32</v>
      </c>
      <c r="K565">
        <v>0.34849999999999998</v>
      </c>
      <c r="L565">
        <v>0.42</v>
      </c>
      <c r="M565">
        <v>0</v>
      </c>
      <c r="N565">
        <v>14</v>
      </c>
      <c r="O565">
        <v>102</v>
      </c>
      <c r="P565">
        <v>116</v>
      </c>
    </row>
    <row r="566" spans="1:16" x14ac:dyDescent="0.35">
      <c r="A566">
        <v>565</v>
      </c>
      <c r="B566" s="37">
        <v>40568</v>
      </c>
      <c r="C566">
        <v>1</v>
      </c>
      <c r="D566">
        <v>0</v>
      </c>
      <c r="E566" t="s">
        <v>104</v>
      </c>
      <c r="F566">
        <v>17</v>
      </c>
      <c r="G566" t="b">
        <v>0</v>
      </c>
      <c r="H566" t="s">
        <v>109</v>
      </c>
      <c r="I566" t="s">
        <v>113</v>
      </c>
      <c r="J566">
        <v>0.3</v>
      </c>
      <c r="K566">
        <v>0.33329999999999999</v>
      </c>
      <c r="L566">
        <v>0.45</v>
      </c>
      <c r="M566">
        <v>0</v>
      </c>
      <c r="N566">
        <v>14</v>
      </c>
      <c r="O566">
        <v>208</v>
      </c>
      <c r="P566">
        <v>222</v>
      </c>
    </row>
    <row r="567" spans="1:16" x14ac:dyDescent="0.35">
      <c r="A567">
        <v>566</v>
      </c>
      <c r="B567" s="37">
        <v>40568</v>
      </c>
      <c r="C567">
        <v>1</v>
      </c>
      <c r="D567">
        <v>0</v>
      </c>
      <c r="E567" t="s">
        <v>104</v>
      </c>
      <c r="F567">
        <v>18</v>
      </c>
      <c r="G567" t="b">
        <v>0</v>
      </c>
      <c r="H567" t="s">
        <v>109</v>
      </c>
      <c r="I567" t="s">
        <v>114</v>
      </c>
      <c r="J567">
        <v>0.3</v>
      </c>
      <c r="K567">
        <v>0.31819999999999998</v>
      </c>
      <c r="L567">
        <v>0.49</v>
      </c>
      <c r="M567">
        <v>8.9599999999999999E-2</v>
      </c>
      <c r="N567">
        <v>7</v>
      </c>
      <c r="O567">
        <v>218</v>
      </c>
      <c r="P567">
        <v>225</v>
      </c>
    </row>
    <row r="568" spans="1:16" x14ac:dyDescent="0.35">
      <c r="A568">
        <v>567</v>
      </c>
      <c r="B568" s="37">
        <v>40568</v>
      </c>
      <c r="C568">
        <v>1</v>
      </c>
      <c r="D568">
        <v>0</v>
      </c>
      <c r="E568" t="s">
        <v>104</v>
      </c>
      <c r="F568">
        <v>19</v>
      </c>
      <c r="G568" t="b">
        <v>0</v>
      </c>
      <c r="H568" t="s">
        <v>109</v>
      </c>
      <c r="I568" t="s">
        <v>114</v>
      </c>
      <c r="J568">
        <v>0.26</v>
      </c>
      <c r="K568">
        <v>0.2576</v>
      </c>
      <c r="L568">
        <v>0.65</v>
      </c>
      <c r="M568">
        <v>0.16420000000000001</v>
      </c>
      <c r="N568">
        <v>13</v>
      </c>
      <c r="O568">
        <v>133</v>
      </c>
      <c r="P568">
        <v>146</v>
      </c>
    </row>
    <row r="569" spans="1:16" x14ac:dyDescent="0.35">
      <c r="A569">
        <v>568</v>
      </c>
      <c r="B569" s="37">
        <v>40568</v>
      </c>
      <c r="C569">
        <v>1</v>
      </c>
      <c r="D569">
        <v>0</v>
      </c>
      <c r="E569" t="s">
        <v>104</v>
      </c>
      <c r="F569">
        <v>20</v>
      </c>
      <c r="G569" t="b">
        <v>0</v>
      </c>
      <c r="H569" t="s">
        <v>109</v>
      </c>
      <c r="I569" t="s">
        <v>113</v>
      </c>
      <c r="J569">
        <v>0.24</v>
      </c>
      <c r="K569">
        <v>0.2273</v>
      </c>
      <c r="L569">
        <v>0.65</v>
      </c>
      <c r="M569">
        <v>0.19400000000000001</v>
      </c>
      <c r="N569">
        <v>16</v>
      </c>
      <c r="O569">
        <v>103</v>
      </c>
      <c r="P569">
        <v>119</v>
      </c>
    </row>
    <row r="570" spans="1:16" x14ac:dyDescent="0.35">
      <c r="A570">
        <v>569</v>
      </c>
      <c r="B570" s="37">
        <v>40568</v>
      </c>
      <c r="C570">
        <v>1</v>
      </c>
      <c r="D570">
        <v>0</v>
      </c>
      <c r="E570" t="s">
        <v>104</v>
      </c>
      <c r="F570">
        <v>21</v>
      </c>
      <c r="G570" t="b">
        <v>0</v>
      </c>
      <c r="H570" t="s">
        <v>109</v>
      </c>
      <c r="I570" t="s">
        <v>113</v>
      </c>
      <c r="J570">
        <v>0.24</v>
      </c>
      <c r="K570">
        <v>0.2273</v>
      </c>
      <c r="L570">
        <v>0.65</v>
      </c>
      <c r="M570">
        <v>0.19400000000000001</v>
      </c>
      <c r="N570">
        <v>5</v>
      </c>
      <c r="O570">
        <v>40</v>
      </c>
      <c r="P570">
        <v>45</v>
      </c>
    </row>
    <row r="571" spans="1:16" x14ac:dyDescent="0.35">
      <c r="A571">
        <v>570</v>
      </c>
      <c r="B571" s="37">
        <v>40568</v>
      </c>
      <c r="C571">
        <v>1</v>
      </c>
      <c r="D571">
        <v>0</v>
      </c>
      <c r="E571" t="s">
        <v>104</v>
      </c>
      <c r="F571">
        <v>22</v>
      </c>
      <c r="G571" t="b">
        <v>0</v>
      </c>
      <c r="H571" t="s">
        <v>109</v>
      </c>
      <c r="I571" t="s">
        <v>113</v>
      </c>
      <c r="J571">
        <v>0.22</v>
      </c>
      <c r="K571">
        <v>0.2273</v>
      </c>
      <c r="L571">
        <v>0.64</v>
      </c>
      <c r="M571">
        <v>0.16420000000000001</v>
      </c>
      <c r="N571">
        <v>4</v>
      </c>
      <c r="O571">
        <v>49</v>
      </c>
      <c r="P571">
        <v>53</v>
      </c>
    </row>
    <row r="572" spans="1:16" x14ac:dyDescent="0.35">
      <c r="A572">
        <v>571</v>
      </c>
      <c r="B572" s="37">
        <v>40568</v>
      </c>
      <c r="C572">
        <v>1</v>
      </c>
      <c r="D572">
        <v>0</v>
      </c>
      <c r="E572" t="s">
        <v>104</v>
      </c>
      <c r="F572">
        <v>23</v>
      </c>
      <c r="G572" t="b">
        <v>0</v>
      </c>
      <c r="H572" t="s">
        <v>109</v>
      </c>
      <c r="I572" t="s">
        <v>114</v>
      </c>
      <c r="J572">
        <v>0.22</v>
      </c>
      <c r="K572">
        <v>0.2273</v>
      </c>
      <c r="L572">
        <v>0.64</v>
      </c>
      <c r="M572">
        <v>0.16420000000000001</v>
      </c>
      <c r="N572">
        <v>3</v>
      </c>
      <c r="O572">
        <v>37</v>
      </c>
      <c r="P572">
        <v>40</v>
      </c>
    </row>
    <row r="573" spans="1:16" x14ac:dyDescent="0.35">
      <c r="A573">
        <v>572</v>
      </c>
      <c r="B573" s="37">
        <v>40569</v>
      </c>
      <c r="C573">
        <v>1</v>
      </c>
      <c r="D573">
        <v>0</v>
      </c>
      <c r="E573" t="s">
        <v>104</v>
      </c>
      <c r="F573">
        <v>0</v>
      </c>
      <c r="G573" t="b">
        <v>0</v>
      </c>
      <c r="H573" t="s">
        <v>110</v>
      </c>
      <c r="I573" t="s">
        <v>114</v>
      </c>
      <c r="J573">
        <v>0.22</v>
      </c>
      <c r="K573">
        <v>0.2273</v>
      </c>
      <c r="L573">
        <v>0.69</v>
      </c>
      <c r="M573">
        <v>0.1343</v>
      </c>
      <c r="N573">
        <v>3</v>
      </c>
      <c r="O573">
        <v>14</v>
      </c>
      <c r="P573">
        <v>17</v>
      </c>
    </row>
    <row r="574" spans="1:16" x14ac:dyDescent="0.35">
      <c r="A574">
        <v>573</v>
      </c>
      <c r="B574" s="37">
        <v>40569</v>
      </c>
      <c r="C574">
        <v>1</v>
      </c>
      <c r="D574">
        <v>0</v>
      </c>
      <c r="E574" t="s">
        <v>104</v>
      </c>
      <c r="F574">
        <v>1</v>
      </c>
      <c r="G574" t="b">
        <v>0</v>
      </c>
      <c r="H574" t="s">
        <v>110</v>
      </c>
      <c r="I574" t="s">
        <v>114</v>
      </c>
      <c r="J574">
        <v>0.24</v>
      </c>
      <c r="K574">
        <v>0.2424</v>
      </c>
      <c r="L574">
        <v>0.65</v>
      </c>
      <c r="M574">
        <v>0.1343</v>
      </c>
      <c r="N574">
        <v>0</v>
      </c>
      <c r="O574">
        <v>5</v>
      </c>
      <c r="P574">
        <v>5</v>
      </c>
    </row>
    <row r="575" spans="1:16" x14ac:dyDescent="0.35">
      <c r="A575">
        <v>574</v>
      </c>
      <c r="B575" s="37">
        <v>40569</v>
      </c>
      <c r="C575">
        <v>1</v>
      </c>
      <c r="D575">
        <v>0</v>
      </c>
      <c r="E575" t="s">
        <v>104</v>
      </c>
      <c r="F575">
        <v>2</v>
      </c>
      <c r="G575" t="b">
        <v>0</v>
      </c>
      <c r="H575" t="s">
        <v>110</v>
      </c>
      <c r="I575" t="s">
        <v>115</v>
      </c>
      <c r="J575">
        <v>0.22</v>
      </c>
      <c r="K575">
        <v>0.2273</v>
      </c>
      <c r="L575">
        <v>0.69</v>
      </c>
      <c r="M575">
        <v>0.19400000000000001</v>
      </c>
      <c r="N575">
        <v>3</v>
      </c>
      <c r="O575">
        <v>7</v>
      </c>
      <c r="P575">
        <v>10</v>
      </c>
    </row>
    <row r="576" spans="1:16" x14ac:dyDescent="0.35">
      <c r="A576">
        <v>575</v>
      </c>
      <c r="B576" s="37">
        <v>40569</v>
      </c>
      <c r="C576">
        <v>1</v>
      </c>
      <c r="D576">
        <v>0</v>
      </c>
      <c r="E576" t="s">
        <v>104</v>
      </c>
      <c r="F576">
        <v>5</v>
      </c>
      <c r="G576" t="b">
        <v>0</v>
      </c>
      <c r="H576" t="s">
        <v>110</v>
      </c>
      <c r="I576" t="s">
        <v>115</v>
      </c>
      <c r="J576">
        <v>0.2</v>
      </c>
      <c r="K576">
        <v>0.18179999999999999</v>
      </c>
      <c r="L576">
        <v>0.86</v>
      </c>
      <c r="M576">
        <v>0.28360000000000002</v>
      </c>
      <c r="N576">
        <v>0</v>
      </c>
      <c r="O576">
        <v>1</v>
      </c>
      <c r="P576">
        <v>1</v>
      </c>
    </row>
    <row r="577" spans="1:16" x14ac:dyDescent="0.35">
      <c r="A577">
        <v>576</v>
      </c>
      <c r="B577" s="37">
        <v>40569</v>
      </c>
      <c r="C577">
        <v>1</v>
      </c>
      <c r="D577">
        <v>0</v>
      </c>
      <c r="E577" t="s">
        <v>104</v>
      </c>
      <c r="F577">
        <v>6</v>
      </c>
      <c r="G577" t="b">
        <v>0</v>
      </c>
      <c r="H577" t="s">
        <v>110</v>
      </c>
      <c r="I577" t="s">
        <v>115</v>
      </c>
      <c r="J577">
        <v>0.2</v>
      </c>
      <c r="K577">
        <v>0.18179999999999999</v>
      </c>
      <c r="L577">
        <v>0.86</v>
      </c>
      <c r="M577">
        <v>0.28360000000000002</v>
      </c>
      <c r="N577">
        <v>0</v>
      </c>
      <c r="O577">
        <v>8</v>
      </c>
      <c r="P577">
        <v>8</v>
      </c>
    </row>
    <row r="578" spans="1:16" x14ac:dyDescent="0.35">
      <c r="A578">
        <v>577</v>
      </c>
      <c r="B578" s="37">
        <v>40569</v>
      </c>
      <c r="C578">
        <v>1</v>
      </c>
      <c r="D578">
        <v>0</v>
      </c>
      <c r="E578" t="s">
        <v>104</v>
      </c>
      <c r="F578">
        <v>7</v>
      </c>
      <c r="G578" t="b">
        <v>0</v>
      </c>
      <c r="H578" t="s">
        <v>110</v>
      </c>
      <c r="I578" t="s">
        <v>115</v>
      </c>
      <c r="J578">
        <v>0.22</v>
      </c>
      <c r="K578">
        <v>0.21210000000000001</v>
      </c>
      <c r="L578">
        <v>0.87</v>
      </c>
      <c r="M578">
        <v>0.29849999999999999</v>
      </c>
      <c r="N578">
        <v>1</v>
      </c>
      <c r="O578">
        <v>29</v>
      </c>
      <c r="P578">
        <v>30</v>
      </c>
    </row>
    <row r="579" spans="1:16" x14ac:dyDescent="0.35">
      <c r="A579">
        <v>578</v>
      </c>
      <c r="B579" s="37">
        <v>40569</v>
      </c>
      <c r="C579">
        <v>1</v>
      </c>
      <c r="D579">
        <v>0</v>
      </c>
      <c r="E579" t="s">
        <v>104</v>
      </c>
      <c r="F579">
        <v>8</v>
      </c>
      <c r="G579" t="b">
        <v>0</v>
      </c>
      <c r="H579" t="s">
        <v>110</v>
      </c>
      <c r="I579" t="s">
        <v>115</v>
      </c>
      <c r="J579">
        <v>0.22</v>
      </c>
      <c r="K579">
        <v>0.21210000000000001</v>
      </c>
      <c r="L579">
        <v>0.87</v>
      </c>
      <c r="M579">
        <v>0.29849999999999999</v>
      </c>
      <c r="N579">
        <v>3</v>
      </c>
      <c r="O579">
        <v>69</v>
      </c>
      <c r="P579">
        <v>72</v>
      </c>
    </row>
    <row r="580" spans="1:16" x14ac:dyDescent="0.35">
      <c r="A580">
        <v>579</v>
      </c>
      <c r="B580" s="37">
        <v>40569</v>
      </c>
      <c r="C580">
        <v>1</v>
      </c>
      <c r="D580">
        <v>0</v>
      </c>
      <c r="E580" t="s">
        <v>104</v>
      </c>
      <c r="F580">
        <v>9</v>
      </c>
      <c r="G580" t="b">
        <v>0</v>
      </c>
      <c r="H580" t="s">
        <v>110</v>
      </c>
      <c r="I580" t="s">
        <v>115</v>
      </c>
      <c r="J580">
        <v>0.22</v>
      </c>
      <c r="K580">
        <v>0.21210000000000001</v>
      </c>
      <c r="L580">
        <v>0.87</v>
      </c>
      <c r="M580">
        <v>0.29849999999999999</v>
      </c>
      <c r="N580">
        <v>3</v>
      </c>
      <c r="O580">
        <v>55</v>
      </c>
      <c r="P580">
        <v>58</v>
      </c>
    </row>
    <row r="581" spans="1:16" x14ac:dyDescent="0.35">
      <c r="A581">
        <v>580</v>
      </c>
      <c r="B581" s="37">
        <v>40569</v>
      </c>
      <c r="C581">
        <v>1</v>
      </c>
      <c r="D581">
        <v>0</v>
      </c>
      <c r="E581" t="s">
        <v>104</v>
      </c>
      <c r="F581">
        <v>10</v>
      </c>
      <c r="G581" t="b">
        <v>0</v>
      </c>
      <c r="H581" t="s">
        <v>110</v>
      </c>
      <c r="I581" t="s">
        <v>115</v>
      </c>
      <c r="J581">
        <v>0.22</v>
      </c>
      <c r="K581">
        <v>0.21210000000000001</v>
      </c>
      <c r="L581">
        <v>0.93</v>
      </c>
      <c r="M581">
        <v>0.28360000000000002</v>
      </c>
      <c r="N581">
        <v>2</v>
      </c>
      <c r="O581">
        <v>26</v>
      </c>
      <c r="P581">
        <v>28</v>
      </c>
    </row>
    <row r="582" spans="1:16" x14ac:dyDescent="0.35">
      <c r="A582">
        <v>581</v>
      </c>
      <c r="B582" s="37">
        <v>40569</v>
      </c>
      <c r="C582">
        <v>1</v>
      </c>
      <c r="D582">
        <v>0</v>
      </c>
      <c r="E582" t="s">
        <v>104</v>
      </c>
      <c r="F582">
        <v>11</v>
      </c>
      <c r="G582" t="b">
        <v>0</v>
      </c>
      <c r="H582" t="s">
        <v>110</v>
      </c>
      <c r="I582" t="s">
        <v>115</v>
      </c>
      <c r="J582">
        <v>0.22</v>
      </c>
      <c r="K582">
        <v>0.19700000000000001</v>
      </c>
      <c r="L582">
        <v>0.93</v>
      </c>
      <c r="M582">
        <v>0.32840000000000003</v>
      </c>
      <c r="N582">
        <v>6</v>
      </c>
      <c r="O582">
        <v>35</v>
      </c>
      <c r="P582">
        <v>41</v>
      </c>
    </row>
    <row r="583" spans="1:16" x14ac:dyDescent="0.35">
      <c r="A583">
        <v>582</v>
      </c>
      <c r="B583" s="37">
        <v>40569</v>
      </c>
      <c r="C583">
        <v>1</v>
      </c>
      <c r="D583">
        <v>0</v>
      </c>
      <c r="E583" t="s">
        <v>104</v>
      </c>
      <c r="F583">
        <v>12</v>
      </c>
      <c r="G583" t="b">
        <v>0</v>
      </c>
      <c r="H583" t="s">
        <v>110</v>
      </c>
      <c r="I583" t="s">
        <v>115</v>
      </c>
      <c r="J583">
        <v>0.22</v>
      </c>
      <c r="K583">
        <v>0.19700000000000001</v>
      </c>
      <c r="L583">
        <v>0.93</v>
      </c>
      <c r="M583">
        <v>0.32840000000000003</v>
      </c>
      <c r="N583">
        <v>7</v>
      </c>
      <c r="O583">
        <v>41</v>
      </c>
      <c r="P583">
        <v>48</v>
      </c>
    </row>
    <row r="584" spans="1:16" x14ac:dyDescent="0.35">
      <c r="A584">
        <v>583</v>
      </c>
      <c r="B584" s="37">
        <v>40569</v>
      </c>
      <c r="C584">
        <v>1</v>
      </c>
      <c r="D584">
        <v>0</v>
      </c>
      <c r="E584" t="s">
        <v>104</v>
      </c>
      <c r="F584">
        <v>13</v>
      </c>
      <c r="G584" t="b">
        <v>0</v>
      </c>
      <c r="H584" t="s">
        <v>110</v>
      </c>
      <c r="I584" t="s">
        <v>115</v>
      </c>
      <c r="J584">
        <v>0.22</v>
      </c>
      <c r="K584">
        <v>0.19700000000000001</v>
      </c>
      <c r="L584">
        <v>0.93</v>
      </c>
      <c r="M584">
        <v>0.32840000000000003</v>
      </c>
      <c r="N584">
        <v>4</v>
      </c>
      <c r="O584">
        <v>43</v>
      </c>
      <c r="P584">
        <v>47</v>
      </c>
    </row>
    <row r="585" spans="1:16" x14ac:dyDescent="0.35">
      <c r="A585">
        <v>584</v>
      </c>
      <c r="B585" s="37">
        <v>40569</v>
      </c>
      <c r="C585">
        <v>1</v>
      </c>
      <c r="D585">
        <v>0</v>
      </c>
      <c r="E585" t="s">
        <v>104</v>
      </c>
      <c r="F585">
        <v>14</v>
      </c>
      <c r="G585" t="b">
        <v>0</v>
      </c>
      <c r="H585" t="s">
        <v>110</v>
      </c>
      <c r="I585" t="s">
        <v>115</v>
      </c>
      <c r="J585">
        <v>0.22</v>
      </c>
      <c r="K585">
        <v>0.19700000000000001</v>
      </c>
      <c r="L585">
        <v>0.93</v>
      </c>
      <c r="M585">
        <v>0.35820000000000002</v>
      </c>
      <c r="N585">
        <v>0</v>
      </c>
      <c r="O585">
        <v>36</v>
      </c>
      <c r="P585">
        <v>36</v>
      </c>
    </row>
    <row r="586" spans="1:16" x14ac:dyDescent="0.35">
      <c r="A586">
        <v>585</v>
      </c>
      <c r="B586" s="37">
        <v>40569</v>
      </c>
      <c r="C586">
        <v>1</v>
      </c>
      <c r="D586">
        <v>0</v>
      </c>
      <c r="E586" t="s">
        <v>104</v>
      </c>
      <c r="F586">
        <v>15</v>
      </c>
      <c r="G586" t="b">
        <v>0</v>
      </c>
      <c r="H586" t="s">
        <v>110</v>
      </c>
      <c r="I586" t="s">
        <v>115</v>
      </c>
      <c r="J586">
        <v>0.22</v>
      </c>
      <c r="K586">
        <v>0.18179999999999999</v>
      </c>
      <c r="L586">
        <v>0.93</v>
      </c>
      <c r="M586">
        <v>0.4627</v>
      </c>
      <c r="N586">
        <v>1</v>
      </c>
      <c r="O586">
        <v>42</v>
      </c>
      <c r="P586">
        <v>43</v>
      </c>
    </row>
    <row r="587" spans="1:16" x14ac:dyDescent="0.35">
      <c r="A587">
        <v>586</v>
      </c>
      <c r="B587" s="37">
        <v>40569</v>
      </c>
      <c r="C587">
        <v>1</v>
      </c>
      <c r="D587">
        <v>0</v>
      </c>
      <c r="E587" t="s">
        <v>104</v>
      </c>
      <c r="F587">
        <v>16</v>
      </c>
      <c r="G587" t="b">
        <v>0</v>
      </c>
      <c r="H587" t="s">
        <v>110</v>
      </c>
      <c r="I587" t="s">
        <v>116</v>
      </c>
      <c r="J587">
        <v>0.22</v>
      </c>
      <c r="K587">
        <v>0.19700000000000001</v>
      </c>
      <c r="L587">
        <v>0.93</v>
      </c>
      <c r="M587">
        <v>0.32840000000000003</v>
      </c>
      <c r="N587">
        <v>1</v>
      </c>
      <c r="O587">
        <v>35</v>
      </c>
      <c r="P587">
        <v>36</v>
      </c>
    </row>
    <row r="588" spans="1:16" x14ac:dyDescent="0.35">
      <c r="A588">
        <v>587</v>
      </c>
      <c r="B588" s="37">
        <v>40569</v>
      </c>
      <c r="C588">
        <v>1</v>
      </c>
      <c r="D588">
        <v>0</v>
      </c>
      <c r="E588" t="s">
        <v>104</v>
      </c>
      <c r="F588">
        <v>17</v>
      </c>
      <c r="G588" t="b">
        <v>0</v>
      </c>
      <c r="H588" t="s">
        <v>110</v>
      </c>
      <c r="I588" t="s">
        <v>115</v>
      </c>
      <c r="J588">
        <v>0.2</v>
      </c>
      <c r="K588">
        <v>0.18179999999999999</v>
      </c>
      <c r="L588">
        <v>0.93</v>
      </c>
      <c r="M588">
        <v>0.35820000000000002</v>
      </c>
      <c r="N588">
        <v>0</v>
      </c>
      <c r="O588">
        <v>26</v>
      </c>
      <c r="P588">
        <v>26</v>
      </c>
    </row>
    <row r="589" spans="1:16" x14ac:dyDescent="0.35">
      <c r="A589">
        <v>588</v>
      </c>
      <c r="B589" s="37">
        <v>40570</v>
      </c>
      <c r="C589">
        <v>1</v>
      </c>
      <c r="D589">
        <v>0</v>
      </c>
      <c r="E589" t="s">
        <v>104</v>
      </c>
      <c r="F589">
        <v>16</v>
      </c>
      <c r="G589" t="b">
        <v>0</v>
      </c>
      <c r="H589" t="s">
        <v>111</v>
      </c>
      <c r="I589" t="s">
        <v>113</v>
      </c>
      <c r="J589">
        <v>0.22</v>
      </c>
      <c r="K589">
        <v>0.2273</v>
      </c>
      <c r="L589">
        <v>0.55000000000000004</v>
      </c>
      <c r="M589">
        <v>0.19400000000000001</v>
      </c>
      <c r="N589">
        <v>1</v>
      </c>
      <c r="O589">
        <v>23</v>
      </c>
      <c r="P589">
        <v>24</v>
      </c>
    </row>
    <row r="590" spans="1:16" x14ac:dyDescent="0.35">
      <c r="A590">
        <v>589</v>
      </c>
      <c r="B590" s="37">
        <v>40570</v>
      </c>
      <c r="C590">
        <v>1</v>
      </c>
      <c r="D590">
        <v>0</v>
      </c>
      <c r="E590" t="s">
        <v>104</v>
      </c>
      <c r="F590">
        <v>17</v>
      </c>
      <c r="G590" t="b">
        <v>0</v>
      </c>
      <c r="H590" t="s">
        <v>111</v>
      </c>
      <c r="I590" t="s">
        <v>113</v>
      </c>
      <c r="J590">
        <v>0.22</v>
      </c>
      <c r="K590">
        <v>0.2424</v>
      </c>
      <c r="L590">
        <v>0.55000000000000004</v>
      </c>
      <c r="M590">
        <v>0.1045</v>
      </c>
      <c r="N590">
        <v>2</v>
      </c>
      <c r="O590">
        <v>82</v>
      </c>
      <c r="P590">
        <v>84</v>
      </c>
    </row>
    <row r="591" spans="1:16" x14ac:dyDescent="0.35">
      <c r="A591">
        <v>590</v>
      </c>
      <c r="B591" s="37">
        <v>40570</v>
      </c>
      <c r="C591">
        <v>1</v>
      </c>
      <c r="D591">
        <v>0</v>
      </c>
      <c r="E591" t="s">
        <v>104</v>
      </c>
      <c r="F591">
        <v>18</v>
      </c>
      <c r="G591" t="b">
        <v>0</v>
      </c>
      <c r="H591" t="s">
        <v>111</v>
      </c>
      <c r="I591" t="s">
        <v>113</v>
      </c>
      <c r="J591">
        <v>0.2</v>
      </c>
      <c r="K591">
        <v>0.2273</v>
      </c>
      <c r="L591">
        <v>0.69</v>
      </c>
      <c r="M591">
        <v>8.9599999999999999E-2</v>
      </c>
      <c r="N591">
        <v>3</v>
      </c>
      <c r="O591">
        <v>101</v>
      </c>
      <c r="P591">
        <v>104</v>
      </c>
    </row>
    <row r="592" spans="1:16" x14ac:dyDescent="0.35">
      <c r="A592">
        <v>591</v>
      </c>
      <c r="B592" s="37">
        <v>40570</v>
      </c>
      <c r="C592">
        <v>1</v>
      </c>
      <c r="D592">
        <v>0</v>
      </c>
      <c r="E592" t="s">
        <v>104</v>
      </c>
      <c r="F592">
        <v>19</v>
      </c>
      <c r="G592" t="b">
        <v>0</v>
      </c>
      <c r="H592" t="s">
        <v>111</v>
      </c>
      <c r="I592" t="s">
        <v>113</v>
      </c>
      <c r="J592">
        <v>0.2</v>
      </c>
      <c r="K592">
        <v>0.2273</v>
      </c>
      <c r="L592">
        <v>0.69</v>
      </c>
      <c r="M592">
        <v>8.9599999999999999E-2</v>
      </c>
      <c r="N592">
        <v>3</v>
      </c>
      <c r="O592">
        <v>76</v>
      </c>
      <c r="P592">
        <v>79</v>
      </c>
    </row>
    <row r="593" spans="1:16" x14ac:dyDescent="0.35">
      <c r="A593">
        <v>592</v>
      </c>
      <c r="B593" s="37">
        <v>40570</v>
      </c>
      <c r="C593">
        <v>1</v>
      </c>
      <c r="D593">
        <v>0</v>
      </c>
      <c r="E593" t="s">
        <v>104</v>
      </c>
      <c r="F593">
        <v>20</v>
      </c>
      <c r="G593" t="b">
        <v>0</v>
      </c>
      <c r="H593" t="s">
        <v>111</v>
      </c>
      <c r="I593" t="s">
        <v>113</v>
      </c>
      <c r="J593">
        <v>0.18</v>
      </c>
      <c r="K593">
        <v>0.21210000000000001</v>
      </c>
      <c r="L593">
        <v>0.74</v>
      </c>
      <c r="M593">
        <v>8.9599999999999999E-2</v>
      </c>
      <c r="N593">
        <v>4</v>
      </c>
      <c r="O593">
        <v>55</v>
      </c>
      <c r="P593">
        <v>59</v>
      </c>
    </row>
    <row r="594" spans="1:16" x14ac:dyDescent="0.35">
      <c r="A594">
        <v>593</v>
      </c>
      <c r="B594" s="37">
        <v>40570</v>
      </c>
      <c r="C594">
        <v>1</v>
      </c>
      <c r="D594">
        <v>0</v>
      </c>
      <c r="E594" t="s">
        <v>104</v>
      </c>
      <c r="F594">
        <v>21</v>
      </c>
      <c r="G594" t="b">
        <v>0</v>
      </c>
      <c r="H594" t="s">
        <v>111</v>
      </c>
      <c r="I594" t="s">
        <v>113</v>
      </c>
      <c r="J594">
        <v>0.18</v>
      </c>
      <c r="K594">
        <v>0.21210000000000001</v>
      </c>
      <c r="L594">
        <v>0.74</v>
      </c>
      <c r="M594">
        <v>8.9599999999999999E-2</v>
      </c>
      <c r="N594">
        <v>2</v>
      </c>
      <c r="O594">
        <v>36</v>
      </c>
      <c r="P594">
        <v>38</v>
      </c>
    </row>
    <row r="595" spans="1:16" x14ac:dyDescent="0.35">
      <c r="A595">
        <v>594</v>
      </c>
      <c r="B595" s="37">
        <v>40570</v>
      </c>
      <c r="C595">
        <v>1</v>
      </c>
      <c r="D595">
        <v>0</v>
      </c>
      <c r="E595" t="s">
        <v>104</v>
      </c>
      <c r="F595">
        <v>22</v>
      </c>
      <c r="G595" t="b">
        <v>0</v>
      </c>
      <c r="H595" t="s">
        <v>111</v>
      </c>
      <c r="I595" t="s">
        <v>113</v>
      </c>
      <c r="J595">
        <v>0.18</v>
      </c>
      <c r="K595">
        <v>0.21210000000000001</v>
      </c>
      <c r="L595">
        <v>0.74</v>
      </c>
      <c r="M595">
        <v>8.9599999999999999E-2</v>
      </c>
      <c r="N595">
        <v>0</v>
      </c>
      <c r="O595">
        <v>27</v>
      </c>
      <c r="P595">
        <v>27</v>
      </c>
    </row>
    <row r="596" spans="1:16" x14ac:dyDescent="0.35">
      <c r="A596">
        <v>595</v>
      </c>
      <c r="B596" s="37">
        <v>40570</v>
      </c>
      <c r="C596">
        <v>1</v>
      </c>
      <c r="D596">
        <v>0</v>
      </c>
      <c r="E596" t="s">
        <v>104</v>
      </c>
      <c r="F596">
        <v>23</v>
      </c>
      <c r="G596" t="b">
        <v>0</v>
      </c>
      <c r="H596" t="s">
        <v>111</v>
      </c>
      <c r="I596" t="s">
        <v>113</v>
      </c>
      <c r="J596">
        <v>0.18</v>
      </c>
      <c r="K596">
        <v>0.19700000000000001</v>
      </c>
      <c r="L596">
        <v>0.8</v>
      </c>
      <c r="M596">
        <v>0.16420000000000001</v>
      </c>
      <c r="N596">
        <v>0</v>
      </c>
      <c r="O596">
        <v>16</v>
      </c>
      <c r="P596">
        <v>16</v>
      </c>
    </row>
    <row r="597" spans="1:16" x14ac:dyDescent="0.35">
      <c r="A597">
        <v>596</v>
      </c>
      <c r="B597" s="37">
        <v>40571</v>
      </c>
      <c r="C597">
        <v>1</v>
      </c>
      <c r="D597">
        <v>0</v>
      </c>
      <c r="E597" t="s">
        <v>104</v>
      </c>
      <c r="F597">
        <v>0</v>
      </c>
      <c r="G597" t="b">
        <v>0</v>
      </c>
      <c r="H597" t="s">
        <v>112</v>
      </c>
      <c r="I597" t="s">
        <v>114</v>
      </c>
      <c r="J597">
        <v>0.2</v>
      </c>
      <c r="K597">
        <v>0.21210000000000001</v>
      </c>
      <c r="L597">
        <v>0.75</v>
      </c>
      <c r="M597">
        <v>0.1343</v>
      </c>
      <c r="N597">
        <v>0</v>
      </c>
      <c r="O597">
        <v>9</v>
      </c>
      <c r="P597">
        <v>9</v>
      </c>
    </row>
    <row r="598" spans="1:16" x14ac:dyDescent="0.35">
      <c r="A598">
        <v>597</v>
      </c>
      <c r="B598" s="37">
        <v>40571</v>
      </c>
      <c r="C598">
        <v>1</v>
      </c>
      <c r="D598">
        <v>0</v>
      </c>
      <c r="E598" t="s">
        <v>104</v>
      </c>
      <c r="F598">
        <v>1</v>
      </c>
      <c r="G598" t="b">
        <v>0</v>
      </c>
      <c r="H598" t="s">
        <v>112</v>
      </c>
      <c r="I598" t="s">
        <v>114</v>
      </c>
      <c r="J598">
        <v>0.2</v>
      </c>
      <c r="K598">
        <v>0.21210000000000001</v>
      </c>
      <c r="L598">
        <v>0.75</v>
      </c>
      <c r="M598">
        <v>0.1343</v>
      </c>
      <c r="N598">
        <v>1</v>
      </c>
      <c r="O598">
        <v>2</v>
      </c>
      <c r="P598">
        <v>3</v>
      </c>
    </row>
    <row r="599" spans="1:16" x14ac:dyDescent="0.35">
      <c r="A599">
        <v>598</v>
      </c>
      <c r="B599" s="37">
        <v>40571</v>
      </c>
      <c r="C599">
        <v>1</v>
      </c>
      <c r="D599">
        <v>0</v>
      </c>
      <c r="E599" t="s">
        <v>104</v>
      </c>
      <c r="F599">
        <v>2</v>
      </c>
      <c r="G599" t="b">
        <v>0</v>
      </c>
      <c r="H599" t="s">
        <v>112</v>
      </c>
      <c r="I599" t="s">
        <v>114</v>
      </c>
      <c r="J599">
        <v>0.2</v>
      </c>
      <c r="K599">
        <v>0.21210000000000001</v>
      </c>
      <c r="L599">
        <v>0.75</v>
      </c>
      <c r="M599">
        <v>0.16420000000000001</v>
      </c>
      <c r="N599">
        <v>0</v>
      </c>
      <c r="O599">
        <v>2</v>
      </c>
      <c r="P599">
        <v>2</v>
      </c>
    </row>
    <row r="600" spans="1:16" x14ac:dyDescent="0.35">
      <c r="A600">
        <v>599</v>
      </c>
      <c r="B600" s="37">
        <v>40571</v>
      </c>
      <c r="C600">
        <v>1</v>
      </c>
      <c r="D600">
        <v>0</v>
      </c>
      <c r="E600" t="s">
        <v>104</v>
      </c>
      <c r="F600">
        <v>3</v>
      </c>
      <c r="G600" t="b">
        <v>0</v>
      </c>
      <c r="H600" t="s">
        <v>112</v>
      </c>
      <c r="I600" t="s">
        <v>114</v>
      </c>
      <c r="J600">
        <v>0.2</v>
      </c>
      <c r="K600">
        <v>0.2273</v>
      </c>
      <c r="L600">
        <v>0.75</v>
      </c>
      <c r="M600">
        <v>0.1045</v>
      </c>
      <c r="N600">
        <v>1</v>
      </c>
      <c r="O600">
        <v>0</v>
      </c>
      <c r="P600">
        <v>1</v>
      </c>
    </row>
    <row r="601" spans="1:16" x14ac:dyDescent="0.35">
      <c r="A601">
        <v>600</v>
      </c>
      <c r="B601" s="37">
        <v>40571</v>
      </c>
      <c r="C601">
        <v>1</v>
      </c>
      <c r="D601">
        <v>0</v>
      </c>
      <c r="E601" t="s">
        <v>104</v>
      </c>
      <c r="F601">
        <v>5</v>
      </c>
      <c r="G601" t="b">
        <v>0</v>
      </c>
      <c r="H601" t="s">
        <v>112</v>
      </c>
      <c r="I601" t="s">
        <v>114</v>
      </c>
      <c r="J601">
        <v>0.18</v>
      </c>
      <c r="K601">
        <v>0.21210000000000001</v>
      </c>
      <c r="L601">
        <v>0.8</v>
      </c>
      <c r="M601">
        <v>0.1045</v>
      </c>
      <c r="N601">
        <v>0</v>
      </c>
      <c r="O601">
        <v>4</v>
      </c>
      <c r="P601">
        <v>4</v>
      </c>
    </row>
    <row r="602" spans="1:16" x14ac:dyDescent="0.35">
      <c r="A602">
        <v>601</v>
      </c>
      <c r="B602" s="37">
        <v>40571</v>
      </c>
      <c r="C602">
        <v>1</v>
      </c>
      <c r="D602">
        <v>0</v>
      </c>
      <c r="E602" t="s">
        <v>104</v>
      </c>
      <c r="F602">
        <v>6</v>
      </c>
      <c r="G602" t="b">
        <v>0</v>
      </c>
      <c r="H602" t="s">
        <v>112</v>
      </c>
      <c r="I602" t="s">
        <v>114</v>
      </c>
      <c r="J602">
        <v>0.18</v>
      </c>
      <c r="K602">
        <v>0.19700000000000001</v>
      </c>
      <c r="L602">
        <v>0.8</v>
      </c>
      <c r="M602">
        <v>0.1343</v>
      </c>
      <c r="N602">
        <v>0</v>
      </c>
      <c r="O602">
        <v>16</v>
      </c>
      <c r="P602">
        <v>16</v>
      </c>
    </row>
    <row r="603" spans="1:16" x14ac:dyDescent="0.35">
      <c r="A603">
        <v>602</v>
      </c>
      <c r="B603" s="37">
        <v>40571</v>
      </c>
      <c r="C603">
        <v>1</v>
      </c>
      <c r="D603">
        <v>0</v>
      </c>
      <c r="E603" t="s">
        <v>104</v>
      </c>
      <c r="F603">
        <v>7</v>
      </c>
      <c r="G603" t="b">
        <v>0</v>
      </c>
      <c r="H603" t="s">
        <v>112</v>
      </c>
      <c r="I603" t="s">
        <v>114</v>
      </c>
      <c r="J603">
        <v>0.16</v>
      </c>
      <c r="K603">
        <v>0.19700000000000001</v>
      </c>
      <c r="L603">
        <v>0.86</v>
      </c>
      <c r="M603">
        <v>8.9599999999999999E-2</v>
      </c>
      <c r="N603">
        <v>2</v>
      </c>
      <c r="O603">
        <v>58</v>
      </c>
      <c r="P603">
        <v>60</v>
      </c>
    </row>
    <row r="604" spans="1:16" x14ac:dyDescent="0.35">
      <c r="A604">
        <v>603</v>
      </c>
      <c r="B604" s="37">
        <v>40571</v>
      </c>
      <c r="C604">
        <v>1</v>
      </c>
      <c r="D604">
        <v>0</v>
      </c>
      <c r="E604" t="s">
        <v>104</v>
      </c>
      <c r="F604">
        <v>8</v>
      </c>
      <c r="G604" t="b">
        <v>0</v>
      </c>
      <c r="H604" t="s">
        <v>112</v>
      </c>
      <c r="I604" t="s">
        <v>114</v>
      </c>
      <c r="J604">
        <v>0.16</v>
      </c>
      <c r="K604">
        <v>0.19700000000000001</v>
      </c>
      <c r="L604">
        <v>0.86</v>
      </c>
      <c r="M604">
        <v>8.9599999999999999E-2</v>
      </c>
      <c r="N604">
        <v>2</v>
      </c>
      <c r="O604">
        <v>155</v>
      </c>
      <c r="P604">
        <v>157</v>
      </c>
    </row>
    <row r="605" spans="1:16" x14ac:dyDescent="0.35">
      <c r="A605">
        <v>604</v>
      </c>
      <c r="B605" s="37">
        <v>40571</v>
      </c>
      <c r="C605">
        <v>1</v>
      </c>
      <c r="D605">
        <v>0</v>
      </c>
      <c r="E605" t="s">
        <v>104</v>
      </c>
      <c r="F605">
        <v>9</v>
      </c>
      <c r="G605" t="b">
        <v>0</v>
      </c>
      <c r="H605" t="s">
        <v>112</v>
      </c>
      <c r="I605" t="s">
        <v>115</v>
      </c>
      <c r="J605">
        <v>0.18</v>
      </c>
      <c r="K605">
        <v>0.21210000000000001</v>
      </c>
      <c r="L605">
        <v>0.86</v>
      </c>
      <c r="M605">
        <v>8.9599999999999999E-2</v>
      </c>
      <c r="N605">
        <v>6</v>
      </c>
      <c r="O605">
        <v>95</v>
      </c>
      <c r="P605">
        <v>101</v>
      </c>
    </row>
    <row r="606" spans="1:16" x14ac:dyDescent="0.35">
      <c r="A606">
        <v>605</v>
      </c>
      <c r="B606" s="37">
        <v>40571</v>
      </c>
      <c r="C606">
        <v>1</v>
      </c>
      <c r="D606">
        <v>0</v>
      </c>
      <c r="E606" t="s">
        <v>104</v>
      </c>
      <c r="F606">
        <v>10</v>
      </c>
      <c r="G606" t="b">
        <v>0</v>
      </c>
      <c r="H606" t="s">
        <v>112</v>
      </c>
      <c r="I606" t="s">
        <v>115</v>
      </c>
      <c r="J606">
        <v>0.18</v>
      </c>
      <c r="K606">
        <v>0.21210000000000001</v>
      </c>
      <c r="L606">
        <v>0.86</v>
      </c>
      <c r="M606">
        <v>0.1045</v>
      </c>
      <c r="N606">
        <v>0</v>
      </c>
      <c r="O606">
        <v>49</v>
      </c>
      <c r="P606">
        <v>49</v>
      </c>
    </row>
    <row r="607" spans="1:16" x14ac:dyDescent="0.35">
      <c r="A607">
        <v>606</v>
      </c>
      <c r="B607" s="37">
        <v>40571</v>
      </c>
      <c r="C607">
        <v>1</v>
      </c>
      <c r="D607">
        <v>0</v>
      </c>
      <c r="E607" t="s">
        <v>104</v>
      </c>
      <c r="F607">
        <v>11</v>
      </c>
      <c r="G607" t="b">
        <v>0</v>
      </c>
      <c r="H607" t="s">
        <v>112</v>
      </c>
      <c r="I607" t="s">
        <v>115</v>
      </c>
      <c r="J607">
        <v>0.18</v>
      </c>
      <c r="K607">
        <v>0.21210000000000001</v>
      </c>
      <c r="L607">
        <v>0.93</v>
      </c>
      <c r="M607">
        <v>0.1045</v>
      </c>
      <c r="N607">
        <v>0</v>
      </c>
      <c r="O607">
        <v>30</v>
      </c>
      <c r="P607">
        <v>30</v>
      </c>
    </row>
    <row r="608" spans="1:16" x14ac:dyDescent="0.35">
      <c r="A608">
        <v>607</v>
      </c>
      <c r="B608" s="37">
        <v>40571</v>
      </c>
      <c r="C608">
        <v>1</v>
      </c>
      <c r="D608">
        <v>0</v>
      </c>
      <c r="E608" t="s">
        <v>104</v>
      </c>
      <c r="F608">
        <v>12</v>
      </c>
      <c r="G608" t="b">
        <v>0</v>
      </c>
      <c r="H608" t="s">
        <v>112</v>
      </c>
      <c r="I608" t="s">
        <v>115</v>
      </c>
      <c r="J608">
        <v>0.18</v>
      </c>
      <c r="K608">
        <v>0.21210000000000001</v>
      </c>
      <c r="L608">
        <v>0.93</v>
      </c>
      <c r="M608">
        <v>0.1045</v>
      </c>
      <c r="N608">
        <v>1</v>
      </c>
      <c r="O608">
        <v>28</v>
      </c>
      <c r="P608">
        <v>29</v>
      </c>
    </row>
    <row r="609" spans="1:16" x14ac:dyDescent="0.35">
      <c r="A609">
        <v>608</v>
      </c>
      <c r="B609" s="37">
        <v>40571</v>
      </c>
      <c r="C609">
        <v>1</v>
      </c>
      <c r="D609">
        <v>0</v>
      </c>
      <c r="E609" t="s">
        <v>104</v>
      </c>
      <c r="F609">
        <v>13</v>
      </c>
      <c r="G609" t="b">
        <v>0</v>
      </c>
      <c r="H609" t="s">
        <v>112</v>
      </c>
      <c r="I609" t="s">
        <v>115</v>
      </c>
      <c r="J609">
        <v>0.18</v>
      </c>
      <c r="K609">
        <v>0.21210000000000001</v>
      </c>
      <c r="L609">
        <v>0.93</v>
      </c>
      <c r="M609">
        <v>0.1045</v>
      </c>
      <c r="N609">
        <v>0</v>
      </c>
      <c r="O609">
        <v>31</v>
      </c>
      <c r="P609">
        <v>31</v>
      </c>
    </row>
    <row r="610" spans="1:16" x14ac:dyDescent="0.35">
      <c r="A610">
        <v>609</v>
      </c>
      <c r="B610" s="37">
        <v>40571</v>
      </c>
      <c r="C610">
        <v>1</v>
      </c>
      <c r="D610">
        <v>0</v>
      </c>
      <c r="E610" t="s">
        <v>104</v>
      </c>
      <c r="F610">
        <v>14</v>
      </c>
      <c r="G610" t="b">
        <v>0</v>
      </c>
      <c r="H610" t="s">
        <v>112</v>
      </c>
      <c r="I610" t="s">
        <v>115</v>
      </c>
      <c r="J610">
        <v>0.22</v>
      </c>
      <c r="K610">
        <v>0.2727</v>
      </c>
      <c r="L610">
        <v>0.8</v>
      </c>
      <c r="M610">
        <v>0</v>
      </c>
      <c r="N610">
        <v>2</v>
      </c>
      <c r="O610">
        <v>36</v>
      </c>
      <c r="P610">
        <v>38</v>
      </c>
    </row>
    <row r="611" spans="1:16" x14ac:dyDescent="0.35">
      <c r="A611">
        <v>610</v>
      </c>
      <c r="B611" s="37">
        <v>40571</v>
      </c>
      <c r="C611">
        <v>1</v>
      </c>
      <c r="D611">
        <v>0</v>
      </c>
      <c r="E611" t="s">
        <v>104</v>
      </c>
      <c r="F611">
        <v>15</v>
      </c>
      <c r="G611" t="b">
        <v>0</v>
      </c>
      <c r="H611" t="s">
        <v>112</v>
      </c>
      <c r="I611" t="s">
        <v>114</v>
      </c>
      <c r="J611">
        <v>0.2</v>
      </c>
      <c r="K611">
        <v>0.2576</v>
      </c>
      <c r="L611">
        <v>0.86</v>
      </c>
      <c r="M611">
        <v>0</v>
      </c>
      <c r="N611">
        <v>1</v>
      </c>
      <c r="O611">
        <v>40</v>
      </c>
      <c r="P611">
        <v>41</v>
      </c>
    </row>
    <row r="612" spans="1:16" x14ac:dyDescent="0.35">
      <c r="A612">
        <v>611</v>
      </c>
      <c r="B612" s="37">
        <v>40571</v>
      </c>
      <c r="C612">
        <v>1</v>
      </c>
      <c r="D612">
        <v>0</v>
      </c>
      <c r="E612" t="s">
        <v>104</v>
      </c>
      <c r="F612">
        <v>16</v>
      </c>
      <c r="G612" t="b">
        <v>0</v>
      </c>
      <c r="H612" t="s">
        <v>112</v>
      </c>
      <c r="I612" t="s">
        <v>113</v>
      </c>
      <c r="J612">
        <v>0.22</v>
      </c>
      <c r="K612">
        <v>0.2727</v>
      </c>
      <c r="L612">
        <v>0.8</v>
      </c>
      <c r="M612">
        <v>0</v>
      </c>
      <c r="N612">
        <v>10</v>
      </c>
      <c r="O612">
        <v>70</v>
      </c>
      <c r="P612">
        <v>80</v>
      </c>
    </row>
    <row r="613" spans="1:16" x14ac:dyDescent="0.35">
      <c r="A613">
        <v>612</v>
      </c>
      <c r="B613" s="37">
        <v>40571</v>
      </c>
      <c r="C613">
        <v>1</v>
      </c>
      <c r="D613">
        <v>0</v>
      </c>
      <c r="E613" t="s">
        <v>104</v>
      </c>
      <c r="F613">
        <v>17</v>
      </c>
      <c r="G613" t="b">
        <v>0</v>
      </c>
      <c r="H613" t="s">
        <v>112</v>
      </c>
      <c r="I613" t="s">
        <v>113</v>
      </c>
      <c r="J613">
        <v>0.24</v>
      </c>
      <c r="K613">
        <v>0.2424</v>
      </c>
      <c r="L613">
        <v>0.75</v>
      </c>
      <c r="M613">
        <v>0.1343</v>
      </c>
      <c r="N613">
        <v>2</v>
      </c>
      <c r="O613">
        <v>147</v>
      </c>
      <c r="P613">
        <v>149</v>
      </c>
    </row>
    <row r="614" spans="1:16" x14ac:dyDescent="0.35">
      <c r="A614">
        <v>613</v>
      </c>
      <c r="B614" s="37">
        <v>40571</v>
      </c>
      <c r="C614">
        <v>1</v>
      </c>
      <c r="D614">
        <v>0</v>
      </c>
      <c r="E614" t="s">
        <v>104</v>
      </c>
      <c r="F614">
        <v>18</v>
      </c>
      <c r="G614" t="b">
        <v>0</v>
      </c>
      <c r="H614" t="s">
        <v>112</v>
      </c>
      <c r="I614" t="s">
        <v>113</v>
      </c>
      <c r="J614">
        <v>0.24</v>
      </c>
      <c r="K614">
        <v>0.2273</v>
      </c>
      <c r="L614">
        <v>0.75</v>
      </c>
      <c r="M614">
        <v>0.19400000000000001</v>
      </c>
      <c r="N614">
        <v>2</v>
      </c>
      <c r="O614">
        <v>107</v>
      </c>
      <c r="P614">
        <v>109</v>
      </c>
    </row>
    <row r="615" spans="1:16" x14ac:dyDescent="0.35">
      <c r="A615">
        <v>614</v>
      </c>
      <c r="B615" s="37">
        <v>40571</v>
      </c>
      <c r="C615">
        <v>1</v>
      </c>
      <c r="D615">
        <v>0</v>
      </c>
      <c r="E615" t="s">
        <v>104</v>
      </c>
      <c r="F615">
        <v>19</v>
      </c>
      <c r="G615" t="b">
        <v>0</v>
      </c>
      <c r="H615" t="s">
        <v>112</v>
      </c>
      <c r="I615" t="s">
        <v>114</v>
      </c>
      <c r="J615">
        <v>0.24</v>
      </c>
      <c r="K615">
        <v>0.2424</v>
      </c>
      <c r="L615">
        <v>0.75</v>
      </c>
      <c r="M615">
        <v>0.1343</v>
      </c>
      <c r="N615">
        <v>5</v>
      </c>
      <c r="O615">
        <v>84</v>
      </c>
      <c r="P615">
        <v>89</v>
      </c>
    </row>
    <row r="616" spans="1:16" x14ac:dyDescent="0.35">
      <c r="A616">
        <v>615</v>
      </c>
      <c r="B616" s="37">
        <v>40571</v>
      </c>
      <c r="C616">
        <v>1</v>
      </c>
      <c r="D616">
        <v>0</v>
      </c>
      <c r="E616" t="s">
        <v>104</v>
      </c>
      <c r="F616">
        <v>20</v>
      </c>
      <c r="G616" t="b">
        <v>0</v>
      </c>
      <c r="H616" t="s">
        <v>112</v>
      </c>
      <c r="I616" t="s">
        <v>114</v>
      </c>
      <c r="J616">
        <v>0.24</v>
      </c>
      <c r="K616">
        <v>0.2273</v>
      </c>
      <c r="L616">
        <v>0.7</v>
      </c>
      <c r="M616">
        <v>0.19400000000000001</v>
      </c>
      <c r="N616">
        <v>1</v>
      </c>
      <c r="O616">
        <v>61</v>
      </c>
      <c r="P616">
        <v>62</v>
      </c>
    </row>
    <row r="617" spans="1:16" x14ac:dyDescent="0.35">
      <c r="A617">
        <v>616</v>
      </c>
      <c r="B617" s="37">
        <v>40571</v>
      </c>
      <c r="C617">
        <v>1</v>
      </c>
      <c r="D617">
        <v>0</v>
      </c>
      <c r="E617" t="s">
        <v>104</v>
      </c>
      <c r="F617">
        <v>21</v>
      </c>
      <c r="G617" t="b">
        <v>0</v>
      </c>
      <c r="H617" t="s">
        <v>112</v>
      </c>
      <c r="I617" t="s">
        <v>114</v>
      </c>
      <c r="J617">
        <v>0.22</v>
      </c>
      <c r="K617">
        <v>0.2273</v>
      </c>
      <c r="L617">
        <v>0.75</v>
      </c>
      <c r="M617">
        <v>0.1343</v>
      </c>
      <c r="N617">
        <v>1</v>
      </c>
      <c r="O617">
        <v>57</v>
      </c>
      <c r="P617">
        <v>58</v>
      </c>
    </row>
    <row r="618" spans="1:16" x14ac:dyDescent="0.35">
      <c r="A618">
        <v>617</v>
      </c>
      <c r="B618" s="37">
        <v>40571</v>
      </c>
      <c r="C618">
        <v>1</v>
      </c>
      <c r="D618">
        <v>0</v>
      </c>
      <c r="E618" t="s">
        <v>104</v>
      </c>
      <c r="F618">
        <v>22</v>
      </c>
      <c r="G618" t="b">
        <v>0</v>
      </c>
      <c r="H618" t="s">
        <v>112</v>
      </c>
      <c r="I618" t="s">
        <v>113</v>
      </c>
      <c r="J618">
        <v>0.24</v>
      </c>
      <c r="K618">
        <v>0.21210000000000001</v>
      </c>
      <c r="L618">
        <v>0.65</v>
      </c>
      <c r="M618">
        <v>0.35820000000000002</v>
      </c>
      <c r="N618">
        <v>0</v>
      </c>
      <c r="O618">
        <v>26</v>
      </c>
      <c r="P618">
        <v>26</v>
      </c>
    </row>
    <row r="619" spans="1:16" x14ac:dyDescent="0.35">
      <c r="A619">
        <v>618</v>
      </c>
      <c r="B619" s="37">
        <v>40571</v>
      </c>
      <c r="C619">
        <v>1</v>
      </c>
      <c r="D619">
        <v>0</v>
      </c>
      <c r="E619" t="s">
        <v>104</v>
      </c>
      <c r="F619">
        <v>23</v>
      </c>
      <c r="G619" t="b">
        <v>0</v>
      </c>
      <c r="H619" t="s">
        <v>112</v>
      </c>
      <c r="I619" t="s">
        <v>113</v>
      </c>
      <c r="J619">
        <v>0.24</v>
      </c>
      <c r="K619">
        <v>0.2273</v>
      </c>
      <c r="L619">
        <v>0.6</v>
      </c>
      <c r="M619">
        <v>0.22389999999999999</v>
      </c>
      <c r="N619">
        <v>1</v>
      </c>
      <c r="O619">
        <v>22</v>
      </c>
      <c r="P619">
        <v>23</v>
      </c>
    </row>
    <row r="620" spans="1:16" x14ac:dyDescent="0.35">
      <c r="A620">
        <v>619</v>
      </c>
      <c r="B620" s="37">
        <v>40572</v>
      </c>
      <c r="C620">
        <v>1</v>
      </c>
      <c r="D620">
        <v>0</v>
      </c>
      <c r="E620" t="s">
        <v>104</v>
      </c>
      <c r="F620">
        <v>0</v>
      </c>
      <c r="G620" t="b">
        <v>0</v>
      </c>
      <c r="H620" t="s">
        <v>106</v>
      </c>
      <c r="I620" t="s">
        <v>113</v>
      </c>
      <c r="J620">
        <v>0.22</v>
      </c>
      <c r="K620">
        <v>0.19700000000000001</v>
      </c>
      <c r="L620">
        <v>0.64</v>
      </c>
      <c r="M620">
        <v>0.35820000000000002</v>
      </c>
      <c r="N620">
        <v>2</v>
      </c>
      <c r="O620">
        <v>26</v>
      </c>
      <c r="P620">
        <v>28</v>
      </c>
    </row>
    <row r="621" spans="1:16" x14ac:dyDescent="0.35">
      <c r="A621">
        <v>620</v>
      </c>
      <c r="B621" s="37">
        <v>40572</v>
      </c>
      <c r="C621">
        <v>1</v>
      </c>
      <c r="D621">
        <v>0</v>
      </c>
      <c r="E621" t="s">
        <v>104</v>
      </c>
      <c r="F621">
        <v>1</v>
      </c>
      <c r="G621" t="b">
        <v>0</v>
      </c>
      <c r="H621" t="s">
        <v>106</v>
      </c>
      <c r="I621" t="s">
        <v>113</v>
      </c>
      <c r="J621">
        <v>0.22</v>
      </c>
      <c r="K621">
        <v>0.2273</v>
      </c>
      <c r="L621">
        <v>0.64</v>
      </c>
      <c r="M621">
        <v>0.19400000000000001</v>
      </c>
      <c r="N621">
        <v>0</v>
      </c>
      <c r="O621">
        <v>20</v>
      </c>
      <c r="P621">
        <v>20</v>
      </c>
    </row>
    <row r="622" spans="1:16" x14ac:dyDescent="0.35">
      <c r="A622">
        <v>621</v>
      </c>
      <c r="B622" s="37">
        <v>40572</v>
      </c>
      <c r="C622">
        <v>1</v>
      </c>
      <c r="D622">
        <v>0</v>
      </c>
      <c r="E622" t="s">
        <v>104</v>
      </c>
      <c r="F622">
        <v>2</v>
      </c>
      <c r="G622" t="b">
        <v>0</v>
      </c>
      <c r="H622" t="s">
        <v>106</v>
      </c>
      <c r="I622" t="s">
        <v>113</v>
      </c>
      <c r="J622">
        <v>0.22</v>
      </c>
      <c r="K622">
        <v>0.2273</v>
      </c>
      <c r="L622">
        <v>0.64</v>
      </c>
      <c r="M622">
        <v>0.16420000000000001</v>
      </c>
      <c r="N622">
        <v>0</v>
      </c>
      <c r="O622">
        <v>15</v>
      </c>
      <c r="P622">
        <v>15</v>
      </c>
    </row>
    <row r="623" spans="1:16" x14ac:dyDescent="0.35">
      <c r="A623">
        <v>622</v>
      </c>
      <c r="B623" s="37">
        <v>40572</v>
      </c>
      <c r="C623">
        <v>1</v>
      </c>
      <c r="D623">
        <v>0</v>
      </c>
      <c r="E623" t="s">
        <v>104</v>
      </c>
      <c r="F623">
        <v>3</v>
      </c>
      <c r="G623" t="b">
        <v>0</v>
      </c>
      <c r="H623" t="s">
        <v>106</v>
      </c>
      <c r="I623" t="s">
        <v>113</v>
      </c>
      <c r="J623">
        <v>0.2</v>
      </c>
      <c r="K623">
        <v>0.21210000000000001</v>
      </c>
      <c r="L623">
        <v>0.64</v>
      </c>
      <c r="M623">
        <v>0.1343</v>
      </c>
      <c r="N623">
        <v>3</v>
      </c>
      <c r="O623">
        <v>5</v>
      </c>
      <c r="P623">
        <v>8</v>
      </c>
    </row>
    <row r="624" spans="1:16" x14ac:dyDescent="0.35">
      <c r="A624">
        <v>623</v>
      </c>
      <c r="B624" s="37">
        <v>40572</v>
      </c>
      <c r="C624">
        <v>1</v>
      </c>
      <c r="D624">
        <v>0</v>
      </c>
      <c r="E624" t="s">
        <v>104</v>
      </c>
      <c r="F624">
        <v>4</v>
      </c>
      <c r="G624" t="b">
        <v>0</v>
      </c>
      <c r="H624" t="s">
        <v>106</v>
      </c>
      <c r="I624" t="s">
        <v>113</v>
      </c>
      <c r="J624">
        <v>0.16</v>
      </c>
      <c r="K624">
        <v>0.18179999999999999</v>
      </c>
      <c r="L624">
        <v>0.69</v>
      </c>
      <c r="M624">
        <v>0.1045</v>
      </c>
      <c r="N624">
        <v>1</v>
      </c>
      <c r="O624">
        <v>2</v>
      </c>
      <c r="P624">
        <v>3</v>
      </c>
    </row>
    <row r="625" spans="1:16" x14ac:dyDescent="0.35">
      <c r="A625">
        <v>624</v>
      </c>
      <c r="B625" s="37">
        <v>40572</v>
      </c>
      <c r="C625">
        <v>1</v>
      </c>
      <c r="D625">
        <v>0</v>
      </c>
      <c r="E625" t="s">
        <v>104</v>
      </c>
      <c r="F625">
        <v>6</v>
      </c>
      <c r="G625" t="b">
        <v>0</v>
      </c>
      <c r="H625" t="s">
        <v>106</v>
      </c>
      <c r="I625" t="s">
        <v>113</v>
      </c>
      <c r="J625">
        <v>0.16</v>
      </c>
      <c r="K625">
        <v>0.18179999999999999</v>
      </c>
      <c r="L625">
        <v>0.64</v>
      </c>
      <c r="M625">
        <v>0.1343</v>
      </c>
      <c r="N625">
        <v>0</v>
      </c>
      <c r="O625">
        <v>2</v>
      </c>
      <c r="P625">
        <v>2</v>
      </c>
    </row>
    <row r="626" spans="1:16" x14ac:dyDescent="0.35">
      <c r="A626">
        <v>625</v>
      </c>
      <c r="B626" s="37">
        <v>40572</v>
      </c>
      <c r="C626">
        <v>1</v>
      </c>
      <c r="D626">
        <v>0</v>
      </c>
      <c r="E626" t="s">
        <v>104</v>
      </c>
      <c r="F626">
        <v>7</v>
      </c>
      <c r="G626" t="b">
        <v>0</v>
      </c>
      <c r="H626" t="s">
        <v>106</v>
      </c>
      <c r="I626" t="s">
        <v>113</v>
      </c>
      <c r="J626">
        <v>0.16</v>
      </c>
      <c r="K626">
        <v>0.18179999999999999</v>
      </c>
      <c r="L626">
        <v>0.59</v>
      </c>
      <c r="M626">
        <v>0.1045</v>
      </c>
      <c r="N626">
        <v>1</v>
      </c>
      <c r="O626">
        <v>4</v>
      </c>
      <c r="P626">
        <v>5</v>
      </c>
    </row>
    <row r="627" spans="1:16" x14ac:dyDescent="0.35">
      <c r="A627">
        <v>626</v>
      </c>
      <c r="B627" s="37">
        <v>40572</v>
      </c>
      <c r="C627">
        <v>1</v>
      </c>
      <c r="D627">
        <v>0</v>
      </c>
      <c r="E627" t="s">
        <v>104</v>
      </c>
      <c r="F627">
        <v>8</v>
      </c>
      <c r="G627" t="b">
        <v>0</v>
      </c>
      <c r="H627" t="s">
        <v>106</v>
      </c>
      <c r="I627" t="s">
        <v>113</v>
      </c>
      <c r="J627">
        <v>0.18</v>
      </c>
      <c r="K627">
        <v>0.19700000000000001</v>
      </c>
      <c r="L627">
        <v>0.55000000000000004</v>
      </c>
      <c r="M627">
        <v>0.16420000000000001</v>
      </c>
      <c r="N627">
        <v>3</v>
      </c>
      <c r="O627">
        <v>31</v>
      </c>
      <c r="P627">
        <v>34</v>
      </c>
    </row>
    <row r="628" spans="1:16" x14ac:dyDescent="0.35">
      <c r="A628">
        <v>627</v>
      </c>
      <c r="B628" s="37">
        <v>40572</v>
      </c>
      <c r="C628">
        <v>1</v>
      </c>
      <c r="D628">
        <v>0</v>
      </c>
      <c r="E628" t="s">
        <v>104</v>
      </c>
      <c r="F628">
        <v>9</v>
      </c>
      <c r="G628" t="b">
        <v>0</v>
      </c>
      <c r="H628" t="s">
        <v>106</v>
      </c>
      <c r="I628" t="s">
        <v>113</v>
      </c>
      <c r="J628">
        <v>0.18</v>
      </c>
      <c r="K628">
        <v>0.21210000000000001</v>
      </c>
      <c r="L628">
        <v>0.59</v>
      </c>
      <c r="M628">
        <v>8.9599999999999999E-2</v>
      </c>
      <c r="N628">
        <v>0</v>
      </c>
      <c r="O628">
        <v>34</v>
      </c>
      <c r="P628">
        <v>34</v>
      </c>
    </row>
    <row r="629" spans="1:16" x14ac:dyDescent="0.35">
      <c r="A629">
        <v>628</v>
      </c>
      <c r="B629" s="37">
        <v>40572</v>
      </c>
      <c r="C629">
        <v>1</v>
      </c>
      <c r="D629">
        <v>0</v>
      </c>
      <c r="E629" t="s">
        <v>104</v>
      </c>
      <c r="F629">
        <v>10</v>
      </c>
      <c r="G629" t="b">
        <v>0</v>
      </c>
      <c r="H629" t="s">
        <v>106</v>
      </c>
      <c r="I629" t="s">
        <v>114</v>
      </c>
      <c r="J629">
        <v>0.18</v>
      </c>
      <c r="K629">
        <v>0.21210000000000001</v>
      </c>
      <c r="L629">
        <v>0.64</v>
      </c>
      <c r="M629">
        <v>0.1045</v>
      </c>
      <c r="N629">
        <v>4</v>
      </c>
      <c r="O629">
        <v>51</v>
      </c>
      <c r="P629">
        <v>55</v>
      </c>
    </row>
    <row r="630" spans="1:16" x14ac:dyDescent="0.35">
      <c r="A630">
        <v>629</v>
      </c>
      <c r="B630" s="37">
        <v>40572</v>
      </c>
      <c r="C630">
        <v>1</v>
      </c>
      <c r="D630">
        <v>0</v>
      </c>
      <c r="E630" t="s">
        <v>104</v>
      </c>
      <c r="F630">
        <v>11</v>
      </c>
      <c r="G630" t="b">
        <v>0</v>
      </c>
      <c r="H630" t="s">
        <v>106</v>
      </c>
      <c r="I630" t="s">
        <v>114</v>
      </c>
      <c r="J630">
        <v>0.18</v>
      </c>
      <c r="K630">
        <v>0.19700000000000001</v>
      </c>
      <c r="L630">
        <v>0.64</v>
      </c>
      <c r="M630">
        <v>0.1343</v>
      </c>
      <c r="N630">
        <v>4</v>
      </c>
      <c r="O630">
        <v>60</v>
      </c>
      <c r="P630">
        <v>64</v>
      </c>
    </row>
    <row r="631" spans="1:16" x14ac:dyDescent="0.35">
      <c r="A631">
        <v>630</v>
      </c>
      <c r="B631" s="37">
        <v>40572</v>
      </c>
      <c r="C631">
        <v>1</v>
      </c>
      <c r="D631">
        <v>0</v>
      </c>
      <c r="E631" t="s">
        <v>104</v>
      </c>
      <c r="F631">
        <v>12</v>
      </c>
      <c r="G631" t="b">
        <v>0</v>
      </c>
      <c r="H631" t="s">
        <v>106</v>
      </c>
      <c r="I631" t="s">
        <v>114</v>
      </c>
      <c r="J631">
        <v>0.2</v>
      </c>
      <c r="K631">
        <v>0.19700000000000001</v>
      </c>
      <c r="L631">
        <v>0.59</v>
      </c>
      <c r="M631">
        <v>0.19400000000000001</v>
      </c>
      <c r="N631">
        <v>12</v>
      </c>
      <c r="O631">
        <v>66</v>
      </c>
      <c r="P631">
        <v>78</v>
      </c>
    </row>
    <row r="632" spans="1:16" x14ac:dyDescent="0.35">
      <c r="A632">
        <v>631</v>
      </c>
      <c r="B632" s="37">
        <v>40572</v>
      </c>
      <c r="C632">
        <v>1</v>
      </c>
      <c r="D632">
        <v>0</v>
      </c>
      <c r="E632" t="s">
        <v>104</v>
      </c>
      <c r="F632">
        <v>13</v>
      </c>
      <c r="G632" t="b">
        <v>0</v>
      </c>
      <c r="H632" t="s">
        <v>106</v>
      </c>
      <c r="I632" t="s">
        <v>114</v>
      </c>
      <c r="J632">
        <v>0.22</v>
      </c>
      <c r="K632">
        <v>0.2273</v>
      </c>
      <c r="L632">
        <v>0.55000000000000004</v>
      </c>
      <c r="M632">
        <v>0.16420000000000001</v>
      </c>
      <c r="N632">
        <v>9</v>
      </c>
      <c r="O632">
        <v>56</v>
      </c>
      <c r="P632">
        <v>65</v>
      </c>
    </row>
    <row r="633" spans="1:16" x14ac:dyDescent="0.35">
      <c r="A633">
        <v>632</v>
      </c>
      <c r="B633" s="37">
        <v>40572</v>
      </c>
      <c r="C633">
        <v>1</v>
      </c>
      <c r="D633">
        <v>0</v>
      </c>
      <c r="E633" t="s">
        <v>104</v>
      </c>
      <c r="F633">
        <v>14</v>
      </c>
      <c r="G633" t="b">
        <v>0</v>
      </c>
      <c r="H633" t="s">
        <v>106</v>
      </c>
      <c r="I633" t="s">
        <v>114</v>
      </c>
      <c r="J633">
        <v>0.22</v>
      </c>
      <c r="K633">
        <v>0.2273</v>
      </c>
      <c r="L633">
        <v>0.6</v>
      </c>
      <c r="M633">
        <v>0.1343</v>
      </c>
      <c r="N633">
        <v>10</v>
      </c>
      <c r="O633">
        <v>89</v>
      </c>
      <c r="P633">
        <v>99</v>
      </c>
    </row>
    <row r="634" spans="1:16" x14ac:dyDescent="0.35">
      <c r="A634">
        <v>633</v>
      </c>
      <c r="B634" s="37">
        <v>40572</v>
      </c>
      <c r="C634">
        <v>1</v>
      </c>
      <c r="D634">
        <v>0</v>
      </c>
      <c r="E634" t="s">
        <v>104</v>
      </c>
      <c r="F634">
        <v>15</v>
      </c>
      <c r="G634" t="b">
        <v>0</v>
      </c>
      <c r="H634" t="s">
        <v>106</v>
      </c>
      <c r="I634" t="s">
        <v>113</v>
      </c>
      <c r="J634">
        <v>0.22</v>
      </c>
      <c r="K634">
        <v>0.21210000000000001</v>
      </c>
      <c r="L634">
        <v>0.69</v>
      </c>
      <c r="M634">
        <v>0.25369999999999998</v>
      </c>
      <c r="N634">
        <v>22</v>
      </c>
      <c r="O634">
        <v>98</v>
      </c>
      <c r="P634">
        <v>120</v>
      </c>
    </row>
    <row r="635" spans="1:16" x14ac:dyDescent="0.35">
      <c r="A635">
        <v>634</v>
      </c>
      <c r="B635" s="37">
        <v>40572</v>
      </c>
      <c r="C635">
        <v>1</v>
      </c>
      <c r="D635">
        <v>0</v>
      </c>
      <c r="E635" t="s">
        <v>104</v>
      </c>
      <c r="F635">
        <v>16</v>
      </c>
      <c r="G635" t="b">
        <v>0</v>
      </c>
      <c r="H635" t="s">
        <v>106</v>
      </c>
      <c r="I635" t="s">
        <v>113</v>
      </c>
      <c r="J635">
        <v>0.24</v>
      </c>
      <c r="K635">
        <v>0.2424</v>
      </c>
      <c r="L635">
        <v>0.6</v>
      </c>
      <c r="M635">
        <v>0.16420000000000001</v>
      </c>
      <c r="N635">
        <v>19</v>
      </c>
      <c r="O635">
        <v>88</v>
      </c>
      <c r="P635">
        <v>107</v>
      </c>
    </row>
    <row r="636" spans="1:16" x14ac:dyDescent="0.35">
      <c r="A636">
        <v>635</v>
      </c>
      <c r="B636" s="37">
        <v>40572</v>
      </c>
      <c r="C636">
        <v>1</v>
      </c>
      <c r="D636">
        <v>0</v>
      </c>
      <c r="E636" t="s">
        <v>104</v>
      </c>
      <c r="F636">
        <v>17</v>
      </c>
      <c r="G636" t="b">
        <v>0</v>
      </c>
      <c r="H636" t="s">
        <v>106</v>
      </c>
      <c r="I636" t="s">
        <v>113</v>
      </c>
      <c r="J636">
        <v>0.24</v>
      </c>
      <c r="K636">
        <v>0.28789999999999999</v>
      </c>
      <c r="L636">
        <v>0.6</v>
      </c>
      <c r="M636">
        <v>0</v>
      </c>
      <c r="N636">
        <v>9</v>
      </c>
      <c r="O636">
        <v>82</v>
      </c>
      <c r="P636">
        <v>91</v>
      </c>
    </row>
    <row r="637" spans="1:16" x14ac:dyDescent="0.35">
      <c r="A637">
        <v>636</v>
      </c>
      <c r="B637" s="37">
        <v>40572</v>
      </c>
      <c r="C637">
        <v>1</v>
      </c>
      <c r="D637">
        <v>0</v>
      </c>
      <c r="E637" t="s">
        <v>104</v>
      </c>
      <c r="F637">
        <v>18</v>
      </c>
      <c r="G637" t="b">
        <v>0</v>
      </c>
      <c r="H637" t="s">
        <v>106</v>
      </c>
      <c r="I637" t="s">
        <v>113</v>
      </c>
      <c r="J637">
        <v>0.22</v>
      </c>
      <c r="K637">
        <v>0.2273</v>
      </c>
      <c r="L637">
        <v>0.69</v>
      </c>
      <c r="M637">
        <v>0.1343</v>
      </c>
      <c r="N637">
        <v>9</v>
      </c>
      <c r="O637">
        <v>59</v>
      </c>
      <c r="P637">
        <v>68</v>
      </c>
    </row>
    <row r="638" spans="1:16" x14ac:dyDescent="0.35">
      <c r="A638">
        <v>637</v>
      </c>
      <c r="B638" s="37">
        <v>40572</v>
      </c>
      <c r="C638">
        <v>1</v>
      </c>
      <c r="D638">
        <v>0</v>
      </c>
      <c r="E638" t="s">
        <v>104</v>
      </c>
      <c r="F638">
        <v>19</v>
      </c>
      <c r="G638" t="b">
        <v>0</v>
      </c>
      <c r="H638" t="s">
        <v>106</v>
      </c>
      <c r="I638" t="s">
        <v>114</v>
      </c>
      <c r="J638">
        <v>0.22</v>
      </c>
      <c r="K638">
        <v>0.21210000000000001</v>
      </c>
      <c r="L638">
        <v>0.69</v>
      </c>
      <c r="M638">
        <v>0.25369999999999998</v>
      </c>
      <c r="N638">
        <v>6</v>
      </c>
      <c r="O638">
        <v>52</v>
      </c>
      <c r="P638">
        <v>58</v>
      </c>
    </row>
    <row r="639" spans="1:16" x14ac:dyDescent="0.35">
      <c r="A639">
        <v>638</v>
      </c>
      <c r="B639" s="37">
        <v>40572</v>
      </c>
      <c r="C639">
        <v>1</v>
      </c>
      <c r="D639">
        <v>0</v>
      </c>
      <c r="E639" t="s">
        <v>104</v>
      </c>
      <c r="F639">
        <v>20</v>
      </c>
      <c r="G639" t="b">
        <v>0</v>
      </c>
      <c r="H639" t="s">
        <v>106</v>
      </c>
      <c r="I639" t="s">
        <v>113</v>
      </c>
      <c r="J639">
        <v>0.18</v>
      </c>
      <c r="K639">
        <v>0.21210000000000001</v>
      </c>
      <c r="L639">
        <v>0.74</v>
      </c>
      <c r="M639">
        <v>8.9599999999999999E-2</v>
      </c>
      <c r="N639">
        <v>1</v>
      </c>
      <c r="O639">
        <v>42</v>
      </c>
      <c r="P639">
        <v>43</v>
      </c>
    </row>
    <row r="640" spans="1:16" x14ac:dyDescent="0.35">
      <c r="A640">
        <v>639</v>
      </c>
      <c r="B640" s="37">
        <v>40572</v>
      </c>
      <c r="C640">
        <v>1</v>
      </c>
      <c r="D640">
        <v>0</v>
      </c>
      <c r="E640" t="s">
        <v>104</v>
      </c>
      <c r="F640">
        <v>21</v>
      </c>
      <c r="G640" t="b">
        <v>0</v>
      </c>
      <c r="H640" t="s">
        <v>106</v>
      </c>
      <c r="I640" t="s">
        <v>113</v>
      </c>
      <c r="J640">
        <v>0.18</v>
      </c>
      <c r="K640">
        <v>0.21210000000000001</v>
      </c>
      <c r="L640">
        <v>0.74</v>
      </c>
      <c r="M640">
        <v>8.9599999999999999E-2</v>
      </c>
      <c r="N640">
        <v>1</v>
      </c>
      <c r="O640">
        <v>35</v>
      </c>
      <c r="P640">
        <v>36</v>
      </c>
    </row>
    <row r="641" spans="1:16" x14ac:dyDescent="0.35">
      <c r="A641">
        <v>640</v>
      </c>
      <c r="B641" s="37">
        <v>40572</v>
      </c>
      <c r="C641">
        <v>1</v>
      </c>
      <c r="D641">
        <v>0</v>
      </c>
      <c r="E641" t="s">
        <v>104</v>
      </c>
      <c r="F641">
        <v>22</v>
      </c>
      <c r="G641" t="b">
        <v>0</v>
      </c>
      <c r="H641" t="s">
        <v>106</v>
      </c>
      <c r="I641" t="s">
        <v>113</v>
      </c>
      <c r="J641">
        <v>0.16</v>
      </c>
      <c r="K641">
        <v>0.19700000000000001</v>
      </c>
      <c r="L641">
        <v>0.8</v>
      </c>
      <c r="M641">
        <v>8.9599999999999999E-2</v>
      </c>
      <c r="N641">
        <v>4</v>
      </c>
      <c r="O641">
        <v>28</v>
      </c>
      <c r="P641">
        <v>32</v>
      </c>
    </row>
    <row r="642" spans="1:16" x14ac:dyDescent="0.35">
      <c r="A642">
        <v>641</v>
      </c>
      <c r="B642" s="37">
        <v>40572</v>
      </c>
      <c r="C642">
        <v>1</v>
      </c>
      <c r="D642">
        <v>0</v>
      </c>
      <c r="E642" t="s">
        <v>104</v>
      </c>
      <c r="F642">
        <v>23</v>
      </c>
      <c r="G642" t="b">
        <v>0</v>
      </c>
      <c r="H642" t="s">
        <v>106</v>
      </c>
      <c r="I642" t="s">
        <v>113</v>
      </c>
      <c r="J642">
        <v>0.16</v>
      </c>
      <c r="K642">
        <v>0.19700000000000001</v>
      </c>
      <c r="L642">
        <v>0.8</v>
      </c>
      <c r="M642">
        <v>8.9599999999999999E-2</v>
      </c>
      <c r="N642">
        <v>3</v>
      </c>
      <c r="O642">
        <v>30</v>
      </c>
      <c r="P642">
        <v>33</v>
      </c>
    </row>
    <row r="643" spans="1:16" x14ac:dyDescent="0.35">
      <c r="A643">
        <v>642</v>
      </c>
      <c r="B643" s="37">
        <v>40573</v>
      </c>
      <c r="C643">
        <v>1</v>
      </c>
      <c r="D643">
        <v>0</v>
      </c>
      <c r="E643" t="s">
        <v>104</v>
      </c>
      <c r="F643">
        <v>0</v>
      </c>
      <c r="G643" t="b">
        <v>0</v>
      </c>
      <c r="H643" t="s">
        <v>107</v>
      </c>
      <c r="I643" t="s">
        <v>113</v>
      </c>
      <c r="J643">
        <v>0.16</v>
      </c>
      <c r="K643">
        <v>0.18179999999999999</v>
      </c>
      <c r="L643">
        <v>0.8</v>
      </c>
      <c r="M643">
        <v>0.1045</v>
      </c>
      <c r="N643">
        <v>0</v>
      </c>
      <c r="O643">
        <v>33</v>
      </c>
      <c r="P643">
        <v>33</v>
      </c>
    </row>
    <row r="644" spans="1:16" x14ac:dyDescent="0.35">
      <c r="A644">
        <v>643</v>
      </c>
      <c r="B644" s="37">
        <v>40573</v>
      </c>
      <c r="C644">
        <v>1</v>
      </c>
      <c r="D644">
        <v>0</v>
      </c>
      <c r="E644" t="s">
        <v>104</v>
      </c>
      <c r="F644">
        <v>1</v>
      </c>
      <c r="G644" t="b">
        <v>0</v>
      </c>
      <c r="H644" t="s">
        <v>107</v>
      </c>
      <c r="I644" t="s">
        <v>113</v>
      </c>
      <c r="J644">
        <v>0.14000000000000001</v>
      </c>
      <c r="K644">
        <v>0.21210000000000001</v>
      </c>
      <c r="L644">
        <v>0.8</v>
      </c>
      <c r="M644">
        <v>0</v>
      </c>
      <c r="N644">
        <v>7</v>
      </c>
      <c r="O644">
        <v>22</v>
      </c>
      <c r="P644">
        <v>29</v>
      </c>
    </row>
    <row r="645" spans="1:16" x14ac:dyDescent="0.35">
      <c r="A645">
        <v>644</v>
      </c>
      <c r="B645" s="37">
        <v>40573</v>
      </c>
      <c r="C645">
        <v>1</v>
      </c>
      <c r="D645">
        <v>0</v>
      </c>
      <c r="E645" t="s">
        <v>104</v>
      </c>
      <c r="F645">
        <v>2</v>
      </c>
      <c r="G645" t="b">
        <v>0</v>
      </c>
      <c r="H645" t="s">
        <v>107</v>
      </c>
      <c r="I645" t="s">
        <v>113</v>
      </c>
      <c r="J645">
        <v>0.16</v>
      </c>
      <c r="K645">
        <v>0.2273</v>
      </c>
      <c r="L645">
        <v>0.8</v>
      </c>
      <c r="M645">
        <v>0</v>
      </c>
      <c r="N645">
        <v>1</v>
      </c>
      <c r="O645">
        <v>10</v>
      </c>
      <c r="P645">
        <v>11</v>
      </c>
    </row>
    <row r="646" spans="1:16" x14ac:dyDescent="0.35">
      <c r="A646">
        <v>645</v>
      </c>
      <c r="B646" s="37">
        <v>40573</v>
      </c>
      <c r="C646">
        <v>1</v>
      </c>
      <c r="D646">
        <v>0</v>
      </c>
      <c r="E646" t="s">
        <v>104</v>
      </c>
      <c r="F646">
        <v>3</v>
      </c>
      <c r="G646" t="b">
        <v>0</v>
      </c>
      <c r="H646" t="s">
        <v>107</v>
      </c>
      <c r="I646" t="s">
        <v>113</v>
      </c>
      <c r="J646">
        <v>0.14000000000000001</v>
      </c>
      <c r="K646">
        <v>0.21210000000000001</v>
      </c>
      <c r="L646">
        <v>0.93</v>
      </c>
      <c r="M646">
        <v>0</v>
      </c>
      <c r="N646">
        <v>1</v>
      </c>
      <c r="O646">
        <v>7</v>
      </c>
      <c r="P646">
        <v>8</v>
      </c>
    </row>
    <row r="647" spans="1:16" x14ac:dyDescent="0.35">
      <c r="A647">
        <v>646</v>
      </c>
      <c r="B647" s="37">
        <v>40573</v>
      </c>
      <c r="C647">
        <v>1</v>
      </c>
      <c r="D647">
        <v>0</v>
      </c>
      <c r="E647" t="s">
        <v>104</v>
      </c>
      <c r="F647">
        <v>4</v>
      </c>
      <c r="G647" t="b">
        <v>0</v>
      </c>
      <c r="H647" t="s">
        <v>107</v>
      </c>
      <c r="I647" t="s">
        <v>113</v>
      </c>
      <c r="J647">
        <v>0.14000000000000001</v>
      </c>
      <c r="K647">
        <v>0.21210000000000001</v>
      </c>
      <c r="L647">
        <v>0.93</v>
      </c>
      <c r="M647">
        <v>0</v>
      </c>
      <c r="N647">
        <v>0</v>
      </c>
      <c r="O647">
        <v>1</v>
      </c>
      <c r="P647">
        <v>1</v>
      </c>
    </row>
    <row r="648" spans="1:16" x14ac:dyDescent="0.35">
      <c r="A648">
        <v>647</v>
      </c>
      <c r="B648" s="37">
        <v>40573</v>
      </c>
      <c r="C648">
        <v>1</v>
      </c>
      <c r="D648">
        <v>0</v>
      </c>
      <c r="E648" t="s">
        <v>104</v>
      </c>
      <c r="F648">
        <v>5</v>
      </c>
      <c r="G648" t="b">
        <v>0</v>
      </c>
      <c r="H648" t="s">
        <v>107</v>
      </c>
      <c r="I648" t="s">
        <v>113</v>
      </c>
      <c r="J648">
        <v>0.14000000000000001</v>
      </c>
      <c r="K648">
        <v>0.21210000000000001</v>
      </c>
      <c r="L648">
        <v>0.86</v>
      </c>
      <c r="M648">
        <v>0</v>
      </c>
      <c r="N648">
        <v>0</v>
      </c>
      <c r="O648">
        <v>3</v>
      </c>
      <c r="P648">
        <v>3</v>
      </c>
    </row>
    <row r="649" spans="1:16" x14ac:dyDescent="0.35">
      <c r="A649">
        <v>648</v>
      </c>
      <c r="B649" s="37">
        <v>40573</v>
      </c>
      <c r="C649">
        <v>1</v>
      </c>
      <c r="D649">
        <v>0</v>
      </c>
      <c r="E649" t="s">
        <v>104</v>
      </c>
      <c r="F649">
        <v>7</v>
      </c>
      <c r="G649" t="b">
        <v>0</v>
      </c>
      <c r="H649" t="s">
        <v>107</v>
      </c>
      <c r="I649" t="s">
        <v>113</v>
      </c>
      <c r="J649">
        <v>0.14000000000000001</v>
      </c>
      <c r="K649">
        <v>0.21210000000000001</v>
      </c>
      <c r="L649">
        <v>0.86</v>
      </c>
      <c r="M649">
        <v>0</v>
      </c>
      <c r="N649">
        <v>0</v>
      </c>
      <c r="O649">
        <v>3</v>
      </c>
      <c r="P649">
        <v>3</v>
      </c>
    </row>
    <row r="650" spans="1:16" x14ac:dyDescent="0.35">
      <c r="A650">
        <v>649</v>
      </c>
      <c r="B650" s="37">
        <v>40573</v>
      </c>
      <c r="C650">
        <v>1</v>
      </c>
      <c r="D650">
        <v>0</v>
      </c>
      <c r="E650" t="s">
        <v>104</v>
      </c>
      <c r="F650">
        <v>8</v>
      </c>
      <c r="G650" t="b">
        <v>0</v>
      </c>
      <c r="H650" t="s">
        <v>107</v>
      </c>
      <c r="I650" t="s">
        <v>114</v>
      </c>
      <c r="J650">
        <v>0.14000000000000001</v>
      </c>
      <c r="K650">
        <v>0.21210000000000001</v>
      </c>
      <c r="L650">
        <v>0.86</v>
      </c>
      <c r="M650">
        <v>0</v>
      </c>
      <c r="N650">
        <v>1</v>
      </c>
      <c r="O650">
        <v>11</v>
      </c>
      <c r="P650">
        <v>12</v>
      </c>
    </row>
    <row r="651" spans="1:16" x14ac:dyDescent="0.35">
      <c r="A651">
        <v>650</v>
      </c>
      <c r="B651" s="37">
        <v>40573</v>
      </c>
      <c r="C651">
        <v>1</v>
      </c>
      <c r="D651">
        <v>0</v>
      </c>
      <c r="E651" t="s">
        <v>104</v>
      </c>
      <c r="F651">
        <v>9</v>
      </c>
      <c r="G651" t="b">
        <v>0</v>
      </c>
      <c r="H651" t="s">
        <v>107</v>
      </c>
      <c r="I651" t="s">
        <v>114</v>
      </c>
      <c r="J651">
        <v>0.16</v>
      </c>
      <c r="K651">
        <v>0.2273</v>
      </c>
      <c r="L651">
        <v>0.8</v>
      </c>
      <c r="M651">
        <v>0</v>
      </c>
      <c r="N651">
        <v>4</v>
      </c>
      <c r="O651">
        <v>34</v>
      </c>
      <c r="P651">
        <v>38</v>
      </c>
    </row>
    <row r="652" spans="1:16" x14ac:dyDescent="0.35">
      <c r="A652">
        <v>651</v>
      </c>
      <c r="B652" s="37">
        <v>40573</v>
      </c>
      <c r="C652">
        <v>1</v>
      </c>
      <c r="D652">
        <v>0</v>
      </c>
      <c r="E652" t="s">
        <v>104</v>
      </c>
      <c r="F652">
        <v>10</v>
      </c>
      <c r="G652" t="b">
        <v>0</v>
      </c>
      <c r="H652" t="s">
        <v>107</v>
      </c>
      <c r="I652" t="s">
        <v>114</v>
      </c>
      <c r="J652">
        <v>0.18</v>
      </c>
      <c r="K652">
        <v>0.2424</v>
      </c>
      <c r="L652">
        <v>0.8</v>
      </c>
      <c r="M652">
        <v>0</v>
      </c>
      <c r="N652">
        <v>7</v>
      </c>
      <c r="O652">
        <v>57</v>
      </c>
      <c r="P652">
        <v>64</v>
      </c>
    </row>
    <row r="653" spans="1:16" x14ac:dyDescent="0.35">
      <c r="A653">
        <v>652</v>
      </c>
      <c r="B653" s="37">
        <v>40573</v>
      </c>
      <c r="C653">
        <v>1</v>
      </c>
      <c r="D653">
        <v>0</v>
      </c>
      <c r="E653" t="s">
        <v>104</v>
      </c>
      <c r="F653">
        <v>11</v>
      </c>
      <c r="G653" t="b">
        <v>0</v>
      </c>
      <c r="H653" t="s">
        <v>107</v>
      </c>
      <c r="I653" t="s">
        <v>113</v>
      </c>
      <c r="J653">
        <v>0.22</v>
      </c>
      <c r="K653">
        <v>0.2727</v>
      </c>
      <c r="L653">
        <v>0.75</v>
      </c>
      <c r="M653">
        <v>0</v>
      </c>
      <c r="N653">
        <v>9</v>
      </c>
      <c r="O653">
        <v>50</v>
      </c>
      <c r="P653">
        <v>59</v>
      </c>
    </row>
    <row r="654" spans="1:16" x14ac:dyDescent="0.35">
      <c r="A654">
        <v>653</v>
      </c>
      <c r="B654" s="37">
        <v>40573</v>
      </c>
      <c r="C654">
        <v>1</v>
      </c>
      <c r="D654">
        <v>0</v>
      </c>
      <c r="E654" t="s">
        <v>104</v>
      </c>
      <c r="F654">
        <v>12</v>
      </c>
      <c r="G654" t="b">
        <v>0</v>
      </c>
      <c r="H654" t="s">
        <v>107</v>
      </c>
      <c r="I654" t="s">
        <v>113</v>
      </c>
      <c r="J654">
        <v>0.3</v>
      </c>
      <c r="K654">
        <v>0.31819999999999998</v>
      </c>
      <c r="L654">
        <v>0.52</v>
      </c>
      <c r="M654">
        <v>0.1045</v>
      </c>
      <c r="N654">
        <v>10</v>
      </c>
      <c r="O654">
        <v>87</v>
      </c>
      <c r="P654">
        <v>97</v>
      </c>
    </row>
    <row r="655" spans="1:16" x14ac:dyDescent="0.35">
      <c r="A655">
        <v>654</v>
      </c>
      <c r="B655" s="37">
        <v>40573</v>
      </c>
      <c r="C655">
        <v>1</v>
      </c>
      <c r="D655">
        <v>0</v>
      </c>
      <c r="E655" t="s">
        <v>104</v>
      </c>
      <c r="F655">
        <v>13</v>
      </c>
      <c r="G655" t="b">
        <v>0</v>
      </c>
      <c r="H655" t="s">
        <v>107</v>
      </c>
      <c r="I655" t="s">
        <v>113</v>
      </c>
      <c r="J655">
        <v>0.28000000000000003</v>
      </c>
      <c r="K655">
        <v>0.28789999999999999</v>
      </c>
      <c r="L655">
        <v>0.61</v>
      </c>
      <c r="M655">
        <v>0.1045</v>
      </c>
      <c r="N655">
        <v>13</v>
      </c>
      <c r="O655">
        <v>71</v>
      </c>
      <c r="P655">
        <v>84</v>
      </c>
    </row>
    <row r="656" spans="1:16" x14ac:dyDescent="0.35">
      <c r="A656">
        <v>655</v>
      </c>
      <c r="B656" s="37">
        <v>40573</v>
      </c>
      <c r="C656">
        <v>1</v>
      </c>
      <c r="D656">
        <v>0</v>
      </c>
      <c r="E656" t="s">
        <v>104</v>
      </c>
      <c r="F656">
        <v>14</v>
      </c>
      <c r="G656" t="b">
        <v>0</v>
      </c>
      <c r="H656" t="s">
        <v>107</v>
      </c>
      <c r="I656" t="s">
        <v>113</v>
      </c>
      <c r="J656">
        <v>0.28000000000000003</v>
      </c>
      <c r="K656">
        <v>0.30299999999999999</v>
      </c>
      <c r="L656">
        <v>0.61</v>
      </c>
      <c r="M656">
        <v>8.9599999999999999E-2</v>
      </c>
      <c r="N656">
        <v>18</v>
      </c>
      <c r="O656">
        <v>104</v>
      </c>
      <c r="P656">
        <v>122</v>
      </c>
    </row>
    <row r="657" spans="1:16" x14ac:dyDescent="0.35">
      <c r="A657">
        <v>656</v>
      </c>
      <c r="B657" s="37">
        <v>40573</v>
      </c>
      <c r="C657">
        <v>1</v>
      </c>
      <c r="D657">
        <v>0</v>
      </c>
      <c r="E657" t="s">
        <v>104</v>
      </c>
      <c r="F657">
        <v>15</v>
      </c>
      <c r="G657" t="b">
        <v>0</v>
      </c>
      <c r="H657" t="s">
        <v>107</v>
      </c>
      <c r="I657" t="s">
        <v>113</v>
      </c>
      <c r="J657">
        <v>0.3</v>
      </c>
      <c r="K657">
        <v>0.33329999999999999</v>
      </c>
      <c r="L657">
        <v>0.56000000000000005</v>
      </c>
      <c r="M657">
        <v>0</v>
      </c>
      <c r="N657">
        <v>14</v>
      </c>
      <c r="O657">
        <v>95</v>
      </c>
      <c r="P657">
        <v>109</v>
      </c>
    </row>
    <row r="658" spans="1:16" x14ac:dyDescent="0.35">
      <c r="A658">
        <v>657</v>
      </c>
      <c r="B658" s="37">
        <v>40573</v>
      </c>
      <c r="C658">
        <v>1</v>
      </c>
      <c r="D658">
        <v>0</v>
      </c>
      <c r="E658" t="s">
        <v>104</v>
      </c>
      <c r="F658">
        <v>16</v>
      </c>
      <c r="G658" t="b">
        <v>0</v>
      </c>
      <c r="H658" t="s">
        <v>107</v>
      </c>
      <c r="I658" t="s">
        <v>113</v>
      </c>
      <c r="J658">
        <v>0.3</v>
      </c>
      <c r="K658">
        <v>0.33329999999999999</v>
      </c>
      <c r="L658">
        <v>0.56000000000000005</v>
      </c>
      <c r="M658">
        <v>0</v>
      </c>
      <c r="N658">
        <v>19</v>
      </c>
      <c r="O658">
        <v>104</v>
      </c>
      <c r="P658">
        <v>123</v>
      </c>
    </row>
    <row r="659" spans="1:16" x14ac:dyDescent="0.35">
      <c r="A659">
        <v>658</v>
      </c>
      <c r="B659" s="37">
        <v>40573</v>
      </c>
      <c r="C659">
        <v>1</v>
      </c>
      <c r="D659">
        <v>0</v>
      </c>
      <c r="E659" t="s">
        <v>104</v>
      </c>
      <c r="F659">
        <v>17</v>
      </c>
      <c r="G659" t="b">
        <v>0</v>
      </c>
      <c r="H659" t="s">
        <v>107</v>
      </c>
      <c r="I659" t="s">
        <v>113</v>
      </c>
      <c r="J659">
        <v>0.3</v>
      </c>
      <c r="K659">
        <v>0.28789999999999999</v>
      </c>
      <c r="L659">
        <v>0.56000000000000005</v>
      </c>
      <c r="M659">
        <v>0.19400000000000001</v>
      </c>
      <c r="N659">
        <v>6</v>
      </c>
      <c r="O659">
        <v>71</v>
      </c>
      <c r="P659">
        <v>77</v>
      </c>
    </row>
    <row r="660" spans="1:16" x14ac:dyDescent="0.35">
      <c r="A660">
        <v>659</v>
      </c>
      <c r="B660" s="37">
        <v>40573</v>
      </c>
      <c r="C660">
        <v>1</v>
      </c>
      <c r="D660">
        <v>0</v>
      </c>
      <c r="E660" t="s">
        <v>104</v>
      </c>
      <c r="F660">
        <v>18</v>
      </c>
      <c r="G660" t="b">
        <v>0</v>
      </c>
      <c r="H660" t="s">
        <v>107</v>
      </c>
      <c r="I660" t="s">
        <v>113</v>
      </c>
      <c r="J660">
        <v>0.26</v>
      </c>
      <c r="K660">
        <v>0.2576</v>
      </c>
      <c r="L660">
        <v>0.65</v>
      </c>
      <c r="M660">
        <v>0.16420000000000001</v>
      </c>
      <c r="N660">
        <v>8</v>
      </c>
      <c r="O660">
        <v>57</v>
      </c>
      <c r="P660">
        <v>65</v>
      </c>
    </row>
    <row r="661" spans="1:16" x14ac:dyDescent="0.35">
      <c r="A661">
        <v>660</v>
      </c>
      <c r="B661" s="37">
        <v>40573</v>
      </c>
      <c r="C661">
        <v>1</v>
      </c>
      <c r="D661">
        <v>0</v>
      </c>
      <c r="E661" t="s">
        <v>104</v>
      </c>
      <c r="F661">
        <v>19</v>
      </c>
      <c r="G661" t="b">
        <v>0</v>
      </c>
      <c r="H661" t="s">
        <v>107</v>
      </c>
      <c r="I661" t="s">
        <v>113</v>
      </c>
      <c r="J661">
        <v>0.26</v>
      </c>
      <c r="K661">
        <v>0.2576</v>
      </c>
      <c r="L661">
        <v>0.65</v>
      </c>
      <c r="M661">
        <v>0.19400000000000001</v>
      </c>
      <c r="N661">
        <v>9</v>
      </c>
      <c r="O661">
        <v>46</v>
      </c>
      <c r="P661">
        <v>55</v>
      </c>
    </row>
    <row r="662" spans="1:16" x14ac:dyDescent="0.35">
      <c r="A662">
        <v>661</v>
      </c>
      <c r="B662" s="37">
        <v>40573</v>
      </c>
      <c r="C662">
        <v>1</v>
      </c>
      <c r="D662">
        <v>0</v>
      </c>
      <c r="E662" t="s">
        <v>104</v>
      </c>
      <c r="F662">
        <v>20</v>
      </c>
      <c r="G662" t="b">
        <v>0</v>
      </c>
      <c r="H662" t="s">
        <v>107</v>
      </c>
      <c r="I662" t="s">
        <v>114</v>
      </c>
      <c r="J662">
        <v>0.26</v>
      </c>
      <c r="K662">
        <v>0.2727</v>
      </c>
      <c r="L662">
        <v>0.65</v>
      </c>
      <c r="M662">
        <v>0.1045</v>
      </c>
      <c r="N662">
        <v>3</v>
      </c>
      <c r="O662">
        <v>30</v>
      </c>
      <c r="P662">
        <v>33</v>
      </c>
    </row>
    <row r="663" spans="1:16" x14ac:dyDescent="0.35">
      <c r="A663">
        <v>662</v>
      </c>
      <c r="B663" s="37">
        <v>40573</v>
      </c>
      <c r="C663">
        <v>1</v>
      </c>
      <c r="D663">
        <v>0</v>
      </c>
      <c r="E663" t="s">
        <v>104</v>
      </c>
      <c r="F663">
        <v>21</v>
      </c>
      <c r="G663" t="b">
        <v>0</v>
      </c>
      <c r="H663" t="s">
        <v>107</v>
      </c>
      <c r="I663" t="s">
        <v>114</v>
      </c>
      <c r="J663">
        <v>0.24</v>
      </c>
      <c r="K663">
        <v>0.2424</v>
      </c>
      <c r="L663">
        <v>0.7</v>
      </c>
      <c r="M663">
        <v>0.16420000000000001</v>
      </c>
      <c r="N663">
        <v>3</v>
      </c>
      <c r="O663">
        <v>25</v>
      </c>
      <c r="P663">
        <v>28</v>
      </c>
    </row>
    <row r="664" spans="1:16" x14ac:dyDescent="0.35">
      <c r="A664">
        <v>663</v>
      </c>
      <c r="B664" s="37">
        <v>40573</v>
      </c>
      <c r="C664">
        <v>1</v>
      </c>
      <c r="D664">
        <v>0</v>
      </c>
      <c r="E664" t="s">
        <v>104</v>
      </c>
      <c r="F664">
        <v>22</v>
      </c>
      <c r="G664" t="b">
        <v>0</v>
      </c>
      <c r="H664" t="s">
        <v>107</v>
      </c>
      <c r="I664" t="s">
        <v>114</v>
      </c>
      <c r="J664">
        <v>0.24</v>
      </c>
      <c r="K664">
        <v>0.2273</v>
      </c>
      <c r="L664">
        <v>0.7</v>
      </c>
      <c r="M664">
        <v>0.19400000000000001</v>
      </c>
      <c r="N664">
        <v>2</v>
      </c>
      <c r="O664">
        <v>19</v>
      </c>
      <c r="P664">
        <v>21</v>
      </c>
    </row>
    <row r="665" spans="1:16" x14ac:dyDescent="0.35">
      <c r="A665">
        <v>664</v>
      </c>
      <c r="B665" s="37">
        <v>40573</v>
      </c>
      <c r="C665">
        <v>1</v>
      </c>
      <c r="D665">
        <v>0</v>
      </c>
      <c r="E665" t="s">
        <v>104</v>
      </c>
      <c r="F665">
        <v>23</v>
      </c>
      <c r="G665" t="b">
        <v>0</v>
      </c>
      <c r="H665" t="s">
        <v>107</v>
      </c>
      <c r="I665" t="s">
        <v>114</v>
      </c>
      <c r="J665">
        <v>0.24</v>
      </c>
      <c r="K665">
        <v>0.21210000000000001</v>
      </c>
      <c r="L665">
        <v>0.65</v>
      </c>
      <c r="M665">
        <v>0.28360000000000002</v>
      </c>
      <c r="N665">
        <v>5</v>
      </c>
      <c r="O665">
        <v>16</v>
      </c>
      <c r="P665">
        <v>21</v>
      </c>
    </row>
    <row r="666" spans="1:16" x14ac:dyDescent="0.35">
      <c r="A666">
        <v>665</v>
      </c>
      <c r="B666" s="37">
        <v>40574</v>
      </c>
      <c r="C666">
        <v>1</v>
      </c>
      <c r="D666">
        <v>0</v>
      </c>
      <c r="E666" t="s">
        <v>104</v>
      </c>
      <c r="F666">
        <v>0</v>
      </c>
      <c r="G666" t="b">
        <v>0</v>
      </c>
      <c r="H666" t="s">
        <v>108</v>
      </c>
      <c r="I666" t="s">
        <v>114</v>
      </c>
      <c r="J666">
        <v>0.24</v>
      </c>
      <c r="K666">
        <v>0.2273</v>
      </c>
      <c r="L666">
        <v>0.65</v>
      </c>
      <c r="M666">
        <v>0.22389999999999999</v>
      </c>
      <c r="N666">
        <v>1</v>
      </c>
      <c r="O666">
        <v>6</v>
      </c>
      <c r="P666">
        <v>7</v>
      </c>
    </row>
    <row r="667" spans="1:16" x14ac:dyDescent="0.35">
      <c r="A667">
        <v>666</v>
      </c>
      <c r="B667" s="37">
        <v>40574</v>
      </c>
      <c r="C667">
        <v>1</v>
      </c>
      <c r="D667">
        <v>0</v>
      </c>
      <c r="E667" t="s">
        <v>104</v>
      </c>
      <c r="F667">
        <v>1</v>
      </c>
      <c r="G667" t="b">
        <v>0</v>
      </c>
      <c r="H667" t="s">
        <v>108</v>
      </c>
      <c r="I667" t="s">
        <v>113</v>
      </c>
      <c r="J667">
        <v>0.22</v>
      </c>
      <c r="K667">
        <v>0.21210000000000001</v>
      </c>
      <c r="L667">
        <v>0.64</v>
      </c>
      <c r="M667">
        <v>0.25369999999999998</v>
      </c>
      <c r="N667">
        <v>2</v>
      </c>
      <c r="O667">
        <v>5</v>
      </c>
      <c r="P667">
        <v>7</v>
      </c>
    </row>
    <row r="668" spans="1:16" x14ac:dyDescent="0.35">
      <c r="A668">
        <v>667</v>
      </c>
      <c r="B668" s="37">
        <v>40574</v>
      </c>
      <c r="C668">
        <v>1</v>
      </c>
      <c r="D668">
        <v>0</v>
      </c>
      <c r="E668" t="s">
        <v>104</v>
      </c>
      <c r="F668">
        <v>2</v>
      </c>
      <c r="G668" t="b">
        <v>0</v>
      </c>
      <c r="H668" t="s">
        <v>108</v>
      </c>
      <c r="I668" t="s">
        <v>113</v>
      </c>
      <c r="J668">
        <v>0.22</v>
      </c>
      <c r="K668">
        <v>0.2273</v>
      </c>
      <c r="L668">
        <v>0.64</v>
      </c>
      <c r="M668">
        <v>0.19400000000000001</v>
      </c>
      <c r="N668">
        <v>0</v>
      </c>
      <c r="O668">
        <v>1</v>
      </c>
      <c r="P668">
        <v>1</v>
      </c>
    </row>
    <row r="669" spans="1:16" x14ac:dyDescent="0.35">
      <c r="A669">
        <v>668</v>
      </c>
      <c r="B669" s="37">
        <v>40574</v>
      </c>
      <c r="C669">
        <v>1</v>
      </c>
      <c r="D669">
        <v>0</v>
      </c>
      <c r="E669" t="s">
        <v>104</v>
      </c>
      <c r="F669">
        <v>3</v>
      </c>
      <c r="G669" t="b">
        <v>0</v>
      </c>
      <c r="H669" t="s">
        <v>108</v>
      </c>
      <c r="I669" t="s">
        <v>113</v>
      </c>
      <c r="J669">
        <v>0.22</v>
      </c>
      <c r="K669">
        <v>0.2273</v>
      </c>
      <c r="L669">
        <v>0.64</v>
      </c>
      <c r="M669">
        <v>0.19400000000000001</v>
      </c>
      <c r="N669">
        <v>0</v>
      </c>
      <c r="O669">
        <v>2</v>
      </c>
      <c r="P669">
        <v>2</v>
      </c>
    </row>
    <row r="670" spans="1:16" x14ac:dyDescent="0.35">
      <c r="A670">
        <v>669</v>
      </c>
      <c r="B670" s="37">
        <v>40574</v>
      </c>
      <c r="C670">
        <v>1</v>
      </c>
      <c r="D670">
        <v>0</v>
      </c>
      <c r="E670" t="s">
        <v>104</v>
      </c>
      <c r="F670">
        <v>4</v>
      </c>
      <c r="G670" t="b">
        <v>0</v>
      </c>
      <c r="H670" t="s">
        <v>108</v>
      </c>
      <c r="I670" t="s">
        <v>113</v>
      </c>
      <c r="J670">
        <v>0.2</v>
      </c>
      <c r="K670">
        <v>0.19700000000000001</v>
      </c>
      <c r="L670">
        <v>0.59</v>
      </c>
      <c r="M670">
        <v>0.22389999999999999</v>
      </c>
      <c r="N670">
        <v>0</v>
      </c>
      <c r="O670">
        <v>2</v>
      </c>
      <c r="P670">
        <v>2</v>
      </c>
    </row>
    <row r="671" spans="1:16" x14ac:dyDescent="0.35">
      <c r="A671">
        <v>670</v>
      </c>
      <c r="B671" s="37">
        <v>40574</v>
      </c>
      <c r="C671">
        <v>1</v>
      </c>
      <c r="D671">
        <v>0</v>
      </c>
      <c r="E671" t="s">
        <v>104</v>
      </c>
      <c r="F671">
        <v>5</v>
      </c>
      <c r="G671" t="b">
        <v>0</v>
      </c>
      <c r="H671" t="s">
        <v>108</v>
      </c>
      <c r="I671" t="s">
        <v>113</v>
      </c>
      <c r="J671">
        <v>0.18</v>
      </c>
      <c r="K671">
        <v>0.16669999999999999</v>
      </c>
      <c r="L671">
        <v>0.64</v>
      </c>
      <c r="M671">
        <v>0.28360000000000002</v>
      </c>
      <c r="N671">
        <v>0</v>
      </c>
      <c r="O671">
        <v>8</v>
      </c>
      <c r="P671">
        <v>8</v>
      </c>
    </row>
    <row r="672" spans="1:16" x14ac:dyDescent="0.35">
      <c r="A672">
        <v>671</v>
      </c>
      <c r="B672" s="37">
        <v>40574</v>
      </c>
      <c r="C672">
        <v>1</v>
      </c>
      <c r="D672">
        <v>0</v>
      </c>
      <c r="E672" t="s">
        <v>104</v>
      </c>
      <c r="F672">
        <v>6</v>
      </c>
      <c r="G672" t="b">
        <v>0</v>
      </c>
      <c r="H672" t="s">
        <v>108</v>
      </c>
      <c r="I672" t="s">
        <v>113</v>
      </c>
      <c r="J672">
        <v>0.16</v>
      </c>
      <c r="K672">
        <v>0.13639999999999999</v>
      </c>
      <c r="L672">
        <v>0.69</v>
      </c>
      <c r="M672">
        <v>0.32840000000000003</v>
      </c>
      <c r="N672">
        <v>0</v>
      </c>
      <c r="O672">
        <v>37</v>
      </c>
      <c r="P672">
        <v>37</v>
      </c>
    </row>
    <row r="673" spans="1:16" x14ac:dyDescent="0.35">
      <c r="A673">
        <v>672</v>
      </c>
      <c r="B673" s="37">
        <v>40574</v>
      </c>
      <c r="C673">
        <v>1</v>
      </c>
      <c r="D673">
        <v>0</v>
      </c>
      <c r="E673" t="s">
        <v>104</v>
      </c>
      <c r="F673">
        <v>7</v>
      </c>
      <c r="G673" t="b">
        <v>0</v>
      </c>
      <c r="H673" t="s">
        <v>108</v>
      </c>
      <c r="I673" t="s">
        <v>114</v>
      </c>
      <c r="J673">
        <v>0.16</v>
      </c>
      <c r="K673">
        <v>0.13639999999999999</v>
      </c>
      <c r="L673">
        <v>0.64</v>
      </c>
      <c r="M673">
        <v>0.28360000000000002</v>
      </c>
      <c r="N673">
        <v>1</v>
      </c>
      <c r="O673">
        <v>71</v>
      </c>
      <c r="P673">
        <v>72</v>
      </c>
    </row>
    <row r="674" spans="1:16" x14ac:dyDescent="0.35">
      <c r="A674">
        <v>673</v>
      </c>
      <c r="B674" s="37">
        <v>40574</v>
      </c>
      <c r="C674">
        <v>1</v>
      </c>
      <c r="D674">
        <v>0</v>
      </c>
      <c r="E674" t="s">
        <v>104</v>
      </c>
      <c r="F674">
        <v>8</v>
      </c>
      <c r="G674" t="b">
        <v>0</v>
      </c>
      <c r="H674" t="s">
        <v>108</v>
      </c>
      <c r="I674" t="s">
        <v>114</v>
      </c>
      <c r="J674">
        <v>0.16</v>
      </c>
      <c r="K674">
        <v>0.13639999999999999</v>
      </c>
      <c r="L674">
        <v>0.59</v>
      </c>
      <c r="M674">
        <v>0.28360000000000002</v>
      </c>
      <c r="N674">
        <v>3</v>
      </c>
      <c r="O674">
        <v>182</v>
      </c>
      <c r="P674">
        <v>185</v>
      </c>
    </row>
    <row r="675" spans="1:16" x14ac:dyDescent="0.35">
      <c r="A675">
        <v>674</v>
      </c>
      <c r="B675" s="37">
        <v>40574</v>
      </c>
      <c r="C675">
        <v>1</v>
      </c>
      <c r="D675">
        <v>0</v>
      </c>
      <c r="E675" t="s">
        <v>104</v>
      </c>
      <c r="F675">
        <v>9</v>
      </c>
      <c r="G675" t="b">
        <v>0</v>
      </c>
      <c r="H675" t="s">
        <v>108</v>
      </c>
      <c r="I675" t="s">
        <v>114</v>
      </c>
      <c r="J675">
        <v>0.16</v>
      </c>
      <c r="K675">
        <v>0.13639999999999999</v>
      </c>
      <c r="L675">
        <v>0.59</v>
      </c>
      <c r="M675">
        <v>0.29849999999999999</v>
      </c>
      <c r="N675">
        <v>0</v>
      </c>
      <c r="O675">
        <v>112</v>
      </c>
      <c r="P675">
        <v>112</v>
      </c>
    </row>
    <row r="676" spans="1:16" x14ac:dyDescent="0.35">
      <c r="A676">
        <v>675</v>
      </c>
      <c r="B676" s="37">
        <v>40574</v>
      </c>
      <c r="C676">
        <v>1</v>
      </c>
      <c r="D676">
        <v>0</v>
      </c>
      <c r="E676" t="s">
        <v>104</v>
      </c>
      <c r="F676">
        <v>10</v>
      </c>
      <c r="G676" t="b">
        <v>0</v>
      </c>
      <c r="H676" t="s">
        <v>108</v>
      </c>
      <c r="I676" t="s">
        <v>114</v>
      </c>
      <c r="J676">
        <v>0.16</v>
      </c>
      <c r="K676">
        <v>0.1515</v>
      </c>
      <c r="L676">
        <v>0.59</v>
      </c>
      <c r="M676">
        <v>0.19400000000000001</v>
      </c>
      <c r="N676">
        <v>1</v>
      </c>
      <c r="O676">
        <v>68</v>
      </c>
      <c r="P676">
        <v>69</v>
      </c>
    </row>
    <row r="677" spans="1:16" x14ac:dyDescent="0.35">
      <c r="A677">
        <v>676</v>
      </c>
      <c r="B677" s="37">
        <v>40574</v>
      </c>
      <c r="C677">
        <v>1</v>
      </c>
      <c r="D677">
        <v>0</v>
      </c>
      <c r="E677" t="s">
        <v>104</v>
      </c>
      <c r="F677">
        <v>11</v>
      </c>
      <c r="G677" t="b">
        <v>0</v>
      </c>
      <c r="H677" t="s">
        <v>108</v>
      </c>
      <c r="I677" t="s">
        <v>114</v>
      </c>
      <c r="J677">
        <v>0.16</v>
      </c>
      <c r="K677">
        <v>0.1515</v>
      </c>
      <c r="L677">
        <v>0.59</v>
      </c>
      <c r="M677">
        <v>0.19400000000000001</v>
      </c>
      <c r="N677">
        <v>2</v>
      </c>
      <c r="O677">
        <v>46</v>
      </c>
      <c r="P677">
        <v>48</v>
      </c>
    </row>
    <row r="678" spans="1:16" x14ac:dyDescent="0.35">
      <c r="A678">
        <v>677</v>
      </c>
      <c r="B678" s="37">
        <v>40574</v>
      </c>
      <c r="C678">
        <v>1</v>
      </c>
      <c r="D678">
        <v>0</v>
      </c>
      <c r="E678" t="s">
        <v>104</v>
      </c>
      <c r="F678">
        <v>12</v>
      </c>
      <c r="G678" t="b">
        <v>0</v>
      </c>
      <c r="H678" t="s">
        <v>108</v>
      </c>
      <c r="I678" t="s">
        <v>114</v>
      </c>
      <c r="J678">
        <v>0.18</v>
      </c>
      <c r="K678">
        <v>0.21210000000000001</v>
      </c>
      <c r="L678">
        <v>0.55000000000000004</v>
      </c>
      <c r="M678">
        <v>0.1045</v>
      </c>
      <c r="N678">
        <v>6</v>
      </c>
      <c r="O678">
        <v>62</v>
      </c>
      <c r="P678">
        <v>68</v>
      </c>
    </row>
    <row r="679" spans="1:16" x14ac:dyDescent="0.35">
      <c r="A679">
        <v>678</v>
      </c>
      <c r="B679" s="37">
        <v>40574</v>
      </c>
      <c r="C679">
        <v>1</v>
      </c>
      <c r="D679">
        <v>0</v>
      </c>
      <c r="E679" t="s">
        <v>104</v>
      </c>
      <c r="F679">
        <v>13</v>
      </c>
      <c r="G679" t="b">
        <v>0</v>
      </c>
      <c r="H679" t="s">
        <v>108</v>
      </c>
      <c r="I679" t="s">
        <v>114</v>
      </c>
      <c r="J679">
        <v>0.16</v>
      </c>
      <c r="K679">
        <v>0.2273</v>
      </c>
      <c r="L679">
        <v>0.59</v>
      </c>
      <c r="M679">
        <v>0</v>
      </c>
      <c r="N679">
        <v>2</v>
      </c>
      <c r="O679">
        <v>52</v>
      </c>
      <c r="P679">
        <v>54</v>
      </c>
    </row>
    <row r="680" spans="1:16" x14ac:dyDescent="0.35">
      <c r="A680">
        <v>679</v>
      </c>
      <c r="B680" s="37">
        <v>40574</v>
      </c>
      <c r="C680">
        <v>1</v>
      </c>
      <c r="D680">
        <v>0</v>
      </c>
      <c r="E680" t="s">
        <v>104</v>
      </c>
      <c r="F680">
        <v>14</v>
      </c>
      <c r="G680" t="b">
        <v>0</v>
      </c>
      <c r="H680" t="s">
        <v>108</v>
      </c>
      <c r="I680" t="s">
        <v>114</v>
      </c>
      <c r="J680">
        <v>0.18</v>
      </c>
      <c r="K680">
        <v>0.19700000000000001</v>
      </c>
      <c r="L680">
        <v>0.55000000000000004</v>
      </c>
      <c r="M680">
        <v>0.1343</v>
      </c>
      <c r="N680">
        <v>1</v>
      </c>
      <c r="O680">
        <v>85</v>
      </c>
      <c r="P680">
        <v>86</v>
      </c>
    </row>
    <row r="681" spans="1:16" x14ac:dyDescent="0.35">
      <c r="A681">
        <v>680</v>
      </c>
      <c r="B681" s="37">
        <v>40574</v>
      </c>
      <c r="C681">
        <v>1</v>
      </c>
      <c r="D681">
        <v>0</v>
      </c>
      <c r="E681" t="s">
        <v>104</v>
      </c>
      <c r="F681">
        <v>15</v>
      </c>
      <c r="G681" t="b">
        <v>0</v>
      </c>
      <c r="H681" t="s">
        <v>108</v>
      </c>
      <c r="I681" t="s">
        <v>114</v>
      </c>
      <c r="J681">
        <v>0.16</v>
      </c>
      <c r="K681">
        <v>0.18179999999999999</v>
      </c>
      <c r="L681">
        <v>0.59</v>
      </c>
      <c r="M681">
        <v>0.1343</v>
      </c>
      <c r="N681">
        <v>3</v>
      </c>
      <c r="O681">
        <v>41</v>
      </c>
      <c r="P681">
        <v>44</v>
      </c>
    </row>
    <row r="682" spans="1:16" x14ac:dyDescent="0.35">
      <c r="A682">
        <v>681</v>
      </c>
      <c r="B682" s="37">
        <v>40574</v>
      </c>
      <c r="C682">
        <v>1</v>
      </c>
      <c r="D682">
        <v>0</v>
      </c>
      <c r="E682" t="s">
        <v>104</v>
      </c>
      <c r="F682">
        <v>16</v>
      </c>
      <c r="G682" t="b">
        <v>0</v>
      </c>
      <c r="H682" t="s">
        <v>108</v>
      </c>
      <c r="I682" t="s">
        <v>114</v>
      </c>
      <c r="J682">
        <v>0.16</v>
      </c>
      <c r="K682">
        <v>0.18179999999999999</v>
      </c>
      <c r="L682">
        <v>0.56000000000000005</v>
      </c>
      <c r="M682">
        <v>0.19400000000000001</v>
      </c>
      <c r="N682">
        <v>3</v>
      </c>
      <c r="O682">
        <v>83</v>
      </c>
      <c r="P682">
        <v>86</v>
      </c>
    </row>
    <row r="683" spans="1:16" x14ac:dyDescent="0.35">
      <c r="A683">
        <v>682</v>
      </c>
      <c r="B683" s="37">
        <v>40574</v>
      </c>
      <c r="C683">
        <v>1</v>
      </c>
      <c r="D683">
        <v>0</v>
      </c>
      <c r="E683" t="s">
        <v>104</v>
      </c>
      <c r="F683">
        <v>17</v>
      </c>
      <c r="G683" t="b">
        <v>0</v>
      </c>
      <c r="H683" t="s">
        <v>108</v>
      </c>
      <c r="I683" t="s">
        <v>114</v>
      </c>
      <c r="J683">
        <v>0.16</v>
      </c>
      <c r="K683">
        <v>0.1515</v>
      </c>
      <c r="L683">
        <v>0.59</v>
      </c>
      <c r="M683">
        <v>0.19400000000000001</v>
      </c>
      <c r="N683">
        <v>6</v>
      </c>
      <c r="O683">
        <v>155</v>
      </c>
      <c r="P683">
        <v>161</v>
      </c>
    </row>
    <row r="684" spans="1:16" x14ac:dyDescent="0.35">
      <c r="A684">
        <v>683</v>
      </c>
      <c r="B684" s="37">
        <v>40574</v>
      </c>
      <c r="C684">
        <v>1</v>
      </c>
      <c r="D684">
        <v>0</v>
      </c>
      <c r="E684" t="s">
        <v>104</v>
      </c>
      <c r="F684">
        <v>18</v>
      </c>
      <c r="G684" t="b">
        <v>0</v>
      </c>
      <c r="H684" t="s">
        <v>108</v>
      </c>
      <c r="I684" t="s">
        <v>114</v>
      </c>
      <c r="J684">
        <v>0.16</v>
      </c>
      <c r="K684">
        <v>0.1515</v>
      </c>
      <c r="L684">
        <v>0.55000000000000004</v>
      </c>
      <c r="M684">
        <v>0.22389999999999999</v>
      </c>
      <c r="N684">
        <v>3</v>
      </c>
      <c r="O684">
        <v>153</v>
      </c>
      <c r="P684">
        <v>156</v>
      </c>
    </row>
    <row r="685" spans="1:16" x14ac:dyDescent="0.35">
      <c r="A685">
        <v>684</v>
      </c>
      <c r="B685" s="37">
        <v>40574</v>
      </c>
      <c r="C685">
        <v>1</v>
      </c>
      <c r="D685">
        <v>0</v>
      </c>
      <c r="E685" t="s">
        <v>104</v>
      </c>
      <c r="F685">
        <v>19</v>
      </c>
      <c r="G685" t="b">
        <v>0</v>
      </c>
      <c r="H685" t="s">
        <v>108</v>
      </c>
      <c r="I685" t="s">
        <v>113</v>
      </c>
      <c r="J685">
        <v>0.3</v>
      </c>
      <c r="K685">
        <v>0.31819999999999998</v>
      </c>
      <c r="L685">
        <v>0.61</v>
      </c>
      <c r="M685">
        <v>0.1045</v>
      </c>
      <c r="N685">
        <v>3</v>
      </c>
      <c r="O685">
        <v>108</v>
      </c>
      <c r="P685">
        <v>111</v>
      </c>
    </row>
    <row r="686" spans="1:16" x14ac:dyDescent="0.35">
      <c r="A686">
        <v>685</v>
      </c>
      <c r="B686" s="37">
        <v>40574</v>
      </c>
      <c r="C686">
        <v>1</v>
      </c>
      <c r="D686">
        <v>0</v>
      </c>
      <c r="E686" t="s">
        <v>104</v>
      </c>
      <c r="F686">
        <v>20</v>
      </c>
      <c r="G686" t="b">
        <v>0</v>
      </c>
      <c r="H686" t="s">
        <v>108</v>
      </c>
      <c r="I686" t="s">
        <v>115</v>
      </c>
      <c r="J686">
        <v>0.16</v>
      </c>
      <c r="K686">
        <v>0.16669999999999999</v>
      </c>
      <c r="L686">
        <v>0.59</v>
      </c>
      <c r="M686">
        <v>0.16420000000000001</v>
      </c>
      <c r="N686">
        <v>0</v>
      </c>
      <c r="O686">
        <v>78</v>
      </c>
      <c r="P686">
        <v>78</v>
      </c>
    </row>
    <row r="687" spans="1:16" x14ac:dyDescent="0.35">
      <c r="A687">
        <v>686</v>
      </c>
      <c r="B687" s="37">
        <v>40574</v>
      </c>
      <c r="C687">
        <v>1</v>
      </c>
      <c r="D687">
        <v>0</v>
      </c>
      <c r="E687" t="s">
        <v>104</v>
      </c>
      <c r="F687">
        <v>21</v>
      </c>
      <c r="G687" t="b">
        <v>0</v>
      </c>
      <c r="H687" t="s">
        <v>108</v>
      </c>
      <c r="I687" t="s">
        <v>115</v>
      </c>
      <c r="J687">
        <v>0.16</v>
      </c>
      <c r="K687">
        <v>0.19700000000000001</v>
      </c>
      <c r="L687">
        <v>0.59</v>
      </c>
      <c r="M687">
        <v>8.9599999999999999E-2</v>
      </c>
      <c r="N687">
        <v>3</v>
      </c>
      <c r="O687">
        <v>53</v>
      </c>
      <c r="P687">
        <v>56</v>
      </c>
    </row>
    <row r="688" spans="1:16" x14ac:dyDescent="0.35">
      <c r="A688">
        <v>687</v>
      </c>
      <c r="B688" s="37">
        <v>40574</v>
      </c>
      <c r="C688">
        <v>1</v>
      </c>
      <c r="D688">
        <v>0</v>
      </c>
      <c r="E688" t="s">
        <v>104</v>
      </c>
      <c r="F688">
        <v>22</v>
      </c>
      <c r="G688" t="b">
        <v>0</v>
      </c>
      <c r="H688" t="s">
        <v>108</v>
      </c>
      <c r="I688" t="s">
        <v>114</v>
      </c>
      <c r="J688">
        <v>0.16</v>
      </c>
      <c r="K688">
        <v>0.18179999999999999</v>
      </c>
      <c r="L688">
        <v>0.59</v>
      </c>
      <c r="M688">
        <v>0.1045</v>
      </c>
      <c r="N688">
        <v>0</v>
      </c>
      <c r="O688">
        <v>34</v>
      </c>
      <c r="P688">
        <v>34</v>
      </c>
    </row>
    <row r="689" spans="1:16" x14ac:dyDescent="0.35">
      <c r="A689">
        <v>688</v>
      </c>
      <c r="B689" s="37">
        <v>40574</v>
      </c>
      <c r="C689">
        <v>1</v>
      </c>
      <c r="D689">
        <v>0</v>
      </c>
      <c r="E689" t="s">
        <v>104</v>
      </c>
      <c r="F689">
        <v>23</v>
      </c>
      <c r="G689" t="b">
        <v>0</v>
      </c>
      <c r="H689" t="s">
        <v>108</v>
      </c>
      <c r="I689" t="s">
        <v>114</v>
      </c>
      <c r="J689">
        <v>0.16</v>
      </c>
      <c r="K689">
        <v>0.19700000000000001</v>
      </c>
      <c r="L689">
        <v>0.64</v>
      </c>
      <c r="M689">
        <v>8.9599999999999999E-2</v>
      </c>
      <c r="N689">
        <v>2</v>
      </c>
      <c r="O689">
        <v>15</v>
      </c>
      <c r="P689">
        <v>17</v>
      </c>
    </row>
    <row r="690" spans="1:16" x14ac:dyDescent="0.35">
      <c r="A690">
        <v>689</v>
      </c>
      <c r="B690" s="37">
        <v>40575</v>
      </c>
      <c r="C690">
        <v>1</v>
      </c>
      <c r="D690">
        <v>0</v>
      </c>
      <c r="E690" t="s">
        <v>105</v>
      </c>
      <c r="F690">
        <v>0</v>
      </c>
      <c r="G690" t="b">
        <v>0</v>
      </c>
      <c r="H690" t="s">
        <v>109</v>
      </c>
      <c r="I690" t="s">
        <v>114</v>
      </c>
      <c r="J690">
        <v>0.16</v>
      </c>
      <c r="K690">
        <v>0.18179999999999999</v>
      </c>
      <c r="L690">
        <v>0.64</v>
      </c>
      <c r="M690">
        <v>0.1045</v>
      </c>
      <c r="N690">
        <v>2</v>
      </c>
      <c r="O690">
        <v>6</v>
      </c>
      <c r="P690">
        <v>8</v>
      </c>
    </row>
    <row r="691" spans="1:16" x14ac:dyDescent="0.35">
      <c r="A691">
        <v>690</v>
      </c>
      <c r="B691" s="37">
        <v>40575</v>
      </c>
      <c r="C691">
        <v>1</v>
      </c>
      <c r="D691">
        <v>0</v>
      </c>
      <c r="E691" t="s">
        <v>105</v>
      </c>
      <c r="F691">
        <v>1</v>
      </c>
      <c r="G691" t="b">
        <v>0</v>
      </c>
      <c r="H691" t="s">
        <v>109</v>
      </c>
      <c r="I691" t="s">
        <v>114</v>
      </c>
      <c r="J691">
        <v>0.16</v>
      </c>
      <c r="K691">
        <v>0.18179999999999999</v>
      </c>
      <c r="L691">
        <v>0.69</v>
      </c>
      <c r="M691">
        <v>0.1045</v>
      </c>
      <c r="N691">
        <v>0</v>
      </c>
      <c r="O691">
        <v>3</v>
      </c>
      <c r="P691">
        <v>3</v>
      </c>
    </row>
    <row r="692" spans="1:16" x14ac:dyDescent="0.35">
      <c r="A692">
        <v>691</v>
      </c>
      <c r="B692" s="37">
        <v>40575</v>
      </c>
      <c r="C692">
        <v>1</v>
      </c>
      <c r="D692">
        <v>0</v>
      </c>
      <c r="E692" t="s">
        <v>105</v>
      </c>
      <c r="F692">
        <v>2</v>
      </c>
      <c r="G692" t="b">
        <v>0</v>
      </c>
      <c r="H692" t="s">
        <v>109</v>
      </c>
      <c r="I692" t="s">
        <v>114</v>
      </c>
      <c r="J692">
        <v>0.16</v>
      </c>
      <c r="K692">
        <v>0.2273</v>
      </c>
      <c r="L692">
        <v>0.69</v>
      </c>
      <c r="M692">
        <v>0</v>
      </c>
      <c r="N692">
        <v>0</v>
      </c>
      <c r="O692">
        <v>2</v>
      </c>
      <c r="P692">
        <v>2</v>
      </c>
    </row>
    <row r="693" spans="1:16" x14ac:dyDescent="0.35">
      <c r="A693">
        <v>692</v>
      </c>
      <c r="B693" s="37">
        <v>40575</v>
      </c>
      <c r="C693">
        <v>1</v>
      </c>
      <c r="D693">
        <v>0</v>
      </c>
      <c r="E693" t="s">
        <v>105</v>
      </c>
      <c r="F693">
        <v>3</v>
      </c>
      <c r="G693" t="b">
        <v>0</v>
      </c>
      <c r="H693" t="s">
        <v>109</v>
      </c>
      <c r="I693" t="s">
        <v>114</v>
      </c>
      <c r="J693">
        <v>0.16</v>
      </c>
      <c r="K693">
        <v>0.2273</v>
      </c>
      <c r="L693">
        <v>0.69</v>
      </c>
      <c r="M693">
        <v>0</v>
      </c>
      <c r="N693">
        <v>0</v>
      </c>
      <c r="O693">
        <v>2</v>
      </c>
      <c r="P693">
        <v>2</v>
      </c>
    </row>
    <row r="694" spans="1:16" x14ac:dyDescent="0.35">
      <c r="A694">
        <v>693</v>
      </c>
      <c r="B694" s="37">
        <v>40575</v>
      </c>
      <c r="C694">
        <v>1</v>
      </c>
      <c r="D694">
        <v>0</v>
      </c>
      <c r="E694" t="s">
        <v>105</v>
      </c>
      <c r="F694">
        <v>5</v>
      </c>
      <c r="G694" t="b">
        <v>0</v>
      </c>
      <c r="H694" t="s">
        <v>109</v>
      </c>
      <c r="I694" t="s">
        <v>115</v>
      </c>
      <c r="J694">
        <v>0.14000000000000001</v>
      </c>
      <c r="K694">
        <v>0.21210000000000001</v>
      </c>
      <c r="L694">
        <v>0.93</v>
      </c>
      <c r="M694">
        <v>0</v>
      </c>
      <c r="N694">
        <v>0</v>
      </c>
      <c r="O694">
        <v>3</v>
      </c>
      <c r="P694">
        <v>3</v>
      </c>
    </row>
    <row r="695" spans="1:16" x14ac:dyDescent="0.35">
      <c r="A695">
        <v>694</v>
      </c>
      <c r="B695" s="37">
        <v>40575</v>
      </c>
      <c r="C695">
        <v>1</v>
      </c>
      <c r="D695">
        <v>0</v>
      </c>
      <c r="E695" t="s">
        <v>105</v>
      </c>
      <c r="F695">
        <v>6</v>
      </c>
      <c r="G695" t="b">
        <v>0</v>
      </c>
      <c r="H695" t="s">
        <v>109</v>
      </c>
      <c r="I695" t="s">
        <v>115</v>
      </c>
      <c r="J695">
        <v>0.14000000000000001</v>
      </c>
      <c r="K695">
        <v>0.21210000000000001</v>
      </c>
      <c r="L695">
        <v>0.93</v>
      </c>
      <c r="M695">
        <v>0</v>
      </c>
      <c r="N695">
        <v>0</v>
      </c>
      <c r="O695">
        <v>22</v>
      </c>
      <c r="P695">
        <v>22</v>
      </c>
    </row>
    <row r="696" spans="1:16" x14ac:dyDescent="0.35">
      <c r="A696">
        <v>695</v>
      </c>
      <c r="B696" s="37">
        <v>40575</v>
      </c>
      <c r="C696">
        <v>1</v>
      </c>
      <c r="D696">
        <v>0</v>
      </c>
      <c r="E696" t="s">
        <v>105</v>
      </c>
      <c r="F696">
        <v>7</v>
      </c>
      <c r="G696" t="b">
        <v>0</v>
      </c>
      <c r="H696" t="s">
        <v>109</v>
      </c>
      <c r="I696" t="s">
        <v>115</v>
      </c>
      <c r="J696">
        <v>0.16</v>
      </c>
      <c r="K696">
        <v>0.2273</v>
      </c>
      <c r="L696">
        <v>0.93</v>
      </c>
      <c r="M696">
        <v>0</v>
      </c>
      <c r="N696">
        <v>0</v>
      </c>
      <c r="O696">
        <v>52</v>
      </c>
      <c r="P696">
        <v>52</v>
      </c>
    </row>
    <row r="697" spans="1:16" x14ac:dyDescent="0.35">
      <c r="A697">
        <v>696</v>
      </c>
      <c r="B697" s="37">
        <v>40575</v>
      </c>
      <c r="C697">
        <v>1</v>
      </c>
      <c r="D697">
        <v>0</v>
      </c>
      <c r="E697" t="s">
        <v>105</v>
      </c>
      <c r="F697">
        <v>8</v>
      </c>
      <c r="G697" t="b">
        <v>0</v>
      </c>
      <c r="H697" t="s">
        <v>109</v>
      </c>
      <c r="I697" t="s">
        <v>115</v>
      </c>
      <c r="J697">
        <v>0.16</v>
      </c>
      <c r="K697">
        <v>0.2273</v>
      </c>
      <c r="L697">
        <v>0.93</v>
      </c>
      <c r="M697">
        <v>0</v>
      </c>
      <c r="N697">
        <v>3</v>
      </c>
      <c r="O697">
        <v>132</v>
      </c>
      <c r="P697">
        <v>135</v>
      </c>
    </row>
    <row r="698" spans="1:16" x14ac:dyDescent="0.35">
      <c r="A698">
        <v>697</v>
      </c>
      <c r="B698" s="37">
        <v>40575</v>
      </c>
      <c r="C698">
        <v>1</v>
      </c>
      <c r="D698">
        <v>0</v>
      </c>
      <c r="E698" t="s">
        <v>105</v>
      </c>
      <c r="F698">
        <v>9</v>
      </c>
      <c r="G698" t="b">
        <v>0</v>
      </c>
      <c r="H698" t="s">
        <v>109</v>
      </c>
      <c r="I698" t="s">
        <v>114</v>
      </c>
      <c r="J698">
        <v>0.16</v>
      </c>
      <c r="K698">
        <v>0.2273</v>
      </c>
      <c r="L698">
        <v>0.93</v>
      </c>
      <c r="M698">
        <v>0</v>
      </c>
      <c r="N698">
        <v>2</v>
      </c>
      <c r="O698">
        <v>114</v>
      </c>
      <c r="P698">
        <v>116</v>
      </c>
    </row>
    <row r="699" spans="1:16" x14ac:dyDescent="0.35">
      <c r="A699">
        <v>698</v>
      </c>
      <c r="B699" s="37">
        <v>40575</v>
      </c>
      <c r="C699">
        <v>1</v>
      </c>
      <c r="D699">
        <v>0</v>
      </c>
      <c r="E699" t="s">
        <v>105</v>
      </c>
      <c r="F699">
        <v>10</v>
      </c>
      <c r="G699" t="b">
        <v>0</v>
      </c>
      <c r="H699" t="s">
        <v>109</v>
      </c>
      <c r="I699" t="s">
        <v>114</v>
      </c>
      <c r="J699">
        <v>0.16</v>
      </c>
      <c r="K699">
        <v>0.2273</v>
      </c>
      <c r="L699">
        <v>0.93</v>
      </c>
      <c r="M699">
        <v>0</v>
      </c>
      <c r="N699">
        <v>0</v>
      </c>
      <c r="O699">
        <v>47</v>
      </c>
      <c r="P699">
        <v>47</v>
      </c>
    </row>
    <row r="700" spans="1:16" x14ac:dyDescent="0.35">
      <c r="A700">
        <v>699</v>
      </c>
      <c r="B700" s="37">
        <v>40575</v>
      </c>
      <c r="C700">
        <v>1</v>
      </c>
      <c r="D700">
        <v>0</v>
      </c>
      <c r="E700" t="s">
        <v>105</v>
      </c>
      <c r="F700">
        <v>11</v>
      </c>
      <c r="G700" t="b">
        <v>0</v>
      </c>
      <c r="H700" t="s">
        <v>109</v>
      </c>
      <c r="I700" t="s">
        <v>114</v>
      </c>
      <c r="J700">
        <v>0.18</v>
      </c>
      <c r="K700">
        <v>0.2424</v>
      </c>
      <c r="L700">
        <v>0.86</v>
      </c>
      <c r="M700">
        <v>0</v>
      </c>
      <c r="N700">
        <v>2</v>
      </c>
      <c r="O700">
        <v>49</v>
      </c>
      <c r="P700">
        <v>51</v>
      </c>
    </row>
    <row r="701" spans="1:16" x14ac:dyDescent="0.35">
      <c r="A701">
        <v>700</v>
      </c>
      <c r="B701" s="37">
        <v>40575</v>
      </c>
      <c r="C701">
        <v>1</v>
      </c>
      <c r="D701">
        <v>0</v>
      </c>
      <c r="E701" t="s">
        <v>105</v>
      </c>
      <c r="F701">
        <v>12</v>
      </c>
      <c r="G701" t="b">
        <v>0</v>
      </c>
      <c r="H701" t="s">
        <v>109</v>
      </c>
      <c r="I701" t="s">
        <v>114</v>
      </c>
      <c r="J701">
        <v>0.2</v>
      </c>
      <c r="K701">
        <v>0.2576</v>
      </c>
      <c r="L701">
        <v>0.86</v>
      </c>
      <c r="M701">
        <v>0</v>
      </c>
      <c r="N701">
        <v>2</v>
      </c>
      <c r="O701">
        <v>53</v>
      </c>
      <c r="P701">
        <v>55</v>
      </c>
    </row>
    <row r="702" spans="1:16" x14ac:dyDescent="0.35">
      <c r="A702">
        <v>701</v>
      </c>
      <c r="B702" s="37">
        <v>40575</v>
      </c>
      <c r="C702">
        <v>1</v>
      </c>
      <c r="D702">
        <v>0</v>
      </c>
      <c r="E702" t="s">
        <v>105</v>
      </c>
      <c r="F702">
        <v>13</v>
      </c>
      <c r="G702" t="b">
        <v>0</v>
      </c>
      <c r="H702" t="s">
        <v>109</v>
      </c>
      <c r="I702" t="s">
        <v>114</v>
      </c>
      <c r="J702">
        <v>0.2</v>
      </c>
      <c r="K702">
        <v>0.2576</v>
      </c>
      <c r="L702">
        <v>0.86</v>
      </c>
      <c r="M702">
        <v>0</v>
      </c>
      <c r="N702">
        <v>3</v>
      </c>
      <c r="O702">
        <v>49</v>
      </c>
      <c r="P702">
        <v>52</v>
      </c>
    </row>
    <row r="703" spans="1:16" x14ac:dyDescent="0.35">
      <c r="A703">
        <v>702</v>
      </c>
      <c r="B703" s="37">
        <v>40575</v>
      </c>
      <c r="C703">
        <v>1</v>
      </c>
      <c r="D703">
        <v>0</v>
      </c>
      <c r="E703" t="s">
        <v>105</v>
      </c>
      <c r="F703">
        <v>14</v>
      </c>
      <c r="G703" t="b">
        <v>0</v>
      </c>
      <c r="H703" t="s">
        <v>109</v>
      </c>
      <c r="I703" t="s">
        <v>114</v>
      </c>
      <c r="J703">
        <v>0.22</v>
      </c>
      <c r="K703">
        <v>0.2576</v>
      </c>
      <c r="L703">
        <v>0.8</v>
      </c>
      <c r="M703">
        <v>8.9599999999999999E-2</v>
      </c>
      <c r="N703">
        <v>5</v>
      </c>
      <c r="O703">
        <v>49</v>
      </c>
      <c r="P703">
        <v>54</v>
      </c>
    </row>
    <row r="704" spans="1:16" x14ac:dyDescent="0.35">
      <c r="A704">
        <v>703</v>
      </c>
      <c r="B704" s="37">
        <v>40575</v>
      </c>
      <c r="C704">
        <v>1</v>
      </c>
      <c r="D704">
        <v>0</v>
      </c>
      <c r="E704" t="s">
        <v>105</v>
      </c>
      <c r="F704">
        <v>15</v>
      </c>
      <c r="G704" t="b">
        <v>0</v>
      </c>
      <c r="H704" t="s">
        <v>109</v>
      </c>
      <c r="I704" t="s">
        <v>114</v>
      </c>
      <c r="J704">
        <v>0.24</v>
      </c>
      <c r="K704">
        <v>0.28789999999999999</v>
      </c>
      <c r="L704">
        <v>0.75</v>
      </c>
      <c r="M704">
        <v>0</v>
      </c>
      <c r="N704">
        <v>7</v>
      </c>
      <c r="O704">
        <v>45</v>
      </c>
      <c r="P704">
        <v>52</v>
      </c>
    </row>
    <row r="705" spans="1:16" x14ac:dyDescent="0.35">
      <c r="A705">
        <v>704</v>
      </c>
      <c r="B705" s="37">
        <v>40575</v>
      </c>
      <c r="C705">
        <v>1</v>
      </c>
      <c r="D705">
        <v>0</v>
      </c>
      <c r="E705" t="s">
        <v>105</v>
      </c>
      <c r="F705">
        <v>16</v>
      </c>
      <c r="G705" t="b">
        <v>0</v>
      </c>
      <c r="H705" t="s">
        <v>109</v>
      </c>
      <c r="I705" t="s">
        <v>114</v>
      </c>
      <c r="J705">
        <v>0.24</v>
      </c>
      <c r="K705">
        <v>0.2424</v>
      </c>
      <c r="L705">
        <v>0.75</v>
      </c>
      <c r="M705">
        <v>0.1343</v>
      </c>
      <c r="N705">
        <v>3</v>
      </c>
      <c r="O705">
        <v>61</v>
      </c>
      <c r="P705">
        <v>64</v>
      </c>
    </row>
    <row r="706" spans="1:16" x14ac:dyDescent="0.35">
      <c r="A706">
        <v>705</v>
      </c>
      <c r="B706" s="37">
        <v>40575</v>
      </c>
      <c r="C706">
        <v>1</v>
      </c>
      <c r="D706">
        <v>0</v>
      </c>
      <c r="E706" t="s">
        <v>105</v>
      </c>
      <c r="F706">
        <v>17</v>
      </c>
      <c r="G706" t="b">
        <v>0</v>
      </c>
      <c r="H706" t="s">
        <v>109</v>
      </c>
      <c r="I706" t="s">
        <v>114</v>
      </c>
      <c r="J706">
        <v>0.24</v>
      </c>
      <c r="K706">
        <v>0.28789999999999999</v>
      </c>
      <c r="L706">
        <v>0.75</v>
      </c>
      <c r="M706">
        <v>0</v>
      </c>
      <c r="N706">
        <v>4</v>
      </c>
      <c r="O706">
        <v>172</v>
      </c>
      <c r="P706">
        <v>176</v>
      </c>
    </row>
    <row r="707" spans="1:16" x14ac:dyDescent="0.35">
      <c r="A707">
        <v>706</v>
      </c>
      <c r="B707" s="37">
        <v>40575</v>
      </c>
      <c r="C707">
        <v>1</v>
      </c>
      <c r="D707">
        <v>0</v>
      </c>
      <c r="E707" t="s">
        <v>105</v>
      </c>
      <c r="F707">
        <v>18</v>
      </c>
      <c r="G707" t="b">
        <v>0</v>
      </c>
      <c r="H707" t="s">
        <v>109</v>
      </c>
      <c r="I707" t="s">
        <v>114</v>
      </c>
      <c r="J707">
        <v>0.24</v>
      </c>
      <c r="K707">
        <v>0.2576</v>
      </c>
      <c r="L707">
        <v>0.81</v>
      </c>
      <c r="M707">
        <v>0.1045</v>
      </c>
      <c r="N707">
        <v>3</v>
      </c>
      <c r="O707">
        <v>165</v>
      </c>
      <c r="P707">
        <v>168</v>
      </c>
    </row>
    <row r="708" spans="1:16" x14ac:dyDescent="0.35">
      <c r="A708">
        <v>707</v>
      </c>
      <c r="B708" s="37">
        <v>40575</v>
      </c>
      <c r="C708">
        <v>1</v>
      </c>
      <c r="D708">
        <v>0</v>
      </c>
      <c r="E708" t="s">
        <v>105</v>
      </c>
      <c r="F708">
        <v>19</v>
      </c>
      <c r="G708" t="b">
        <v>0</v>
      </c>
      <c r="H708" t="s">
        <v>109</v>
      </c>
      <c r="I708" t="s">
        <v>114</v>
      </c>
      <c r="J708">
        <v>0.24</v>
      </c>
      <c r="K708">
        <v>0.2424</v>
      </c>
      <c r="L708">
        <v>0.81</v>
      </c>
      <c r="M708">
        <v>0.1343</v>
      </c>
      <c r="N708">
        <v>3</v>
      </c>
      <c r="O708">
        <v>105</v>
      </c>
      <c r="P708">
        <v>108</v>
      </c>
    </row>
    <row r="709" spans="1:16" x14ac:dyDescent="0.35">
      <c r="A709">
        <v>708</v>
      </c>
      <c r="B709" s="37">
        <v>40575</v>
      </c>
      <c r="C709">
        <v>1</v>
      </c>
      <c r="D709">
        <v>0</v>
      </c>
      <c r="E709" t="s">
        <v>105</v>
      </c>
      <c r="F709">
        <v>20</v>
      </c>
      <c r="G709" t="b">
        <v>0</v>
      </c>
      <c r="H709" t="s">
        <v>109</v>
      </c>
      <c r="I709" t="s">
        <v>114</v>
      </c>
      <c r="J709">
        <v>0.22</v>
      </c>
      <c r="K709">
        <v>0.2273</v>
      </c>
      <c r="L709">
        <v>0.87</v>
      </c>
      <c r="M709">
        <v>0.1343</v>
      </c>
      <c r="N709">
        <v>5</v>
      </c>
      <c r="O709">
        <v>69</v>
      </c>
      <c r="P709">
        <v>74</v>
      </c>
    </row>
    <row r="710" spans="1:16" x14ac:dyDescent="0.35">
      <c r="A710">
        <v>709</v>
      </c>
      <c r="B710" s="37">
        <v>40575</v>
      </c>
      <c r="C710">
        <v>1</v>
      </c>
      <c r="D710">
        <v>0</v>
      </c>
      <c r="E710" t="s">
        <v>105</v>
      </c>
      <c r="F710">
        <v>21</v>
      </c>
      <c r="G710" t="b">
        <v>0</v>
      </c>
      <c r="H710" t="s">
        <v>109</v>
      </c>
      <c r="I710" t="s">
        <v>114</v>
      </c>
      <c r="J710">
        <v>0.22</v>
      </c>
      <c r="K710">
        <v>0.2273</v>
      </c>
      <c r="L710">
        <v>0.87</v>
      </c>
      <c r="M710">
        <v>0.1343</v>
      </c>
      <c r="N710">
        <v>0</v>
      </c>
      <c r="O710">
        <v>64</v>
      </c>
      <c r="P710">
        <v>64</v>
      </c>
    </row>
    <row r="711" spans="1:16" x14ac:dyDescent="0.35">
      <c r="A711">
        <v>710</v>
      </c>
      <c r="B711" s="37">
        <v>40575</v>
      </c>
      <c r="C711">
        <v>1</v>
      </c>
      <c r="D711">
        <v>0</v>
      </c>
      <c r="E711" t="s">
        <v>105</v>
      </c>
      <c r="F711">
        <v>22</v>
      </c>
      <c r="G711" t="b">
        <v>0</v>
      </c>
      <c r="H711" t="s">
        <v>109</v>
      </c>
      <c r="I711" t="s">
        <v>114</v>
      </c>
      <c r="J711">
        <v>0.22</v>
      </c>
      <c r="K711">
        <v>0.2576</v>
      </c>
      <c r="L711">
        <v>0.87</v>
      </c>
      <c r="M711">
        <v>8.9599999999999999E-2</v>
      </c>
      <c r="N711">
        <v>2</v>
      </c>
      <c r="O711">
        <v>34</v>
      </c>
      <c r="P711">
        <v>36</v>
      </c>
    </row>
    <row r="712" spans="1:16" x14ac:dyDescent="0.35">
      <c r="A712">
        <v>711</v>
      </c>
      <c r="B712" s="37">
        <v>40575</v>
      </c>
      <c r="C712">
        <v>1</v>
      </c>
      <c r="D712">
        <v>0</v>
      </c>
      <c r="E712" t="s">
        <v>105</v>
      </c>
      <c r="F712">
        <v>23</v>
      </c>
      <c r="G712" t="b">
        <v>0</v>
      </c>
      <c r="H712" t="s">
        <v>109</v>
      </c>
      <c r="I712" t="s">
        <v>115</v>
      </c>
      <c r="J712">
        <v>0.2</v>
      </c>
      <c r="K712">
        <v>0.19700000000000001</v>
      </c>
      <c r="L712">
        <v>0.93</v>
      </c>
      <c r="M712">
        <v>0.19400000000000001</v>
      </c>
      <c r="N712">
        <v>1</v>
      </c>
      <c r="O712">
        <v>15</v>
      </c>
      <c r="P712">
        <v>16</v>
      </c>
    </row>
    <row r="713" spans="1:16" x14ac:dyDescent="0.35">
      <c r="A713">
        <v>712</v>
      </c>
      <c r="B713" s="37">
        <v>40576</v>
      </c>
      <c r="C713">
        <v>1</v>
      </c>
      <c r="D713">
        <v>0</v>
      </c>
      <c r="E713" t="s">
        <v>105</v>
      </c>
      <c r="F713">
        <v>0</v>
      </c>
      <c r="G713" t="b">
        <v>0</v>
      </c>
      <c r="H713" t="s">
        <v>110</v>
      </c>
      <c r="I713" t="s">
        <v>115</v>
      </c>
      <c r="J713">
        <v>0.22</v>
      </c>
      <c r="K713">
        <v>0.2424</v>
      </c>
      <c r="L713">
        <v>0.93</v>
      </c>
      <c r="M713">
        <v>0.1045</v>
      </c>
      <c r="N713">
        <v>0</v>
      </c>
      <c r="O713">
        <v>2</v>
      </c>
      <c r="P713">
        <v>2</v>
      </c>
    </row>
    <row r="714" spans="1:16" x14ac:dyDescent="0.35">
      <c r="A714">
        <v>713</v>
      </c>
      <c r="B714" s="37">
        <v>40576</v>
      </c>
      <c r="C714">
        <v>1</v>
      </c>
      <c r="D714">
        <v>0</v>
      </c>
      <c r="E714" t="s">
        <v>105</v>
      </c>
      <c r="F714">
        <v>1</v>
      </c>
      <c r="G714" t="b">
        <v>0</v>
      </c>
      <c r="H714" t="s">
        <v>110</v>
      </c>
      <c r="I714" t="s">
        <v>115</v>
      </c>
      <c r="J714">
        <v>0.22</v>
      </c>
      <c r="K714">
        <v>0.2273</v>
      </c>
      <c r="L714">
        <v>0.93</v>
      </c>
      <c r="M714">
        <v>0.19400000000000001</v>
      </c>
      <c r="N714">
        <v>0</v>
      </c>
      <c r="O714">
        <v>3</v>
      </c>
      <c r="P714">
        <v>3</v>
      </c>
    </row>
    <row r="715" spans="1:16" x14ac:dyDescent="0.35">
      <c r="A715">
        <v>714</v>
      </c>
      <c r="B715" s="37">
        <v>40576</v>
      </c>
      <c r="C715">
        <v>1</v>
      </c>
      <c r="D715">
        <v>0</v>
      </c>
      <c r="E715" t="s">
        <v>105</v>
      </c>
      <c r="F715">
        <v>2</v>
      </c>
      <c r="G715" t="b">
        <v>0</v>
      </c>
      <c r="H715" t="s">
        <v>110</v>
      </c>
      <c r="I715" t="s">
        <v>115</v>
      </c>
      <c r="J715">
        <v>0.22</v>
      </c>
      <c r="K715">
        <v>0.2273</v>
      </c>
      <c r="L715">
        <v>0.93</v>
      </c>
      <c r="M715">
        <v>0.1343</v>
      </c>
      <c r="N715">
        <v>4</v>
      </c>
      <c r="O715">
        <v>0</v>
      </c>
      <c r="P715">
        <v>4</v>
      </c>
    </row>
    <row r="716" spans="1:16" x14ac:dyDescent="0.35">
      <c r="A716">
        <v>715</v>
      </c>
      <c r="B716" s="37">
        <v>40576</v>
      </c>
      <c r="C716">
        <v>1</v>
      </c>
      <c r="D716">
        <v>0</v>
      </c>
      <c r="E716" t="s">
        <v>105</v>
      </c>
      <c r="F716">
        <v>3</v>
      </c>
      <c r="G716" t="b">
        <v>0</v>
      </c>
      <c r="H716" t="s">
        <v>110</v>
      </c>
      <c r="I716" t="s">
        <v>115</v>
      </c>
      <c r="J716">
        <v>0.22</v>
      </c>
      <c r="K716">
        <v>0.2273</v>
      </c>
      <c r="L716">
        <v>0.93</v>
      </c>
      <c r="M716">
        <v>0.1343</v>
      </c>
      <c r="N716">
        <v>0</v>
      </c>
      <c r="O716">
        <v>1</v>
      </c>
      <c r="P716">
        <v>1</v>
      </c>
    </row>
    <row r="717" spans="1:16" x14ac:dyDescent="0.35">
      <c r="A717">
        <v>716</v>
      </c>
      <c r="B717" s="37">
        <v>40576</v>
      </c>
      <c r="C717">
        <v>1</v>
      </c>
      <c r="D717">
        <v>0</v>
      </c>
      <c r="E717" t="s">
        <v>105</v>
      </c>
      <c r="F717">
        <v>4</v>
      </c>
      <c r="G717" t="b">
        <v>0</v>
      </c>
      <c r="H717" t="s">
        <v>110</v>
      </c>
      <c r="I717" t="s">
        <v>115</v>
      </c>
      <c r="J717">
        <v>0.22</v>
      </c>
      <c r="K717">
        <v>0.21210000000000001</v>
      </c>
      <c r="L717">
        <v>0.93</v>
      </c>
      <c r="M717">
        <v>0.28360000000000002</v>
      </c>
      <c r="N717">
        <v>0</v>
      </c>
      <c r="O717">
        <v>1</v>
      </c>
      <c r="P717">
        <v>1</v>
      </c>
    </row>
    <row r="718" spans="1:16" x14ac:dyDescent="0.35">
      <c r="A718">
        <v>717</v>
      </c>
      <c r="B718" s="37">
        <v>40576</v>
      </c>
      <c r="C718">
        <v>1</v>
      </c>
      <c r="D718">
        <v>0</v>
      </c>
      <c r="E718" t="s">
        <v>105</v>
      </c>
      <c r="F718">
        <v>5</v>
      </c>
      <c r="G718" t="b">
        <v>0</v>
      </c>
      <c r="H718" t="s">
        <v>110</v>
      </c>
      <c r="I718" t="s">
        <v>115</v>
      </c>
      <c r="J718">
        <v>0.22</v>
      </c>
      <c r="K718">
        <v>0.2424</v>
      </c>
      <c r="L718">
        <v>0.93</v>
      </c>
      <c r="M718">
        <v>0.1045</v>
      </c>
      <c r="N718">
        <v>0</v>
      </c>
      <c r="O718">
        <v>3</v>
      </c>
      <c r="P718">
        <v>3</v>
      </c>
    </row>
    <row r="719" spans="1:16" x14ac:dyDescent="0.35">
      <c r="A719">
        <v>718</v>
      </c>
      <c r="B719" s="37">
        <v>40576</v>
      </c>
      <c r="C719">
        <v>1</v>
      </c>
      <c r="D719">
        <v>0</v>
      </c>
      <c r="E719" t="s">
        <v>105</v>
      </c>
      <c r="F719">
        <v>6</v>
      </c>
      <c r="G719" t="b">
        <v>0</v>
      </c>
      <c r="H719" t="s">
        <v>110</v>
      </c>
      <c r="I719" t="s">
        <v>115</v>
      </c>
      <c r="J719">
        <v>0.22</v>
      </c>
      <c r="K719">
        <v>0.2424</v>
      </c>
      <c r="L719">
        <v>0.93</v>
      </c>
      <c r="M719">
        <v>0.1045</v>
      </c>
      <c r="N719">
        <v>1</v>
      </c>
      <c r="O719">
        <v>17</v>
      </c>
      <c r="P719">
        <v>18</v>
      </c>
    </row>
    <row r="720" spans="1:16" x14ac:dyDescent="0.35">
      <c r="A720">
        <v>719</v>
      </c>
      <c r="B720" s="37">
        <v>40576</v>
      </c>
      <c r="C720">
        <v>1</v>
      </c>
      <c r="D720">
        <v>0</v>
      </c>
      <c r="E720" t="s">
        <v>105</v>
      </c>
      <c r="F720">
        <v>7</v>
      </c>
      <c r="G720" t="b">
        <v>0</v>
      </c>
      <c r="H720" t="s">
        <v>110</v>
      </c>
      <c r="I720" t="s">
        <v>115</v>
      </c>
      <c r="J720">
        <v>0.22</v>
      </c>
      <c r="K720">
        <v>0.21210000000000001</v>
      </c>
      <c r="L720">
        <v>0.93</v>
      </c>
      <c r="M720">
        <v>0.22389999999999999</v>
      </c>
      <c r="N720">
        <v>1</v>
      </c>
      <c r="O720">
        <v>48</v>
      </c>
      <c r="P720">
        <v>49</v>
      </c>
    </row>
    <row r="721" spans="1:16" x14ac:dyDescent="0.35">
      <c r="A721">
        <v>720</v>
      </c>
      <c r="B721" s="37">
        <v>40576</v>
      </c>
      <c r="C721">
        <v>1</v>
      </c>
      <c r="D721">
        <v>0</v>
      </c>
      <c r="E721" t="s">
        <v>105</v>
      </c>
      <c r="F721">
        <v>8</v>
      </c>
      <c r="G721" t="b">
        <v>0</v>
      </c>
      <c r="H721" t="s">
        <v>110</v>
      </c>
      <c r="I721" t="s">
        <v>115</v>
      </c>
      <c r="J721">
        <v>0.22</v>
      </c>
      <c r="K721">
        <v>0.21210000000000001</v>
      </c>
      <c r="L721">
        <v>0.93</v>
      </c>
      <c r="M721">
        <v>0.22389999999999999</v>
      </c>
      <c r="N721">
        <v>1</v>
      </c>
      <c r="O721">
        <v>154</v>
      </c>
      <c r="P721">
        <v>155</v>
      </c>
    </row>
    <row r="722" spans="1:16" x14ac:dyDescent="0.35">
      <c r="A722">
        <v>721</v>
      </c>
      <c r="B722" s="37">
        <v>40576</v>
      </c>
      <c r="C722">
        <v>1</v>
      </c>
      <c r="D722">
        <v>0</v>
      </c>
      <c r="E722" t="s">
        <v>105</v>
      </c>
      <c r="F722">
        <v>9</v>
      </c>
      <c r="G722" t="b">
        <v>0</v>
      </c>
      <c r="H722" t="s">
        <v>110</v>
      </c>
      <c r="I722" t="s">
        <v>114</v>
      </c>
      <c r="J722">
        <v>0.24</v>
      </c>
      <c r="K722">
        <v>0.2576</v>
      </c>
      <c r="L722">
        <v>0.93</v>
      </c>
      <c r="M722">
        <v>8.9599999999999999E-2</v>
      </c>
      <c r="N722">
        <v>4</v>
      </c>
      <c r="O722">
        <v>119</v>
      </c>
      <c r="P722">
        <v>123</v>
      </c>
    </row>
    <row r="723" spans="1:16" x14ac:dyDescent="0.35">
      <c r="A723">
        <v>722</v>
      </c>
      <c r="B723" s="37">
        <v>40576</v>
      </c>
      <c r="C723">
        <v>1</v>
      </c>
      <c r="D723">
        <v>0</v>
      </c>
      <c r="E723" t="s">
        <v>105</v>
      </c>
      <c r="F723">
        <v>10</v>
      </c>
      <c r="G723" t="b">
        <v>0</v>
      </c>
      <c r="H723" t="s">
        <v>110</v>
      </c>
      <c r="I723" t="s">
        <v>114</v>
      </c>
      <c r="J723">
        <v>0.22</v>
      </c>
      <c r="K723">
        <v>0.2727</v>
      </c>
      <c r="L723">
        <v>1</v>
      </c>
      <c r="M723">
        <v>0</v>
      </c>
      <c r="N723">
        <v>2</v>
      </c>
      <c r="O723">
        <v>59</v>
      </c>
      <c r="P723">
        <v>61</v>
      </c>
    </row>
    <row r="724" spans="1:16" x14ac:dyDescent="0.35">
      <c r="A724">
        <v>723</v>
      </c>
      <c r="B724" s="37">
        <v>40576</v>
      </c>
      <c r="C724">
        <v>1</v>
      </c>
      <c r="D724">
        <v>0</v>
      </c>
      <c r="E724" t="s">
        <v>105</v>
      </c>
      <c r="F724">
        <v>11</v>
      </c>
      <c r="G724" t="b">
        <v>0</v>
      </c>
      <c r="H724" t="s">
        <v>110</v>
      </c>
      <c r="I724" t="s">
        <v>114</v>
      </c>
      <c r="J724">
        <v>0.24</v>
      </c>
      <c r="K724">
        <v>0.2273</v>
      </c>
      <c r="L724">
        <v>0.93</v>
      </c>
      <c r="M724">
        <v>0.19400000000000001</v>
      </c>
      <c r="N724">
        <v>5</v>
      </c>
      <c r="O724">
        <v>47</v>
      </c>
      <c r="P724">
        <v>52</v>
      </c>
    </row>
    <row r="725" spans="1:16" x14ac:dyDescent="0.35">
      <c r="A725">
        <v>724</v>
      </c>
      <c r="B725" s="37">
        <v>40576</v>
      </c>
      <c r="C725">
        <v>1</v>
      </c>
      <c r="D725">
        <v>0</v>
      </c>
      <c r="E725" t="s">
        <v>105</v>
      </c>
      <c r="F725">
        <v>12</v>
      </c>
      <c r="G725" t="b">
        <v>0</v>
      </c>
      <c r="H725" t="s">
        <v>110</v>
      </c>
      <c r="I725" t="s">
        <v>114</v>
      </c>
      <c r="J725">
        <v>0.24</v>
      </c>
      <c r="K725">
        <v>0.2273</v>
      </c>
      <c r="L725">
        <v>0.93</v>
      </c>
      <c r="M725">
        <v>0.22389999999999999</v>
      </c>
      <c r="N725">
        <v>3</v>
      </c>
      <c r="O725">
        <v>61</v>
      </c>
      <c r="P725">
        <v>64</v>
      </c>
    </row>
    <row r="726" spans="1:16" x14ac:dyDescent="0.35">
      <c r="A726">
        <v>725</v>
      </c>
      <c r="B726" s="37">
        <v>40576</v>
      </c>
      <c r="C726">
        <v>1</v>
      </c>
      <c r="D726">
        <v>0</v>
      </c>
      <c r="E726" t="s">
        <v>105</v>
      </c>
      <c r="F726">
        <v>13</v>
      </c>
      <c r="G726" t="b">
        <v>0</v>
      </c>
      <c r="H726" t="s">
        <v>110</v>
      </c>
      <c r="I726" t="s">
        <v>113</v>
      </c>
      <c r="J726">
        <v>0.34</v>
      </c>
      <c r="K726">
        <v>0.33329999999999999</v>
      </c>
      <c r="L726">
        <v>0.93</v>
      </c>
      <c r="M726">
        <v>0.16420000000000001</v>
      </c>
      <c r="N726">
        <v>1</v>
      </c>
      <c r="O726">
        <v>74</v>
      </c>
      <c r="P726">
        <v>75</v>
      </c>
    </row>
    <row r="727" spans="1:16" x14ac:dyDescent="0.35">
      <c r="A727">
        <v>726</v>
      </c>
      <c r="B727" s="37">
        <v>40576</v>
      </c>
      <c r="C727">
        <v>1</v>
      </c>
      <c r="D727">
        <v>0</v>
      </c>
      <c r="E727" t="s">
        <v>105</v>
      </c>
      <c r="F727">
        <v>14</v>
      </c>
      <c r="G727" t="b">
        <v>0</v>
      </c>
      <c r="H727" t="s">
        <v>110</v>
      </c>
      <c r="I727" t="s">
        <v>113</v>
      </c>
      <c r="J727">
        <v>0.38</v>
      </c>
      <c r="K727">
        <v>0.39389999999999997</v>
      </c>
      <c r="L727">
        <v>0.82</v>
      </c>
      <c r="M727">
        <v>0.3881</v>
      </c>
      <c r="N727">
        <v>2</v>
      </c>
      <c r="O727">
        <v>61</v>
      </c>
      <c r="P727">
        <v>63</v>
      </c>
    </row>
    <row r="728" spans="1:16" x14ac:dyDescent="0.35">
      <c r="A728">
        <v>727</v>
      </c>
      <c r="B728" s="37">
        <v>40576</v>
      </c>
      <c r="C728">
        <v>1</v>
      </c>
      <c r="D728">
        <v>0</v>
      </c>
      <c r="E728" t="s">
        <v>105</v>
      </c>
      <c r="F728">
        <v>15</v>
      </c>
      <c r="G728" t="b">
        <v>0</v>
      </c>
      <c r="H728" t="s">
        <v>110</v>
      </c>
      <c r="I728" t="s">
        <v>113</v>
      </c>
      <c r="J728">
        <v>0.38</v>
      </c>
      <c r="K728">
        <v>0.39389999999999997</v>
      </c>
      <c r="L728">
        <v>0.76</v>
      </c>
      <c r="M728">
        <v>0.32840000000000003</v>
      </c>
      <c r="N728">
        <v>10</v>
      </c>
      <c r="O728">
        <v>66</v>
      </c>
      <c r="P728">
        <v>76</v>
      </c>
    </row>
    <row r="729" spans="1:16" x14ac:dyDescent="0.35">
      <c r="A729">
        <v>728</v>
      </c>
      <c r="B729" s="37">
        <v>40576</v>
      </c>
      <c r="C729">
        <v>1</v>
      </c>
      <c r="D729">
        <v>0</v>
      </c>
      <c r="E729" t="s">
        <v>105</v>
      </c>
      <c r="F729">
        <v>16</v>
      </c>
      <c r="G729" t="b">
        <v>0</v>
      </c>
      <c r="H729" t="s">
        <v>110</v>
      </c>
      <c r="I729" t="s">
        <v>113</v>
      </c>
      <c r="J729">
        <v>0.36</v>
      </c>
      <c r="K729">
        <v>0.33329999999999999</v>
      </c>
      <c r="L729">
        <v>0.71</v>
      </c>
      <c r="M729">
        <v>0.29849999999999999</v>
      </c>
      <c r="N729">
        <v>8</v>
      </c>
      <c r="O729">
        <v>95</v>
      </c>
      <c r="P729">
        <v>103</v>
      </c>
    </row>
    <row r="730" spans="1:16" x14ac:dyDescent="0.35">
      <c r="A730">
        <v>729</v>
      </c>
      <c r="B730" s="37">
        <v>40576</v>
      </c>
      <c r="C730">
        <v>1</v>
      </c>
      <c r="D730">
        <v>0</v>
      </c>
      <c r="E730" t="s">
        <v>105</v>
      </c>
      <c r="F730">
        <v>17</v>
      </c>
      <c r="G730" t="b">
        <v>0</v>
      </c>
      <c r="H730" t="s">
        <v>110</v>
      </c>
      <c r="I730" t="s">
        <v>113</v>
      </c>
      <c r="J730">
        <v>0.36</v>
      </c>
      <c r="K730">
        <v>0.31819999999999998</v>
      </c>
      <c r="L730">
        <v>0.53</v>
      </c>
      <c r="M730">
        <v>0.52239999999999998</v>
      </c>
      <c r="N730">
        <v>7</v>
      </c>
      <c r="O730">
        <v>183</v>
      </c>
      <c r="P730">
        <v>190</v>
      </c>
    </row>
    <row r="731" spans="1:16" x14ac:dyDescent="0.35">
      <c r="A731">
        <v>730</v>
      </c>
      <c r="B731" s="37">
        <v>40576</v>
      </c>
      <c r="C731">
        <v>1</v>
      </c>
      <c r="D731">
        <v>0</v>
      </c>
      <c r="E731" t="s">
        <v>105</v>
      </c>
      <c r="F731">
        <v>18</v>
      </c>
      <c r="G731" t="b">
        <v>0</v>
      </c>
      <c r="H731" t="s">
        <v>110</v>
      </c>
      <c r="I731" t="s">
        <v>113</v>
      </c>
      <c r="J731">
        <v>0.34</v>
      </c>
      <c r="K731">
        <v>0.28789999999999999</v>
      </c>
      <c r="L731">
        <v>0.42</v>
      </c>
      <c r="M731">
        <v>0.55220000000000002</v>
      </c>
      <c r="N731">
        <v>7</v>
      </c>
      <c r="O731">
        <v>175</v>
      </c>
      <c r="P731">
        <v>182</v>
      </c>
    </row>
    <row r="732" spans="1:16" x14ac:dyDescent="0.35">
      <c r="A732">
        <v>731</v>
      </c>
      <c r="B732" s="37">
        <v>40576</v>
      </c>
      <c r="C732">
        <v>1</v>
      </c>
      <c r="D732">
        <v>0</v>
      </c>
      <c r="E732" t="s">
        <v>105</v>
      </c>
      <c r="F732">
        <v>19</v>
      </c>
      <c r="G732" t="b">
        <v>0</v>
      </c>
      <c r="H732" t="s">
        <v>110</v>
      </c>
      <c r="I732" t="s">
        <v>113</v>
      </c>
      <c r="J732">
        <v>0.28000000000000003</v>
      </c>
      <c r="K732">
        <v>0.2424</v>
      </c>
      <c r="L732">
        <v>0.45</v>
      </c>
      <c r="M732">
        <v>0.49249999999999999</v>
      </c>
      <c r="N732">
        <v>3</v>
      </c>
      <c r="O732">
        <v>88</v>
      </c>
      <c r="P732">
        <v>91</v>
      </c>
    </row>
    <row r="733" spans="1:16" x14ac:dyDescent="0.35">
      <c r="A733">
        <v>732</v>
      </c>
      <c r="B733" s="37">
        <v>40576</v>
      </c>
      <c r="C733">
        <v>1</v>
      </c>
      <c r="D733">
        <v>0</v>
      </c>
      <c r="E733" t="s">
        <v>105</v>
      </c>
      <c r="F733">
        <v>20</v>
      </c>
      <c r="G733" t="b">
        <v>0</v>
      </c>
      <c r="H733" t="s">
        <v>110</v>
      </c>
      <c r="I733" t="s">
        <v>113</v>
      </c>
      <c r="J733">
        <v>0.24</v>
      </c>
      <c r="K733">
        <v>0.19700000000000001</v>
      </c>
      <c r="L733">
        <v>0.48</v>
      </c>
      <c r="M733">
        <v>0.55220000000000002</v>
      </c>
      <c r="N733">
        <v>4</v>
      </c>
      <c r="O733">
        <v>71</v>
      </c>
      <c r="P733">
        <v>75</v>
      </c>
    </row>
    <row r="734" spans="1:16" x14ac:dyDescent="0.35">
      <c r="A734">
        <v>733</v>
      </c>
      <c r="B734" s="37">
        <v>40576</v>
      </c>
      <c r="C734">
        <v>1</v>
      </c>
      <c r="D734">
        <v>0</v>
      </c>
      <c r="E734" t="s">
        <v>105</v>
      </c>
      <c r="F734">
        <v>21</v>
      </c>
      <c r="G734" t="b">
        <v>0</v>
      </c>
      <c r="H734" t="s">
        <v>110</v>
      </c>
      <c r="I734" t="s">
        <v>113</v>
      </c>
      <c r="J734">
        <v>0.22</v>
      </c>
      <c r="K734">
        <v>0.19700000000000001</v>
      </c>
      <c r="L734">
        <v>0.47</v>
      </c>
      <c r="M734">
        <v>0.32840000000000003</v>
      </c>
      <c r="N734">
        <v>1</v>
      </c>
      <c r="O734">
        <v>62</v>
      </c>
      <c r="P734">
        <v>63</v>
      </c>
    </row>
    <row r="735" spans="1:16" x14ac:dyDescent="0.35">
      <c r="A735">
        <v>734</v>
      </c>
      <c r="B735" s="37">
        <v>40576</v>
      </c>
      <c r="C735">
        <v>1</v>
      </c>
      <c r="D735">
        <v>0</v>
      </c>
      <c r="E735" t="s">
        <v>105</v>
      </c>
      <c r="F735">
        <v>22</v>
      </c>
      <c r="G735" t="b">
        <v>0</v>
      </c>
      <c r="H735" t="s">
        <v>110</v>
      </c>
      <c r="I735" t="s">
        <v>113</v>
      </c>
      <c r="J735">
        <v>0.22</v>
      </c>
      <c r="K735">
        <v>0.21210000000000001</v>
      </c>
      <c r="L735">
        <v>0.44</v>
      </c>
      <c r="M735">
        <v>0.25369999999999998</v>
      </c>
      <c r="N735">
        <v>5</v>
      </c>
      <c r="O735">
        <v>35</v>
      </c>
      <c r="P735">
        <v>40</v>
      </c>
    </row>
    <row r="736" spans="1:16" x14ac:dyDescent="0.35">
      <c r="A736">
        <v>735</v>
      </c>
      <c r="B736" s="37">
        <v>40576</v>
      </c>
      <c r="C736">
        <v>1</v>
      </c>
      <c r="D736">
        <v>0</v>
      </c>
      <c r="E736" t="s">
        <v>105</v>
      </c>
      <c r="F736">
        <v>23</v>
      </c>
      <c r="G736" t="b">
        <v>0</v>
      </c>
      <c r="H736" t="s">
        <v>110</v>
      </c>
      <c r="I736" t="s">
        <v>113</v>
      </c>
      <c r="J736">
        <v>0.2</v>
      </c>
      <c r="K736">
        <v>0.16669999999999999</v>
      </c>
      <c r="L736">
        <v>0.44</v>
      </c>
      <c r="M736">
        <v>0.44779999999999998</v>
      </c>
      <c r="N736">
        <v>3</v>
      </c>
      <c r="O736">
        <v>29</v>
      </c>
      <c r="P736">
        <v>32</v>
      </c>
    </row>
    <row r="737" spans="1:16" x14ac:dyDescent="0.35">
      <c r="A737">
        <v>736</v>
      </c>
      <c r="B737" s="37">
        <v>40577</v>
      </c>
      <c r="C737">
        <v>1</v>
      </c>
      <c r="D737">
        <v>0</v>
      </c>
      <c r="E737" t="s">
        <v>105</v>
      </c>
      <c r="F737">
        <v>0</v>
      </c>
      <c r="G737" t="b">
        <v>0</v>
      </c>
      <c r="H737" t="s">
        <v>111</v>
      </c>
      <c r="I737" t="s">
        <v>113</v>
      </c>
      <c r="J737">
        <v>0.2</v>
      </c>
      <c r="K737">
        <v>0.16669999999999999</v>
      </c>
      <c r="L737">
        <v>0.4</v>
      </c>
      <c r="M737">
        <v>0.44779999999999998</v>
      </c>
      <c r="N737">
        <v>1</v>
      </c>
      <c r="O737">
        <v>11</v>
      </c>
      <c r="P737">
        <v>12</v>
      </c>
    </row>
    <row r="738" spans="1:16" x14ac:dyDescent="0.35">
      <c r="A738">
        <v>737</v>
      </c>
      <c r="B738" s="37">
        <v>40577</v>
      </c>
      <c r="C738">
        <v>1</v>
      </c>
      <c r="D738">
        <v>0</v>
      </c>
      <c r="E738" t="s">
        <v>105</v>
      </c>
      <c r="F738">
        <v>1</v>
      </c>
      <c r="G738" t="b">
        <v>0</v>
      </c>
      <c r="H738" t="s">
        <v>111</v>
      </c>
      <c r="I738" t="s">
        <v>113</v>
      </c>
      <c r="J738">
        <v>0.2</v>
      </c>
      <c r="K738">
        <v>0.1515</v>
      </c>
      <c r="L738">
        <v>0.44</v>
      </c>
      <c r="M738">
        <v>0.52239999999999998</v>
      </c>
      <c r="N738">
        <v>0</v>
      </c>
      <c r="O738">
        <v>5</v>
      </c>
      <c r="P738">
        <v>5</v>
      </c>
    </row>
    <row r="739" spans="1:16" x14ac:dyDescent="0.35">
      <c r="A739">
        <v>738</v>
      </c>
      <c r="B739" s="37">
        <v>40577</v>
      </c>
      <c r="C739">
        <v>1</v>
      </c>
      <c r="D739">
        <v>0</v>
      </c>
      <c r="E739" t="s">
        <v>105</v>
      </c>
      <c r="F739">
        <v>2</v>
      </c>
      <c r="G739" t="b">
        <v>0</v>
      </c>
      <c r="H739" t="s">
        <v>111</v>
      </c>
      <c r="I739" t="s">
        <v>113</v>
      </c>
      <c r="J739">
        <v>0.18</v>
      </c>
      <c r="K739">
        <v>0.16669999999999999</v>
      </c>
      <c r="L739">
        <v>0.43</v>
      </c>
      <c r="M739">
        <v>0.25369999999999998</v>
      </c>
      <c r="N739">
        <v>0</v>
      </c>
      <c r="O739">
        <v>2</v>
      </c>
      <c r="P739">
        <v>2</v>
      </c>
    </row>
    <row r="740" spans="1:16" x14ac:dyDescent="0.35">
      <c r="A740">
        <v>739</v>
      </c>
      <c r="B740" s="37">
        <v>40577</v>
      </c>
      <c r="C740">
        <v>1</v>
      </c>
      <c r="D740">
        <v>0</v>
      </c>
      <c r="E740" t="s">
        <v>105</v>
      </c>
      <c r="F740">
        <v>3</v>
      </c>
      <c r="G740" t="b">
        <v>0</v>
      </c>
      <c r="H740" t="s">
        <v>111</v>
      </c>
      <c r="I740" t="s">
        <v>113</v>
      </c>
      <c r="J740">
        <v>0.18</v>
      </c>
      <c r="K740">
        <v>0.16669999999999999</v>
      </c>
      <c r="L740">
        <v>0.43</v>
      </c>
      <c r="M740">
        <v>0.25369999999999998</v>
      </c>
      <c r="N740">
        <v>0</v>
      </c>
      <c r="O740">
        <v>1</v>
      </c>
      <c r="P740">
        <v>1</v>
      </c>
    </row>
    <row r="741" spans="1:16" x14ac:dyDescent="0.35">
      <c r="A741">
        <v>740</v>
      </c>
      <c r="B741" s="37">
        <v>40577</v>
      </c>
      <c r="C741">
        <v>1</v>
      </c>
      <c r="D741">
        <v>0</v>
      </c>
      <c r="E741" t="s">
        <v>105</v>
      </c>
      <c r="F741">
        <v>5</v>
      </c>
      <c r="G741" t="b">
        <v>0</v>
      </c>
      <c r="H741" t="s">
        <v>111</v>
      </c>
      <c r="I741" t="s">
        <v>113</v>
      </c>
      <c r="J741">
        <v>0.16</v>
      </c>
      <c r="K741">
        <v>0.13639999999999999</v>
      </c>
      <c r="L741">
        <v>0.5</v>
      </c>
      <c r="M741">
        <v>0.29849999999999999</v>
      </c>
      <c r="N741">
        <v>0</v>
      </c>
      <c r="O741">
        <v>2</v>
      </c>
      <c r="P741">
        <v>2</v>
      </c>
    </row>
    <row r="742" spans="1:16" x14ac:dyDescent="0.35">
      <c r="A742">
        <v>741</v>
      </c>
      <c r="B742" s="37">
        <v>40577</v>
      </c>
      <c r="C742">
        <v>1</v>
      </c>
      <c r="D742">
        <v>0</v>
      </c>
      <c r="E742" t="s">
        <v>105</v>
      </c>
      <c r="F742">
        <v>6</v>
      </c>
      <c r="G742" t="b">
        <v>0</v>
      </c>
      <c r="H742" t="s">
        <v>111</v>
      </c>
      <c r="I742" t="s">
        <v>113</v>
      </c>
      <c r="J742">
        <v>0.16</v>
      </c>
      <c r="K742">
        <v>0.13639999999999999</v>
      </c>
      <c r="L742">
        <v>0.43</v>
      </c>
      <c r="M742">
        <v>0.35820000000000002</v>
      </c>
      <c r="N742">
        <v>0</v>
      </c>
      <c r="O742">
        <v>39</v>
      </c>
      <c r="P742">
        <v>39</v>
      </c>
    </row>
    <row r="743" spans="1:16" x14ac:dyDescent="0.35">
      <c r="A743">
        <v>742</v>
      </c>
      <c r="B743" s="37">
        <v>40577</v>
      </c>
      <c r="C743">
        <v>1</v>
      </c>
      <c r="D743">
        <v>0</v>
      </c>
      <c r="E743" t="s">
        <v>105</v>
      </c>
      <c r="F743">
        <v>7</v>
      </c>
      <c r="G743" t="b">
        <v>0</v>
      </c>
      <c r="H743" t="s">
        <v>111</v>
      </c>
      <c r="I743" t="s">
        <v>113</v>
      </c>
      <c r="J743">
        <v>0.14000000000000001</v>
      </c>
      <c r="K743">
        <v>0.1212</v>
      </c>
      <c r="L743">
        <v>0.5</v>
      </c>
      <c r="M743">
        <v>0.32840000000000003</v>
      </c>
      <c r="N743">
        <v>1</v>
      </c>
      <c r="O743">
        <v>86</v>
      </c>
      <c r="P743">
        <v>87</v>
      </c>
    </row>
    <row r="744" spans="1:16" x14ac:dyDescent="0.35">
      <c r="A744">
        <v>743</v>
      </c>
      <c r="B744" s="37">
        <v>40577</v>
      </c>
      <c r="C744">
        <v>1</v>
      </c>
      <c r="D744">
        <v>0</v>
      </c>
      <c r="E744" t="s">
        <v>105</v>
      </c>
      <c r="F744">
        <v>8</v>
      </c>
      <c r="G744" t="b">
        <v>0</v>
      </c>
      <c r="H744" t="s">
        <v>111</v>
      </c>
      <c r="I744" t="s">
        <v>113</v>
      </c>
      <c r="J744">
        <v>0.14000000000000001</v>
      </c>
      <c r="K744">
        <v>0.1212</v>
      </c>
      <c r="L744">
        <v>0.5</v>
      </c>
      <c r="M744">
        <v>0.35820000000000002</v>
      </c>
      <c r="N744">
        <v>4</v>
      </c>
      <c r="O744">
        <v>184</v>
      </c>
      <c r="P744">
        <v>188</v>
      </c>
    </row>
    <row r="745" spans="1:16" x14ac:dyDescent="0.35">
      <c r="A745">
        <v>744</v>
      </c>
      <c r="B745" s="37">
        <v>40577</v>
      </c>
      <c r="C745">
        <v>1</v>
      </c>
      <c r="D745">
        <v>0</v>
      </c>
      <c r="E745" t="s">
        <v>105</v>
      </c>
      <c r="F745">
        <v>9</v>
      </c>
      <c r="G745" t="b">
        <v>0</v>
      </c>
      <c r="H745" t="s">
        <v>111</v>
      </c>
      <c r="I745" t="s">
        <v>113</v>
      </c>
      <c r="J745">
        <v>0.16</v>
      </c>
      <c r="K745">
        <v>0.13639999999999999</v>
      </c>
      <c r="L745">
        <v>0.47</v>
      </c>
      <c r="M745">
        <v>0.29849999999999999</v>
      </c>
      <c r="N745">
        <v>6</v>
      </c>
      <c r="O745">
        <v>127</v>
      </c>
      <c r="P745">
        <v>133</v>
      </c>
    </row>
    <row r="746" spans="1:16" x14ac:dyDescent="0.35">
      <c r="A746">
        <v>745</v>
      </c>
      <c r="B746" s="37">
        <v>40577</v>
      </c>
      <c r="C746">
        <v>1</v>
      </c>
      <c r="D746">
        <v>0</v>
      </c>
      <c r="E746" t="s">
        <v>105</v>
      </c>
      <c r="F746">
        <v>10</v>
      </c>
      <c r="G746" t="b">
        <v>0</v>
      </c>
      <c r="H746" t="s">
        <v>111</v>
      </c>
      <c r="I746" t="s">
        <v>113</v>
      </c>
      <c r="J746">
        <v>0.18</v>
      </c>
      <c r="K746">
        <v>0.1515</v>
      </c>
      <c r="L746">
        <v>0.43</v>
      </c>
      <c r="M746">
        <v>0.32840000000000003</v>
      </c>
      <c r="N746">
        <v>2</v>
      </c>
      <c r="O746">
        <v>50</v>
      </c>
      <c r="P746">
        <v>52</v>
      </c>
    </row>
    <row r="747" spans="1:16" x14ac:dyDescent="0.35">
      <c r="A747">
        <v>746</v>
      </c>
      <c r="B747" s="37">
        <v>40577</v>
      </c>
      <c r="C747">
        <v>1</v>
      </c>
      <c r="D747">
        <v>0</v>
      </c>
      <c r="E747" t="s">
        <v>105</v>
      </c>
      <c r="F747">
        <v>11</v>
      </c>
      <c r="G747" t="b">
        <v>0</v>
      </c>
      <c r="H747" t="s">
        <v>111</v>
      </c>
      <c r="I747" t="s">
        <v>113</v>
      </c>
      <c r="J747">
        <v>0.18</v>
      </c>
      <c r="K747">
        <v>0.13639999999999999</v>
      </c>
      <c r="L747">
        <v>0.43</v>
      </c>
      <c r="M747">
        <v>0.44779999999999998</v>
      </c>
      <c r="N747">
        <v>9</v>
      </c>
      <c r="O747">
        <v>55</v>
      </c>
      <c r="P747">
        <v>64</v>
      </c>
    </row>
    <row r="748" spans="1:16" x14ac:dyDescent="0.35">
      <c r="A748">
        <v>747</v>
      </c>
      <c r="B748" s="37">
        <v>40577</v>
      </c>
      <c r="C748">
        <v>1</v>
      </c>
      <c r="D748">
        <v>0</v>
      </c>
      <c r="E748" t="s">
        <v>105</v>
      </c>
      <c r="F748">
        <v>12</v>
      </c>
      <c r="G748" t="b">
        <v>0</v>
      </c>
      <c r="H748" t="s">
        <v>111</v>
      </c>
      <c r="I748" t="s">
        <v>113</v>
      </c>
      <c r="J748">
        <v>0.2</v>
      </c>
      <c r="K748">
        <v>0.18179999999999999</v>
      </c>
      <c r="L748">
        <v>0.4</v>
      </c>
      <c r="M748">
        <v>0.35820000000000002</v>
      </c>
      <c r="N748">
        <v>2</v>
      </c>
      <c r="O748">
        <v>67</v>
      </c>
      <c r="P748">
        <v>69</v>
      </c>
    </row>
    <row r="749" spans="1:16" x14ac:dyDescent="0.35">
      <c r="A749">
        <v>748</v>
      </c>
      <c r="B749" s="37">
        <v>40577</v>
      </c>
      <c r="C749">
        <v>1</v>
      </c>
      <c r="D749">
        <v>0</v>
      </c>
      <c r="E749" t="s">
        <v>105</v>
      </c>
      <c r="F749">
        <v>13</v>
      </c>
      <c r="G749" t="b">
        <v>0</v>
      </c>
      <c r="H749" t="s">
        <v>111</v>
      </c>
      <c r="I749" t="s">
        <v>113</v>
      </c>
      <c r="J749">
        <v>0.2</v>
      </c>
      <c r="K749">
        <v>0.16669999999999999</v>
      </c>
      <c r="L749">
        <v>0.4</v>
      </c>
      <c r="M749">
        <v>0.41789999999999999</v>
      </c>
      <c r="N749">
        <v>4</v>
      </c>
      <c r="O749">
        <v>47</v>
      </c>
      <c r="P749">
        <v>51</v>
      </c>
    </row>
    <row r="750" spans="1:16" x14ac:dyDescent="0.35">
      <c r="A750">
        <v>749</v>
      </c>
      <c r="B750" s="37">
        <v>40577</v>
      </c>
      <c r="C750">
        <v>1</v>
      </c>
      <c r="D750">
        <v>0</v>
      </c>
      <c r="E750" t="s">
        <v>105</v>
      </c>
      <c r="F750">
        <v>14</v>
      </c>
      <c r="G750" t="b">
        <v>0</v>
      </c>
      <c r="H750" t="s">
        <v>111</v>
      </c>
      <c r="I750" t="s">
        <v>113</v>
      </c>
      <c r="J750">
        <v>0.22</v>
      </c>
      <c r="K750">
        <v>0.19700000000000001</v>
      </c>
      <c r="L750">
        <v>0.37</v>
      </c>
      <c r="M750">
        <v>0.3881</v>
      </c>
      <c r="N750">
        <v>4</v>
      </c>
      <c r="O750">
        <v>43</v>
      </c>
      <c r="P750">
        <v>47</v>
      </c>
    </row>
    <row r="751" spans="1:16" x14ac:dyDescent="0.35">
      <c r="A751">
        <v>750</v>
      </c>
      <c r="B751" s="37">
        <v>40577</v>
      </c>
      <c r="C751">
        <v>1</v>
      </c>
      <c r="D751">
        <v>0</v>
      </c>
      <c r="E751" t="s">
        <v>105</v>
      </c>
      <c r="F751">
        <v>15</v>
      </c>
      <c r="G751" t="b">
        <v>0</v>
      </c>
      <c r="H751" t="s">
        <v>111</v>
      </c>
      <c r="I751" t="s">
        <v>113</v>
      </c>
      <c r="J751">
        <v>0.22</v>
      </c>
      <c r="K751">
        <v>0.19700000000000001</v>
      </c>
      <c r="L751">
        <v>0.37</v>
      </c>
      <c r="M751">
        <v>0.32840000000000003</v>
      </c>
      <c r="N751">
        <v>4</v>
      </c>
      <c r="O751">
        <v>56</v>
      </c>
      <c r="P751">
        <v>60</v>
      </c>
    </row>
    <row r="752" spans="1:16" x14ac:dyDescent="0.35">
      <c r="A752">
        <v>751</v>
      </c>
      <c r="B752" s="37">
        <v>40577</v>
      </c>
      <c r="C752">
        <v>1</v>
      </c>
      <c r="D752">
        <v>0</v>
      </c>
      <c r="E752" t="s">
        <v>105</v>
      </c>
      <c r="F752">
        <v>16</v>
      </c>
      <c r="G752" t="b">
        <v>0</v>
      </c>
      <c r="H752" t="s">
        <v>111</v>
      </c>
      <c r="I752" t="s">
        <v>113</v>
      </c>
      <c r="J752">
        <v>0.22</v>
      </c>
      <c r="K752">
        <v>0.21210000000000001</v>
      </c>
      <c r="L752">
        <v>0.37</v>
      </c>
      <c r="M752">
        <v>0.25369999999999998</v>
      </c>
      <c r="N752">
        <v>5</v>
      </c>
      <c r="O752">
        <v>73</v>
      </c>
      <c r="P752">
        <v>78</v>
      </c>
    </row>
    <row r="753" spans="1:16" x14ac:dyDescent="0.35">
      <c r="A753">
        <v>752</v>
      </c>
      <c r="B753" s="37">
        <v>40577</v>
      </c>
      <c r="C753">
        <v>1</v>
      </c>
      <c r="D753">
        <v>0</v>
      </c>
      <c r="E753" t="s">
        <v>105</v>
      </c>
      <c r="F753">
        <v>17</v>
      </c>
      <c r="G753" t="b">
        <v>0</v>
      </c>
      <c r="H753" t="s">
        <v>111</v>
      </c>
      <c r="I753" t="s">
        <v>113</v>
      </c>
      <c r="J753">
        <v>0.2</v>
      </c>
      <c r="K753">
        <v>0.19700000000000001</v>
      </c>
      <c r="L753">
        <v>0.4</v>
      </c>
      <c r="M753">
        <v>0.19400000000000001</v>
      </c>
      <c r="N753">
        <v>5</v>
      </c>
      <c r="O753">
        <v>170</v>
      </c>
      <c r="P753">
        <v>175</v>
      </c>
    </row>
    <row r="754" spans="1:16" x14ac:dyDescent="0.35">
      <c r="A754">
        <v>753</v>
      </c>
      <c r="B754" s="37">
        <v>40577</v>
      </c>
      <c r="C754">
        <v>1</v>
      </c>
      <c r="D754">
        <v>0</v>
      </c>
      <c r="E754" t="s">
        <v>105</v>
      </c>
      <c r="F754">
        <v>18</v>
      </c>
      <c r="G754" t="b">
        <v>0</v>
      </c>
      <c r="H754" t="s">
        <v>111</v>
      </c>
      <c r="I754" t="s">
        <v>113</v>
      </c>
      <c r="J754">
        <v>0.2</v>
      </c>
      <c r="K754">
        <v>0.21210000000000001</v>
      </c>
      <c r="L754">
        <v>0.4</v>
      </c>
      <c r="M754">
        <v>0.16420000000000001</v>
      </c>
      <c r="N754">
        <v>2</v>
      </c>
      <c r="O754">
        <v>145</v>
      </c>
      <c r="P754">
        <v>147</v>
      </c>
    </row>
    <row r="755" spans="1:16" x14ac:dyDescent="0.35">
      <c r="A755">
        <v>754</v>
      </c>
      <c r="B755" s="37">
        <v>40577</v>
      </c>
      <c r="C755">
        <v>1</v>
      </c>
      <c r="D755">
        <v>0</v>
      </c>
      <c r="E755" t="s">
        <v>105</v>
      </c>
      <c r="F755">
        <v>19</v>
      </c>
      <c r="G755" t="b">
        <v>0</v>
      </c>
      <c r="H755" t="s">
        <v>111</v>
      </c>
      <c r="I755" t="s">
        <v>113</v>
      </c>
      <c r="J755">
        <v>0.2</v>
      </c>
      <c r="K755">
        <v>0.2576</v>
      </c>
      <c r="L755">
        <v>0.4</v>
      </c>
      <c r="M755">
        <v>0</v>
      </c>
      <c r="N755">
        <v>4</v>
      </c>
      <c r="O755">
        <v>92</v>
      </c>
      <c r="P755">
        <v>96</v>
      </c>
    </row>
    <row r="756" spans="1:16" x14ac:dyDescent="0.35">
      <c r="A756">
        <v>755</v>
      </c>
      <c r="B756" s="37">
        <v>40577</v>
      </c>
      <c r="C756">
        <v>1</v>
      </c>
      <c r="D756">
        <v>0</v>
      </c>
      <c r="E756" t="s">
        <v>105</v>
      </c>
      <c r="F756">
        <v>20</v>
      </c>
      <c r="G756" t="b">
        <v>0</v>
      </c>
      <c r="H756" t="s">
        <v>111</v>
      </c>
      <c r="I756" t="s">
        <v>113</v>
      </c>
      <c r="J756">
        <v>0.2</v>
      </c>
      <c r="K756">
        <v>0.2273</v>
      </c>
      <c r="L756">
        <v>0.47</v>
      </c>
      <c r="M756">
        <v>8.9599999999999999E-2</v>
      </c>
      <c r="N756">
        <v>1</v>
      </c>
      <c r="O756">
        <v>108</v>
      </c>
      <c r="P756">
        <v>109</v>
      </c>
    </row>
    <row r="757" spans="1:16" x14ac:dyDescent="0.35">
      <c r="A757">
        <v>756</v>
      </c>
      <c r="B757" s="37">
        <v>40577</v>
      </c>
      <c r="C757">
        <v>1</v>
      </c>
      <c r="D757">
        <v>0</v>
      </c>
      <c r="E757" t="s">
        <v>105</v>
      </c>
      <c r="F757">
        <v>21</v>
      </c>
      <c r="G757" t="b">
        <v>0</v>
      </c>
      <c r="H757" t="s">
        <v>111</v>
      </c>
      <c r="I757" t="s">
        <v>113</v>
      </c>
      <c r="J757">
        <v>0.18</v>
      </c>
      <c r="K757">
        <v>0.21210000000000001</v>
      </c>
      <c r="L757">
        <v>0.55000000000000004</v>
      </c>
      <c r="M757">
        <v>0.1045</v>
      </c>
      <c r="N757">
        <v>1</v>
      </c>
      <c r="O757">
        <v>53</v>
      </c>
      <c r="P757">
        <v>54</v>
      </c>
    </row>
    <row r="758" spans="1:16" x14ac:dyDescent="0.35">
      <c r="A758">
        <v>757</v>
      </c>
      <c r="B758" s="37">
        <v>40577</v>
      </c>
      <c r="C758">
        <v>1</v>
      </c>
      <c r="D758">
        <v>0</v>
      </c>
      <c r="E758" t="s">
        <v>105</v>
      </c>
      <c r="F758">
        <v>22</v>
      </c>
      <c r="G758" t="b">
        <v>0</v>
      </c>
      <c r="H758" t="s">
        <v>111</v>
      </c>
      <c r="I758" t="s">
        <v>113</v>
      </c>
      <c r="J758">
        <v>0.18</v>
      </c>
      <c r="K758">
        <v>0.21210000000000001</v>
      </c>
      <c r="L758">
        <v>0.51</v>
      </c>
      <c r="M758">
        <v>8.9599999999999999E-2</v>
      </c>
      <c r="N758">
        <v>2</v>
      </c>
      <c r="O758">
        <v>39</v>
      </c>
      <c r="P758">
        <v>41</v>
      </c>
    </row>
    <row r="759" spans="1:16" x14ac:dyDescent="0.35">
      <c r="A759">
        <v>758</v>
      </c>
      <c r="B759" s="37">
        <v>40577</v>
      </c>
      <c r="C759">
        <v>1</v>
      </c>
      <c r="D759">
        <v>0</v>
      </c>
      <c r="E759" t="s">
        <v>105</v>
      </c>
      <c r="F759">
        <v>23</v>
      </c>
      <c r="G759" t="b">
        <v>0</v>
      </c>
      <c r="H759" t="s">
        <v>111</v>
      </c>
      <c r="I759" t="s">
        <v>113</v>
      </c>
      <c r="J759">
        <v>0.2</v>
      </c>
      <c r="K759">
        <v>0.2273</v>
      </c>
      <c r="L759">
        <v>0.47</v>
      </c>
      <c r="M759">
        <v>0.1045</v>
      </c>
      <c r="N759">
        <v>4</v>
      </c>
      <c r="O759">
        <v>34</v>
      </c>
      <c r="P759">
        <v>38</v>
      </c>
    </row>
    <row r="760" spans="1:16" x14ac:dyDescent="0.35">
      <c r="A760">
        <v>759</v>
      </c>
      <c r="B760" s="37">
        <v>40578</v>
      </c>
      <c r="C760">
        <v>1</v>
      </c>
      <c r="D760">
        <v>0</v>
      </c>
      <c r="E760" t="s">
        <v>105</v>
      </c>
      <c r="F760">
        <v>0</v>
      </c>
      <c r="G760" t="b">
        <v>0</v>
      </c>
      <c r="H760" t="s">
        <v>112</v>
      </c>
      <c r="I760" t="s">
        <v>114</v>
      </c>
      <c r="J760">
        <v>0.2</v>
      </c>
      <c r="K760">
        <v>0.2576</v>
      </c>
      <c r="L760">
        <v>0.44</v>
      </c>
      <c r="M760">
        <v>0</v>
      </c>
      <c r="N760">
        <v>3</v>
      </c>
      <c r="O760">
        <v>10</v>
      </c>
      <c r="P760">
        <v>13</v>
      </c>
    </row>
    <row r="761" spans="1:16" x14ac:dyDescent="0.35">
      <c r="A761">
        <v>760</v>
      </c>
      <c r="B761" s="37">
        <v>40578</v>
      </c>
      <c r="C761">
        <v>1</v>
      </c>
      <c r="D761">
        <v>0</v>
      </c>
      <c r="E761" t="s">
        <v>105</v>
      </c>
      <c r="F761">
        <v>1</v>
      </c>
      <c r="G761" t="b">
        <v>0</v>
      </c>
      <c r="H761" t="s">
        <v>112</v>
      </c>
      <c r="I761" t="s">
        <v>114</v>
      </c>
      <c r="J761">
        <v>0.16</v>
      </c>
      <c r="K761">
        <v>0.2273</v>
      </c>
      <c r="L761">
        <v>0.59</v>
      </c>
      <c r="M761">
        <v>0</v>
      </c>
      <c r="N761">
        <v>0</v>
      </c>
      <c r="O761">
        <v>7</v>
      </c>
      <c r="P761">
        <v>7</v>
      </c>
    </row>
    <row r="762" spans="1:16" x14ac:dyDescent="0.35">
      <c r="A762">
        <v>761</v>
      </c>
      <c r="B762" s="37">
        <v>40578</v>
      </c>
      <c r="C762">
        <v>1</v>
      </c>
      <c r="D762">
        <v>0</v>
      </c>
      <c r="E762" t="s">
        <v>105</v>
      </c>
      <c r="F762">
        <v>2</v>
      </c>
      <c r="G762" t="b">
        <v>0</v>
      </c>
      <c r="H762" t="s">
        <v>112</v>
      </c>
      <c r="I762" t="s">
        <v>114</v>
      </c>
      <c r="J762">
        <v>0.14000000000000001</v>
      </c>
      <c r="K762">
        <v>0.16669999999999999</v>
      </c>
      <c r="L762">
        <v>0.63</v>
      </c>
      <c r="M762">
        <v>0.1045</v>
      </c>
      <c r="N762">
        <v>0</v>
      </c>
      <c r="O762">
        <v>1</v>
      </c>
      <c r="P762">
        <v>1</v>
      </c>
    </row>
    <row r="763" spans="1:16" x14ac:dyDescent="0.35">
      <c r="A763">
        <v>762</v>
      </c>
      <c r="B763" s="37">
        <v>40578</v>
      </c>
      <c r="C763">
        <v>1</v>
      </c>
      <c r="D763">
        <v>0</v>
      </c>
      <c r="E763" t="s">
        <v>105</v>
      </c>
      <c r="F763">
        <v>3</v>
      </c>
      <c r="G763" t="b">
        <v>0</v>
      </c>
      <c r="H763" t="s">
        <v>112</v>
      </c>
      <c r="I763" t="s">
        <v>114</v>
      </c>
      <c r="J763">
        <v>0.14000000000000001</v>
      </c>
      <c r="K763">
        <v>0.16669999999999999</v>
      </c>
      <c r="L763">
        <v>0.63</v>
      </c>
      <c r="M763">
        <v>0.1045</v>
      </c>
      <c r="N763">
        <v>0</v>
      </c>
      <c r="O763">
        <v>1</v>
      </c>
      <c r="P763">
        <v>1</v>
      </c>
    </row>
    <row r="764" spans="1:16" x14ac:dyDescent="0.35">
      <c r="A764">
        <v>763</v>
      </c>
      <c r="B764" s="37">
        <v>40578</v>
      </c>
      <c r="C764">
        <v>1</v>
      </c>
      <c r="D764">
        <v>0</v>
      </c>
      <c r="E764" t="s">
        <v>105</v>
      </c>
      <c r="F764">
        <v>5</v>
      </c>
      <c r="G764" t="b">
        <v>0</v>
      </c>
      <c r="H764" t="s">
        <v>112</v>
      </c>
      <c r="I764" t="s">
        <v>114</v>
      </c>
      <c r="J764">
        <v>0.14000000000000001</v>
      </c>
      <c r="K764">
        <v>0.1515</v>
      </c>
      <c r="L764">
        <v>0.63</v>
      </c>
      <c r="M764">
        <v>0.1343</v>
      </c>
      <c r="N764">
        <v>0</v>
      </c>
      <c r="O764">
        <v>7</v>
      </c>
      <c r="P764">
        <v>7</v>
      </c>
    </row>
    <row r="765" spans="1:16" x14ac:dyDescent="0.35">
      <c r="A765">
        <v>764</v>
      </c>
      <c r="B765" s="37">
        <v>40578</v>
      </c>
      <c r="C765">
        <v>1</v>
      </c>
      <c r="D765">
        <v>0</v>
      </c>
      <c r="E765" t="s">
        <v>105</v>
      </c>
      <c r="F765">
        <v>6</v>
      </c>
      <c r="G765" t="b">
        <v>0</v>
      </c>
      <c r="H765" t="s">
        <v>112</v>
      </c>
      <c r="I765" t="s">
        <v>114</v>
      </c>
      <c r="J765">
        <v>0.16</v>
      </c>
      <c r="K765">
        <v>0.2273</v>
      </c>
      <c r="L765">
        <v>0.55000000000000004</v>
      </c>
      <c r="M765">
        <v>0</v>
      </c>
      <c r="N765">
        <v>2</v>
      </c>
      <c r="O765">
        <v>26</v>
      </c>
      <c r="P765">
        <v>28</v>
      </c>
    </row>
    <row r="766" spans="1:16" x14ac:dyDescent="0.35">
      <c r="A766">
        <v>765</v>
      </c>
      <c r="B766" s="37">
        <v>40578</v>
      </c>
      <c r="C766">
        <v>1</v>
      </c>
      <c r="D766">
        <v>0</v>
      </c>
      <c r="E766" t="s">
        <v>105</v>
      </c>
      <c r="F766">
        <v>7</v>
      </c>
      <c r="G766" t="b">
        <v>0</v>
      </c>
      <c r="H766" t="s">
        <v>112</v>
      </c>
      <c r="I766" t="s">
        <v>113</v>
      </c>
      <c r="J766">
        <v>0.14000000000000001</v>
      </c>
      <c r="K766">
        <v>0.21210000000000001</v>
      </c>
      <c r="L766">
        <v>0.59</v>
      </c>
      <c r="M766">
        <v>0</v>
      </c>
      <c r="N766">
        <v>0</v>
      </c>
      <c r="O766">
        <v>87</v>
      </c>
      <c r="P766">
        <v>87</v>
      </c>
    </row>
    <row r="767" spans="1:16" x14ac:dyDescent="0.35">
      <c r="A767">
        <v>766</v>
      </c>
      <c r="B767" s="37">
        <v>40578</v>
      </c>
      <c r="C767">
        <v>1</v>
      </c>
      <c r="D767">
        <v>0</v>
      </c>
      <c r="E767" t="s">
        <v>105</v>
      </c>
      <c r="F767">
        <v>8</v>
      </c>
      <c r="G767" t="b">
        <v>0</v>
      </c>
      <c r="H767" t="s">
        <v>112</v>
      </c>
      <c r="I767" t="s">
        <v>113</v>
      </c>
      <c r="J767">
        <v>0.14000000000000001</v>
      </c>
      <c r="K767">
        <v>0.1515</v>
      </c>
      <c r="L767">
        <v>0.74</v>
      </c>
      <c r="M767">
        <v>0.1343</v>
      </c>
      <c r="N767">
        <v>3</v>
      </c>
      <c r="O767">
        <v>217</v>
      </c>
      <c r="P767">
        <v>220</v>
      </c>
    </row>
    <row r="768" spans="1:16" x14ac:dyDescent="0.35">
      <c r="A768">
        <v>767</v>
      </c>
      <c r="B768" s="37">
        <v>40578</v>
      </c>
      <c r="C768">
        <v>1</v>
      </c>
      <c r="D768">
        <v>0</v>
      </c>
      <c r="E768" t="s">
        <v>105</v>
      </c>
      <c r="F768">
        <v>9</v>
      </c>
      <c r="G768" t="b">
        <v>0</v>
      </c>
      <c r="H768" t="s">
        <v>112</v>
      </c>
      <c r="I768" t="s">
        <v>114</v>
      </c>
      <c r="J768">
        <v>0.16</v>
      </c>
      <c r="K768">
        <v>0.18179999999999999</v>
      </c>
      <c r="L768">
        <v>0.8</v>
      </c>
      <c r="M768">
        <v>0.1343</v>
      </c>
      <c r="N768">
        <v>3</v>
      </c>
      <c r="O768">
        <v>124</v>
      </c>
      <c r="P768">
        <v>127</v>
      </c>
    </row>
    <row r="769" spans="1:16" x14ac:dyDescent="0.35">
      <c r="A769">
        <v>768</v>
      </c>
      <c r="B769" s="37">
        <v>40578</v>
      </c>
      <c r="C769">
        <v>1</v>
      </c>
      <c r="D769">
        <v>0</v>
      </c>
      <c r="E769" t="s">
        <v>105</v>
      </c>
      <c r="F769">
        <v>10</v>
      </c>
      <c r="G769" t="b">
        <v>0</v>
      </c>
      <c r="H769" t="s">
        <v>112</v>
      </c>
      <c r="I769" t="s">
        <v>114</v>
      </c>
      <c r="J769">
        <v>0.2</v>
      </c>
      <c r="K769">
        <v>0.21210000000000001</v>
      </c>
      <c r="L769">
        <v>0.51</v>
      </c>
      <c r="M769">
        <v>0.1343</v>
      </c>
      <c r="N769">
        <v>5</v>
      </c>
      <c r="O769">
        <v>46</v>
      </c>
      <c r="P769">
        <v>51</v>
      </c>
    </row>
    <row r="770" spans="1:16" x14ac:dyDescent="0.35">
      <c r="A770">
        <v>769</v>
      </c>
      <c r="B770" s="37">
        <v>40578</v>
      </c>
      <c r="C770">
        <v>1</v>
      </c>
      <c r="D770">
        <v>0</v>
      </c>
      <c r="E770" t="s">
        <v>105</v>
      </c>
      <c r="F770">
        <v>11</v>
      </c>
      <c r="G770" t="b">
        <v>0</v>
      </c>
      <c r="H770" t="s">
        <v>112</v>
      </c>
      <c r="I770" t="s">
        <v>113</v>
      </c>
      <c r="J770">
        <v>0.22</v>
      </c>
      <c r="K770">
        <v>0.2273</v>
      </c>
      <c r="L770">
        <v>0.51</v>
      </c>
      <c r="M770">
        <v>0.16420000000000001</v>
      </c>
      <c r="N770">
        <v>3</v>
      </c>
      <c r="O770">
        <v>61</v>
      </c>
      <c r="P770">
        <v>64</v>
      </c>
    </row>
    <row r="771" spans="1:16" x14ac:dyDescent="0.35">
      <c r="A771">
        <v>770</v>
      </c>
      <c r="B771" s="37">
        <v>40578</v>
      </c>
      <c r="C771">
        <v>1</v>
      </c>
      <c r="D771">
        <v>0</v>
      </c>
      <c r="E771" t="s">
        <v>105</v>
      </c>
      <c r="F771">
        <v>12</v>
      </c>
      <c r="G771" t="b">
        <v>0</v>
      </c>
      <c r="H771" t="s">
        <v>112</v>
      </c>
      <c r="I771" t="s">
        <v>114</v>
      </c>
      <c r="J771">
        <v>0.24</v>
      </c>
      <c r="K771">
        <v>0.2424</v>
      </c>
      <c r="L771">
        <v>0.48</v>
      </c>
      <c r="M771">
        <v>0.16420000000000001</v>
      </c>
      <c r="N771">
        <v>8</v>
      </c>
      <c r="O771">
        <v>78</v>
      </c>
      <c r="P771">
        <v>86</v>
      </c>
    </row>
    <row r="772" spans="1:16" x14ac:dyDescent="0.35">
      <c r="A772">
        <v>771</v>
      </c>
      <c r="B772" s="37">
        <v>40578</v>
      </c>
      <c r="C772">
        <v>1</v>
      </c>
      <c r="D772">
        <v>0</v>
      </c>
      <c r="E772" t="s">
        <v>105</v>
      </c>
      <c r="F772">
        <v>13</v>
      </c>
      <c r="G772" t="b">
        <v>0</v>
      </c>
      <c r="H772" t="s">
        <v>112</v>
      </c>
      <c r="I772" t="s">
        <v>114</v>
      </c>
      <c r="J772">
        <v>0.26</v>
      </c>
      <c r="K772">
        <v>0.2576</v>
      </c>
      <c r="L772">
        <v>0.5</v>
      </c>
      <c r="M772">
        <v>0.22389999999999999</v>
      </c>
      <c r="N772">
        <v>9</v>
      </c>
      <c r="O772">
        <v>73</v>
      </c>
      <c r="P772">
        <v>82</v>
      </c>
    </row>
    <row r="773" spans="1:16" x14ac:dyDescent="0.35">
      <c r="A773">
        <v>772</v>
      </c>
      <c r="B773" s="37">
        <v>40578</v>
      </c>
      <c r="C773">
        <v>1</v>
      </c>
      <c r="D773">
        <v>0</v>
      </c>
      <c r="E773" t="s">
        <v>105</v>
      </c>
      <c r="F773">
        <v>14</v>
      </c>
      <c r="G773" t="b">
        <v>0</v>
      </c>
      <c r="H773" t="s">
        <v>112</v>
      </c>
      <c r="I773" t="s">
        <v>114</v>
      </c>
      <c r="J773">
        <v>0.28000000000000003</v>
      </c>
      <c r="K773">
        <v>0.2727</v>
      </c>
      <c r="L773">
        <v>0.45</v>
      </c>
      <c r="M773">
        <v>0.16420000000000001</v>
      </c>
      <c r="N773">
        <v>15</v>
      </c>
      <c r="O773">
        <v>76</v>
      </c>
      <c r="P773">
        <v>91</v>
      </c>
    </row>
    <row r="774" spans="1:16" x14ac:dyDescent="0.35">
      <c r="A774">
        <v>773</v>
      </c>
      <c r="B774" s="37">
        <v>40578</v>
      </c>
      <c r="C774">
        <v>1</v>
      </c>
      <c r="D774">
        <v>0</v>
      </c>
      <c r="E774" t="s">
        <v>105</v>
      </c>
      <c r="F774">
        <v>15</v>
      </c>
      <c r="G774" t="b">
        <v>0</v>
      </c>
      <c r="H774" t="s">
        <v>112</v>
      </c>
      <c r="I774" t="s">
        <v>114</v>
      </c>
      <c r="J774">
        <v>0.28000000000000003</v>
      </c>
      <c r="K774">
        <v>0.2727</v>
      </c>
      <c r="L774">
        <v>0.48</v>
      </c>
      <c r="M774">
        <v>0.25369999999999998</v>
      </c>
      <c r="N774">
        <v>9</v>
      </c>
      <c r="O774">
        <v>81</v>
      </c>
      <c r="P774">
        <v>90</v>
      </c>
    </row>
    <row r="775" spans="1:16" x14ac:dyDescent="0.35">
      <c r="A775">
        <v>774</v>
      </c>
      <c r="B775" s="37">
        <v>40578</v>
      </c>
      <c r="C775">
        <v>1</v>
      </c>
      <c r="D775">
        <v>0</v>
      </c>
      <c r="E775" t="s">
        <v>105</v>
      </c>
      <c r="F775">
        <v>16</v>
      </c>
      <c r="G775" t="b">
        <v>0</v>
      </c>
      <c r="H775" t="s">
        <v>112</v>
      </c>
      <c r="I775" t="s">
        <v>114</v>
      </c>
      <c r="J775">
        <v>0.3</v>
      </c>
      <c r="K775">
        <v>0.28789999999999999</v>
      </c>
      <c r="L775">
        <v>0.42</v>
      </c>
      <c r="M775">
        <v>0.22389999999999999</v>
      </c>
      <c r="N775">
        <v>8</v>
      </c>
      <c r="O775">
        <v>91</v>
      </c>
      <c r="P775">
        <v>99</v>
      </c>
    </row>
    <row r="776" spans="1:16" x14ac:dyDescent="0.35">
      <c r="A776">
        <v>775</v>
      </c>
      <c r="B776" s="37">
        <v>40578</v>
      </c>
      <c r="C776">
        <v>1</v>
      </c>
      <c r="D776">
        <v>0</v>
      </c>
      <c r="E776" t="s">
        <v>105</v>
      </c>
      <c r="F776">
        <v>17</v>
      </c>
      <c r="G776" t="b">
        <v>0</v>
      </c>
      <c r="H776" t="s">
        <v>112</v>
      </c>
      <c r="I776" t="s">
        <v>114</v>
      </c>
      <c r="J776">
        <v>0.26</v>
      </c>
      <c r="K776">
        <v>0.2727</v>
      </c>
      <c r="L776">
        <v>0.56000000000000005</v>
      </c>
      <c r="M776">
        <v>0.1343</v>
      </c>
      <c r="N776">
        <v>10</v>
      </c>
      <c r="O776">
        <v>195</v>
      </c>
      <c r="P776">
        <v>205</v>
      </c>
    </row>
    <row r="777" spans="1:16" x14ac:dyDescent="0.35">
      <c r="A777">
        <v>776</v>
      </c>
      <c r="B777" s="37">
        <v>40578</v>
      </c>
      <c r="C777">
        <v>1</v>
      </c>
      <c r="D777">
        <v>0</v>
      </c>
      <c r="E777" t="s">
        <v>105</v>
      </c>
      <c r="F777">
        <v>18</v>
      </c>
      <c r="G777" t="b">
        <v>0</v>
      </c>
      <c r="H777" t="s">
        <v>112</v>
      </c>
      <c r="I777" t="s">
        <v>114</v>
      </c>
      <c r="J777">
        <v>0.24</v>
      </c>
      <c r="K777">
        <v>0.2576</v>
      </c>
      <c r="L777">
        <v>0.6</v>
      </c>
      <c r="M777">
        <v>0.1045</v>
      </c>
      <c r="N777">
        <v>3</v>
      </c>
      <c r="O777">
        <v>152</v>
      </c>
      <c r="P777">
        <v>155</v>
      </c>
    </row>
    <row r="778" spans="1:16" x14ac:dyDescent="0.35">
      <c r="A778">
        <v>777</v>
      </c>
      <c r="B778" s="37">
        <v>40578</v>
      </c>
      <c r="C778">
        <v>1</v>
      </c>
      <c r="D778">
        <v>0</v>
      </c>
      <c r="E778" t="s">
        <v>105</v>
      </c>
      <c r="F778">
        <v>19</v>
      </c>
      <c r="G778" t="b">
        <v>0</v>
      </c>
      <c r="H778" t="s">
        <v>112</v>
      </c>
      <c r="I778" t="s">
        <v>114</v>
      </c>
      <c r="J778">
        <v>0.24</v>
      </c>
      <c r="K778">
        <v>0.2424</v>
      </c>
      <c r="L778">
        <v>0.65</v>
      </c>
      <c r="M778">
        <v>0.1343</v>
      </c>
      <c r="N778">
        <v>1</v>
      </c>
      <c r="O778">
        <v>102</v>
      </c>
      <c r="P778">
        <v>103</v>
      </c>
    </row>
    <row r="779" spans="1:16" x14ac:dyDescent="0.35">
      <c r="A779">
        <v>778</v>
      </c>
      <c r="B779" s="37">
        <v>40578</v>
      </c>
      <c r="C779">
        <v>1</v>
      </c>
      <c r="D779">
        <v>0</v>
      </c>
      <c r="E779" t="s">
        <v>105</v>
      </c>
      <c r="F779">
        <v>20</v>
      </c>
      <c r="G779" t="b">
        <v>0</v>
      </c>
      <c r="H779" t="s">
        <v>112</v>
      </c>
      <c r="I779" t="s">
        <v>114</v>
      </c>
      <c r="J779">
        <v>0.24</v>
      </c>
      <c r="K779">
        <v>0.2424</v>
      </c>
      <c r="L779">
        <v>0.65</v>
      </c>
      <c r="M779">
        <v>0.16420000000000001</v>
      </c>
      <c r="N779">
        <v>2</v>
      </c>
      <c r="O779">
        <v>69</v>
      </c>
      <c r="P779">
        <v>71</v>
      </c>
    </row>
    <row r="780" spans="1:16" x14ac:dyDescent="0.35">
      <c r="A780">
        <v>779</v>
      </c>
      <c r="B780" s="37">
        <v>40578</v>
      </c>
      <c r="C780">
        <v>1</v>
      </c>
      <c r="D780">
        <v>0</v>
      </c>
      <c r="E780" t="s">
        <v>105</v>
      </c>
      <c r="F780">
        <v>21</v>
      </c>
      <c r="G780" t="b">
        <v>0</v>
      </c>
      <c r="H780" t="s">
        <v>112</v>
      </c>
      <c r="I780" t="s">
        <v>114</v>
      </c>
      <c r="J780">
        <v>0.24</v>
      </c>
      <c r="K780">
        <v>0.2424</v>
      </c>
      <c r="L780">
        <v>0.7</v>
      </c>
      <c r="M780">
        <v>0.16420000000000001</v>
      </c>
      <c r="N780">
        <v>2</v>
      </c>
      <c r="O780">
        <v>41</v>
      </c>
      <c r="P780">
        <v>43</v>
      </c>
    </row>
    <row r="781" spans="1:16" x14ac:dyDescent="0.35">
      <c r="A781">
        <v>780</v>
      </c>
      <c r="B781" s="37">
        <v>40578</v>
      </c>
      <c r="C781">
        <v>1</v>
      </c>
      <c r="D781">
        <v>0</v>
      </c>
      <c r="E781" t="s">
        <v>105</v>
      </c>
      <c r="F781">
        <v>22</v>
      </c>
      <c r="G781" t="b">
        <v>0</v>
      </c>
      <c r="H781" t="s">
        <v>112</v>
      </c>
      <c r="I781" t="s">
        <v>114</v>
      </c>
      <c r="J781">
        <v>0.24</v>
      </c>
      <c r="K781">
        <v>0.2424</v>
      </c>
      <c r="L781">
        <v>0.65</v>
      </c>
      <c r="M781">
        <v>0.16420000000000001</v>
      </c>
      <c r="N781">
        <v>1</v>
      </c>
      <c r="O781">
        <v>45</v>
      </c>
      <c r="P781">
        <v>46</v>
      </c>
    </row>
    <row r="782" spans="1:16" x14ac:dyDescent="0.35">
      <c r="A782">
        <v>781</v>
      </c>
      <c r="B782" s="37">
        <v>40578</v>
      </c>
      <c r="C782">
        <v>1</v>
      </c>
      <c r="D782">
        <v>0</v>
      </c>
      <c r="E782" t="s">
        <v>105</v>
      </c>
      <c r="F782">
        <v>23</v>
      </c>
      <c r="G782" t="b">
        <v>0</v>
      </c>
      <c r="H782" t="s">
        <v>112</v>
      </c>
      <c r="I782" t="s">
        <v>114</v>
      </c>
      <c r="J782">
        <v>0.24</v>
      </c>
      <c r="K782">
        <v>0.2424</v>
      </c>
      <c r="L782">
        <v>0.7</v>
      </c>
      <c r="M782">
        <v>0.1343</v>
      </c>
      <c r="N782">
        <v>1</v>
      </c>
      <c r="O782">
        <v>30</v>
      </c>
      <c r="P782">
        <v>31</v>
      </c>
    </row>
    <row r="783" spans="1:16" x14ac:dyDescent="0.35">
      <c r="A783">
        <v>782</v>
      </c>
      <c r="B783" s="37">
        <v>40579</v>
      </c>
      <c r="C783">
        <v>1</v>
      </c>
      <c r="D783">
        <v>0</v>
      </c>
      <c r="E783" t="s">
        <v>105</v>
      </c>
      <c r="F783">
        <v>0</v>
      </c>
      <c r="G783" t="b">
        <v>0</v>
      </c>
      <c r="H783" t="s">
        <v>106</v>
      </c>
      <c r="I783" t="s">
        <v>114</v>
      </c>
      <c r="J783">
        <v>0.24</v>
      </c>
      <c r="K783">
        <v>0.2424</v>
      </c>
      <c r="L783">
        <v>0.7</v>
      </c>
      <c r="M783">
        <v>0.16420000000000001</v>
      </c>
      <c r="N783">
        <v>3</v>
      </c>
      <c r="O783">
        <v>36</v>
      </c>
      <c r="P783">
        <v>39</v>
      </c>
    </row>
    <row r="784" spans="1:16" x14ac:dyDescent="0.35">
      <c r="A784">
        <v>783</v>
      </c>
      <c r="B784" s="37">
        <v>40579</v>
      </c>
      <c r="C784">
        <v>1</v>
      </c>
      <c r="D784">
        <v>0</v>
      </c>
      <c r="E784" t="s">
        <v>105</v>
      </c>
      <c r="F784">
        <v>1</v>
      </c>
      <c r="G784" t="b">
        <v>0</v>
      </c>
      <c r="H784" t="s">
        <v>106</v>
      </c>
      <c r="I784" t="s">
        <v>114</v>
      </c>
      <c r="J784">
        <v>0.24</v>
      </c>
      <c r="K784">
        <v>0.2424</v>
      </c>
      <c r="L784">
        <v>0.65</v>
      </c>
      <c r="M784">
        <v>0.16420000000000001</v>
      </c>
      <c r="N784">
        <v>1</v>
      </c>
      <c r="O784">
        <v>17</v>
      </c>
      <c r="P784">
        <v>18</v>
      </c>
    </row>
    <row r="785" spans="1:16" x14ac:dyDescent="0.35">
      <c r="A785">
        <v>784</v>
      </c>
      <c r="B785" s="37">
        <v>40579</v>
      </c>
      <c r="C785">
        <v>1</v>
      </c>
      <c r="D785">
        <v>0</v>
      </c>
      <c r="E785" t="s">
        <v>105</v>
      </c>
      <c r="F785">
        <v>2</v>
      </c>
      <c r="G785" t="b">
        <v>0</v>
      </c>
      <c r="H785" t="s">
        <v>106</v>
      </c>
      <c r="I785" t="s">
        <v>114</v>
      </c>
      <c r="J785">
        <v>0.24</v>
      </c>
      <c r="K785">
        <v>0.2424</v>
      </c>
      <c r="L785">
        <v>0.75</v>
      </c>
      <c r="M785">
        <v>0.16420000000000001</v>
      </c>
      <c r="N785">
        <v>5</v>
      </c>
      <c r="O785">
        <v>12</v>
      </c>
      <c r="P785">
        <v>17</v>
      </c>
    </row>
    <row r="786" spans="1:16" x14ac:dyDescent="0.35">
      <c r="A786">
        <v>785</v>
      </c>
      <c r="B786" s="37">
        <v>40579</v>
      </c>
      <c r="C786">
        <v>1</v>
      </c>
      <c r="D786">
        <v>0</v>
      </c>
      <c r="E786" t="s">
        <v>105</v>
      </c>
      <c r="F786">
        <v>3</v>
      </c>
      <c r="G786" t="b">
        <v>0</v>
      </c>
      <c r="H786" t="s">
        <v>106</v>
      </c>
      <c r="I786" t="s">
        <v>114</v>
      </c>
      <c r="J786">
        <v>0.24</v>
      </c>
      <c r="K786">
        <v>0.2424</v>
      </c>
      <c r="L786">
        <v>0.75</v>
      </c>
      <c r="M786">
        <v>0.16420000000000001</v>
      </c>
      <c r="N786">
        <v>1</v>
      </c>
      <c r="O786">
        <v>10</v>
      </c>
      <c r="P786">
        <v>11</v>
      </c>
    </row>
    <row r="787" spans="1:16" x14ac:dyDescent="0.35">
      <c r="A787">
        <v>786</v>
      </c>
      <c r="B787" s="37">
        <v>40579</v>
      </c>
      <c r="C787">
        <v>1</v>
      </c>
      <c r="D787">
        <v>0</v>
      </c>
      <c r="E787" t="s">
        <v>105</v>
      </c>
      <c r="F787">
        <v>4</v>
      </c>
      <c r="G787" t="b">
        <v>0</v>
      </c>
      <c r="H787" t="s">
        <v>106</v>
      </c>
      <c r="I787" t="s">
        <v>115</v>
      </c>
      <c r="J787">
        <v>0.22</v>
      </c>
      <c r="K787">
        <v>0.2273</v>
      </c>
      <c r="L787">
        <v>0.93</v>
      </c>
      <c r="M787">
        <v>0.1343</v>
      </c>
      <c r="N787">
        <v>0</v>
      </c>
      <c r="O787">
        <v>8</v>
      </c>
      <c r="P787">
        <v>8</v>
      </c>
    </row>
    <row r="788" spans="1:16" x14ac:dyDescent="0.35">
      <c r="A788">
        <v>787</v>
      </c>
      <c r="B788" s="37">
        <v>40579</v>
      </c>
      <c r="C788">
        <v>1</v>
      </c>
      <c r="D788">
        <v>0</v>
      </c>
      <c r="E788" t="s">
        <v>105</v>
      </c>
      <c r="F788">
        <v>5</v>
      </c>
      <c r="G788" t="b">
        <v>0</v>
      </c>
      <c r="H788" t="s">
        <v>106</v>
      </c>
      <c r="I788" t="s">
        <v>115</v>
      </c>
      <c r="J788">
        <v>0.2</v>
      </c>
      <c r="K788">
        <v>0.2273</v>
      </c>
      <c r="L788">
        <v>1</v>
      </c>
      <c r="M788">
        <v>8.9599999999999999E-2</v>
      </c>
      <c r="N788">
        <v>0</v>
      </c>
      <c r="O788">
        <v>9</v>
      </c>
      <c r="P788">
        <v>9</v>
      </c>
    </row>
    <row r="789" spans="1:16" x14ac:dyDescent="0.35">
      <c r="A789">
        <v>788</v>
      </c>
      <c r="B789" s="37">
        <v>40579</v>
      </c>
      <c r="C789">
        <v>1</v>
      </c>
      <c r="D789">
        <v>0</v>
      </c>
      <c r="E789" t="s">
        <v>105</v>
      </c>
      <c r="F789">
        <v>6</v>
      </c>
      <c r="G789" t="b">
        <v>0</v>
      </c>
      <c r="H789" t="s">
        <v>106</v>
      </c>
      <c r="I789" t="s">
        <v>115</v>
      </c>
      <c r="J789">
        <v>0.2</v>
      </c>
      <c r="K789">
        <v>0.2576</v>
      </c>
      <c r="L789">
        <v>1</v>
      </c>
      <c r="M789">
        <v>0</v>
      </c>
      <c r="N789">
        <v>0</v>
      </c>
      <c r="O789">
        <v>4</v>
      </c>
      <c r="P789">
        <v>4</v>
      </c>
    </row>
    <row r="790" spans="1:16" x14ac:dyDescent="0.35">
      <c r="A790">
        <v>789</v>
      </c>
      <c r="B790" s="37">
        <v>40579</v>
      </c>
      <c r="C790">
        <v>1</v>
      </c>
      <c r="D790">
        <v>0</v>
      </c>
      <c r="E790" t="s">
        <v>105</v>
      </c>
      <c r="F790">
        <v>7</v>
      </c>
      <c r="G790" t="b">
        <v>0</v>
      </c>
      <c r="H790" t="s">
        <v>106</v>
      </c>
      <c r="I790" t="s">
        <v>115</v>
      </c>
      <c r="J790">
        <v>0.22</v>
      </c>
      <c r="K790">
        <v>0.2576</v>
      </c>
      <c r="L790">
        <v>0.93</v>
      </c>
      <c r="M790">
        <v>8.9599999999999999E-2</v>
      </c>
      <c r="N790">
        <v>0</v>
      </c>
      <c r="O790">
        <v>4</v>
      </c>
      <c r="P790">
        <v>4</v>
      </c>
    </row>
    <row r="791" spans="1:16" x14ac:dyDescent="0.35">
      <c r="A791">
        <v>790</v>
      </c>
      <c r="B791" s="37">
        <v>40579</v>
      </c>
      <c r="C791">
        <v>1</v>
      </c>
      <c r="D791">
        <v>0</v>
      </c>
      <c r="E791" t="s">
        <v>105</v>
      </c>
      <c r="F791">
        <v>8</v>
      </c>
      <c r="G791" t="b">
        <v>0</v>
      </c>
      <c r="H791" t="s">
        <v>106</v>
      </c>
      <c r="I791" t="s">
        <v>115</v>
      </c>
      <c r="J791">
        <v>0.2</v>
      </c>
      <c r="K791">
        <v>0.2273</v>
      </c>
      <c r="L791">
        <v>1</v>
      </c>
      <c r="M791">
        <v>8.9599999999999999E-2</v>
      </c>
      <c r="N791">
        <v>0</v>
      </c>
      <c r="O791">
        <v>10</v>
      </c>
      <c r="P791">
        <v>10</v>
      </c>
    </row>
    <row r="792" spans="1:16" x14ac:dyDescent="0.35">
      <c r="A792">
        <v>791</v>
      </c>
      <c r="B792" s="37">
        <v>40579</v>
      </c>
      <c r="C792">
        <v>1</v>
      </c>
      <c r="D792">
        <v>0</v>
      </c>
      <c r="E792" t="s">
        <v>105</v>
      </c>
      <c r="F792">
        <v>9</v>
      </c>
      <c r="G792" t="b">
        <v>0</v>
      </c>
      <c r="H792" t="s">
        <v>106</v>
      </c>
      <c r="I792" t="s">
        <v>115</v>
      </c>
      <c r="J792">
        <v>0.2</v>
      </c>
      <c r="K792">
        <v>0.2273</v>
      </c>
      <c r="L792">
        <v>1</v>
      </c>
      <c r="M792">
        <v>8.9599999999999999E-2</v>
      </c>
      <c r="N792">
        <v>3</v>
      </c>
      <c r="O792">
        <v>17</v>
      </c>
      <c r="P792">
        <v>20</v>
      </c>
    </row>
    <row r="793" spans="1:16" x14ac:dyDescent="0.35">
      <c r="A793">
        <v>792</v>
      </c>
      <c r="B793" s="37">
        <v>40579</v>
      </c>
      <c r="C793">
        <v>1</v>
      </c>
      <c r="D793">
        <v>0</v>
      </c>
      <c r="E793" t="s">
        <v>105</v>
      </c>
      <c r="F793">
        <v>10</v>
      </c>
      <c r="G793" t="b">
        <v>0</v>
      </c>
      <c r="H793" t="s">
        <v>106</v>
      </c>
      <c r="I793" t="s">
        <v>115</v>
      </c>
      <c r="J793">
        <v>0.2</v>
      </c>
      <c r="K793">
        <v>0.21210000000000001</v>
      </c>
      <c r="L793">
        <v>1</v>
      </c>
      <c r="M793">
        <v>0.1343</v>
      </c>
      <c r="N793">
        <v>3</v>
      </c>
      <c r="O793">
        <v>31</v>
      </c>
      <c r="P793">
        <v>34</v>
      </c>
    </row>
    <row r="794" spans="1:16" x14ac:dyDescent="0.35">
      <c r="A794">
        <v>793</v>
      </c>
      <c r="B794" s="37">
        <v>40579</v>
      </c>
      <c r="C794">
        <v>1</v>
      </c>
      <c r="D794">
        <v>0</v>
      </c>
      <c r="E794" t="s">
        <v>105</v>
      </c>
      <c r="F794">
        <v>11</v>
      </c>
      <c r="G794" t="b">
        <v>0</v>
      </c>
      <c r="H794" t="s">
        <v>106</v>
      </c>
      <c r="I794" t="s">
        <v>115</v>
      </c>
      <c r="J794">
        <v>0.22</v>
      </c>
      <c r="K794">
        <v>0.2273</v>
      </c>
      <c r="L794">
        <v>1</v>
      </c>
      <c r="M794">
        <v>0.1343</v>
      </c>
      <c r="N794">
        <v>1</v>
      </c>
      <c r="O794">
        <v>46</v>
      </c>
      <c r="P794">
        <v>47</v>
      </c>
    </row>
    <row r="795" spans="1:16" x14ac:dyDescent="0.35">
      <c r="A795">
        <v>794</v>
      </c>
      <c r="B795" s="37">
        <v>40579</v>
      </c>
      <c r="C795">
        <v>1</v>
      </c>
      <c r="D795">
        <v>0</v>
      </c>
      <c r="E795" t="s">
        <v>105</v>
      </c>
      <c r="F795">
        <v>12</v>
      </c>
      <c r="G795" t="b">
        <v>0</v>
      </c>
      <c r="H795" t="s">
        <v>106</v>
      </c>
      <c r="I795" t="s">
        <v>115</v>
      </c>
      <c r="J795">
        <v>0.22</v>
      </c>
      <c r="K795">
        <v>0.2273</v>
      </c>
      <c r="L795">
        <v>1</v>
      </c>
      <c r="M795">
        <v>0.16420000000000001</v>
      </c>
      <c r="N795">
        <v>10</v>
      </c>
      <c r="O795">
        <v>42</v>
      </c>
      <c r="P795">
        <v>52</v>
      </c>
    </row>
    <row r="796" spans="1:16" x14ac:dyDescent="0.35">
      <c r="A796">
        <v>795</v>
      </c>
      <c r="B796" s="37">
        <v>40579</v>
      </c>
      <c r="C796">
        <v>1</v>
      </c>
      <c r="D796">
        <v>0</v>
      </c>
      <c r="E796" t="s">
        <v>105</v>
      </c>
      <c r="F796">
        <v>13</v>
      </c>
      <c r="G796" t="b">
        <v>0</v>
      </c>
      <c r="H796" t="s">
        <v>106</v>
      </c>
      <c r="I796" t="s">
        <v>115</v>
      </c>
      <c r="J796">
        <v>0.22</v>
      </c>
      <c r="K796">
        <v>0.2273</v>
      </c>
      <c r="L796">
        <v>1</v>
      </c>
      <c r="M796">
        <v>0.16420000000000001</v>
      </c>
      <c r="N796">
        <v>10</v>
      </c>
      <c r="O796">
        <v>62</v>
      </c>
      <c r="P796">
        <v>72</v>
      </c>
    </row>
    <row r="797" spans="1:16" x14ac:dyDescent="0.35">
      <c r="A797">
        <v>796</v>
      </c>
      <c r="B797" s="37">
        <v>40579</v>
      </c>
      <c r="C797">
        <v>1</v>
      </c>
      <c r="D797">
        <v>0</v>
      </c>
      <c r="E797" t="s">
        <v>105</v>
      </c>
      <c r="F797">
        <v>14</v>
      </c>
      <c r="G797" t="b">
        <v>0</v>
      </c>
      <c r="H797" t="s">
        <v>106</v>
      </c>
      <c r="I797" t="s">
        <v>115</v>
      </c>
      <c r="J797">
        <v>0.22</v>
      </c>
      <c r="K797">
        <v>0.2727</v>
      </c>
      <c r="L797">
        <v>1</v>
      </c>
      <c r="M797">
        <v>0</v>
      </c>
      <c r="N797">
        <v>5</v>
      </c>
      <c r="O797">
        <v>50</v>
      </c>
      <c r="P797">
        <v>55</v>
      </c>
    </row>
    <row r="798" spans="1:16" x14ac:dyDescent="0.35">
      <c r="A798">
        <v>797</v>
      </c>
      <c r="B798" s="37">
        <v>40579</v>
      </c>
      <c r="C798">
        <v>1</v>
      </c>
      <c r="D798">
        <v>0</v>
      </c>
      <c r="E798" t="s">
        <v>105</v>
      </c>
      <c r="F798">
        <v>15</v>
      </c>
      <c r="G798" t="b">
        <v>0</v>
      </c>
      <c r="H798" t="s">
        <v>106</v>
      </c>
      <c r="I798" t="s">
        <v>115</v>
      </c>
      <c r="J798">
        <v>0.22</v>
      </c>
      <c r="K798">
        <v>0.2727</v>
      </c>
      <c r="L798">
        <v>1</v>
      </c>
      <c r="M798">
        <v>0</v>
      </c>
      <c r="N798">
        <v>11</v>
      </c>
      <c r="O798">
        <v>49</v>
      </c>
      <c r="P798">
        <v>60</v>
      </c>
    </row>
    <row r="799" spans="1:16" x14ac:dyDescent="0.35">
      <c r="A799">
        <v>798</v>
      </c>
      <c r="B799" s="37">
        <v>40579</v>
      </c>
      <c r="C799">
        <v>1</v>
      </c>
      <c r="D799">
        <v>0</v>
      </c>
      <c r="E799" t="s">
        <v>105</v>
      </c>
      <c r="F799">
        <v>16</v>
      </c>
      <c r="G799" t="b">
        <v>0</v>
      </c>
      <c r="H799" t="s">
        <v>106</v>
      </c>
      <c r="I799" t="s">
        <v>115</v>
      </c>
      <c r="J799">
        <v>0.22</v>
      </c>
      <c r="K799">
        <v>0.2273</v>
      </c>
      <c r="L799">
        <v>1</v>
      </c>
      <c r="M799">
        <v>0.1343</v>
      </c>
      <c r="N799">
        <v>8</v>
      </c>
      <c r="O799">
        <v>63</v>
      </c>
      <c r="P799">
        <v>71</v>
      </c>
    </row>
    <row r="800" spans="1:16" x14ac:dyDescent="0.35">
      <c r="A800">
        <v>799</v>
      </c>
      <c r="B800" s="37">
        <v>40579</v>
      </c>
      <c r="C800">
        <v>1</v>
      </c>
      <c r="D800">
        <v>0</v>
      </c>
      <c r="E800" t="s">
        <v>105</v>
      </c>
      <c r="F800">
        <v>17</v>
      </c>
      <c r="G800" t="b">
        <v>0</v>
      </c>
      <c r="H800" t="s">
        <v>106</v>
      </c>
      <c r="I800" t="s">
        <v>114</v>
      </c>
      <c r="J800">
        <v>0.24</v>
      </c>
      <c r="K800">
        <v>0.21210000000000001</v>
      </c>
      <c r="L800">
        <v>1</v>
      </c>
      <c r="M800">
        <v>0.28360000000000002</v>
      </c>
      <c r="N800">
        <v>14</v>
      </c>
      <c r="O800">
        <v>64</v>
      </c>
      <c r="P800">
        <v>78</v>
      </c>
    </row>
    <row r="801" spans="1:16" x14ac:dyDescent="0.35">
      <c r="A801">
        <v>800</v>
      </c>
      <c r="B801" s="37">
        <v>40579</v>
      </c>
      <c r="C801">
        <v>1</v>
      </c>
      <c r="D801">
        <v>0</v>
      </c>
      <c r="E801" t="s">
        <v>105</v>
      </c>
      <c r="F801">
        <v>18</v>
      </c>
      <c r="G801" t="b">
        <v>0</v>
      </c>
      <c r="H801" t="s">
        <v>106</v>
      </c>
      <c r="I801" t="s">
        <v>114</v>
      </c>
      <c r="J801">
        <v>0.28000000000000003</v>
      </c>
      <c r="K801">
        <v>0.2424</v>
      </c>
      <c r="L801">
        <v>0.93</v>
      </c>
      <c r="M801">
        <v>0.44779999999999998</v>
      </c>
      <c r="N801">
        <v>2</v>
      </c>
      <c r="O801">
        <v>81</v>
      </c>
      <c r="P801">
        <v>83</v>
      </c>
    </row>
    <row r="802" spans="1:16" x14ac:dyDescent="0.35">
      <c r="A802">
        <v>801</v>
      </c>
      <c r="B802" s="37">
        <v>40579</v>
      </c>
      <c r="C802">
        <v>1</v>
      </c>
      <c r="D802">
        <v>0</v>
      </c>
      <c r="E802" t="s">
        <v>105</v>
      </c>
      <c r="F802">
        <v>19</v>
      </c>
      <c r="G802" t="b">
        <v>0</v>
      </c>
      <c r="H802" t="s">
        <v>106</v>
      </c>
      <c r="I802" t="s">
        <v>114</v>
      </c>
      <c r="J802">
        <v>0.28000000000000003</v>
      </c>
      <c r="K802">
        <v>0.2424</v>
      </c>
      <c r="L802">
        <v>0.93</v>
      </c>
      <c r="M802">
        <v>0.44779999999999998</v>
      </c>
      <c r="N802">
        <v>6</v>
      </c>
      <c r="O802">
        <v>78</v>
      </c>
      <c r="P802">
        <v>84</v>
      </c>
    </row>
    <row r="803" spans="1:16" x14ac:dyDescent="0.35">
      <c r="A803">
        <v>802</v>
      </c>
      <c r="B803" s="37">
        <v>40579</v>
      </c>
      <c r="C803">
        <v>1</v>
      </c>
      <c r="D803">
        <v>0</v>
      </c>
      <c r="E803" t="s">
        <v>105</v>
      </c>
      <c r="F803">
        <v>20</v>
      </c>
      <c r="G803" t="b">
        <v>0</v>
      </c>
      <c r="H803" t="s">
        <v>106</v>
      </c>
      <c r="I803" t="s">
        <v>113</v>
      </c>
      <c r="J803">
        <v>0.3</v>
      </c>
      <c r="K803">
        <v>0.28789999999999999</v>
      </c>
      <c r="L803">
        <v>0.87</v>
      </c>
      <c r="M803">
        <v>0.25369999999999998</v>
      </c>
      <c r="N803">
        <v>5</v>
      </c>
      <c r="O803">
        <v>64</v>
      </c>
      <c r="P803">
        <v>69</v>
      </c>
    </row>
    <row r="804" spans="1:16" x14ac:dyDescent="0.35">
      <c r="A804">
        <v>803</v>
      </c>
      <c r="B804" s="37">
        <v>40579</v>
      </c>
      <c r="C804">
        <v>1</v>
      </c>
      <c r="D804">
        <v>0</v>
      </c>
      <c r="E804" t="s">
        <v>105</v>
      </c>
      <c r="F804">
        <v>21</v>
      </c>
      <c r="G804" t="b">
        <v>0</v>
      </c>
      <c r="H804" t="s">
        <v>106</v>
      </c>
      <c r="I804" t="s">
        <v>113</v>
      </c>
      <c r="J804">
        <v>0.26</v>
      </c>
      <c r="K804">
        <v>0.2576</v>
      </c>
      <c r="L804">
        <v>1</v>
      </c>
      <c r="M804">
        <v>0.19400000000000001</v>
      </c>
      <c r="N804">
        <v>3</v>
      </c>
      <c r="O804">
        <v>53</v>
      </c>
      <c r="P804">
        <v>56</v>
      </c>
    </row>
    <row r="805" spans="1:16" x14ac:dyDescent="0.35">
      <c r="A805">
        <v>804</v>
      </c>
      <c r="B805" s="37">
        <v>40579</v>
      </c>
      <c r="C805">
        <v>1</v>
      </c>
      <c r="D805">
        <v>0</v>
      </c>
      <c r="E805" t="s">
        <v>105</v>
      </c>
      <c r="F805">
        <v>22</v>
      </c>
      <c r="G805" t="b">
        <v>0</v>
      </c>
      <c r="H805" t="s">
        <v>106</v>
      </c>
      <c r="I805" t="s">
        <v>113</v>
      </c>
      <c r="J805">
        <v>0.26</v>
      </c>
      <c r="K805">
        <v>0.2727</v>
      </c>
      <c r="L805">
        <v>0.93</v>
      </c>
      <c r="M805">
        <v>0.1343</v>
      </c>
      <c r="N805">
        <v>2</v>
      </c>
      <c r="O805">
        <v>43</v>
      </c>
      <c r="P805">
        <v>45</v>
      </c>
    </row>
    <row r="806" spans="1:16" x14ac:dyDescent="0.35">
      <c r="A806">
        <v>805</v>
      </c>
      <c r="B806" s="37">
        <v>40579</v>
      </c>
      <c r="C806">
        <v>1</v>
      </c>
      <c r="D806">
        <v>0</v>
      </c>
      <c r="E806" t="s">
        <v>105</v>
      </c>
      <c r="F806">
        <v>23</v>
      </c>
      <c r="G806" t="b">
        <v>0</v>
      </c>
      <c r="H806" t="s">
        <v>106</v>
      </c>
      <c r="I806" t="s">
        <v>113</v>
      </c>
      <c r="J806">
        <v>0.26</v>
      </c>
      <c r="K806">
        <v>0.2576</v>
      </c>
      <c r="L806">
        <v>0.93</v>
      </c>
      <c r="M806">
        <v>0.22389999999999999</v>
      </c>
      <c r="N806">
        <v>7</v>
      </c>
      <c r="O806">
        <v>52</v>
      </c>
      <c r="P806">
        <v>59</v>
      </c>
    </row>
    <row r="807" spans="1:16" x14ac:dyDescent="0.35">
      <c r="A807">
        <v>806</v>
      </c>
      <c r="B807" s="37">
        <v>40580</v>
      </c>
      <c r="C807">
        <v>1</v>
      </c>
      <c r="D807">
        <v>0</v>
      </c>
      <c r="E807" t="s">
        <v>105</v>
      </c>
      <c r="F807">
        <v>0</v>
      </c>
      <c r="G807" t="b">
        <v>0</v>
      </c>
      <c r="H807" t="s">
        <v>107</v>
      </c>
      <c r="I807" t="s">
        <v>113</v>
      </c>
      <c r="J807">
        <v>0.26</v>
      </c>
      <c r="K807">
        <v>0.2576</v>
      </c>
      <c r="L807">
        <v>0.7</v>
      </c>
      <c r="M807">
        <v>0.19400000000000001</v>
      </c>
      <c r="N807">
        <v>2</v>
      </c>
      <c r="O807">
        <v>37</v>
      </c>
      <c r="P807">
        <v>39</v>
      </c>
    </row>
    <row r="808" spans="1:16" x14ac:dyDescent="0.35">
      <c r="A808">
        <v>807</v>
      </c>
      <c r="B808" s="37">
        <v>40580</v>
      </c>
      <c r="C808">
        <v>1</v>
      </c>
      <c r="D808">
        <v>0</v>
      </c>
      <c r="E808" t="s">
        <v>105</v>
      </c>
      <c r="F808">
        <v>1</v>
      </c>
      <c r="G808" t="b">
        <v>0</v>
      </c>
      <c r="H808" t="s">
        <v>107</v>
      </c>
      <c r="I808" t="s">
        <v>113</v>
      </c>
      <c r="J808">
        <v>0.26</v>
      </c>
      <c r="K808">
        <v>0.2273</v>
      </c>
      <c r="L808">
        <v>0.65</v>
      </c>
      <c r="M808">
        <v>0.41789999999999999</v>
      </c>
      <c r="N808">
        <v>4</v>
      </c>
      <c r="O808">
        <v>40</v>
      </c>
      <c r="P808">
        <v>44</v>
      </c>
    </row>
    <row r="809" spans="1:16" x14ac:dyDescent="0.35">
      <c r="A809">
        <v>808</v>
      </c>
      <c r="B809" s="37">
        <v>40580</v>
      </c>
      <c r="C809">
        <v>1</v>
      </c>
      <c r="D809">
        <v>0</v>
      </c>
      <c r="E809" t="s">
        <v>105</v>
      </c>
      <c r="F809">
        <v>2</v>
      </c>
      <c r="G809" t="b">
        <v>0</v>
      </c>
      <c r="H809" t="s">
        <v>107</v>
      </c>
      <c r="I809" t="s">
        <v>113</v>
      </c>
      <c r="J809">
        <v>0.26</v>
      </c>
      <c r="K809">
        <v>0.2273</v>
      </c>
      <c r="L809">
        <v>0.6</v>
      </c>
      <c r="M809">
        <v>0.32840000000000003</v>
      </c>
      <c r="N809">
        <v>0</v>
      </c>
      <c r="O809">
        <v>20</v>
      </c>
      <c r="P809">
        <v>20</v>
      </c>
    </row>
    <row r="810" spans="1:16" x14ac:dyDescent="0.35">
      <c r="A810">
        <v>809</v>
      </c>
      <c r="B810" s="37">
        <v>40580</v>
      </c>
      <c r="C810">
        <v>1</v>
      </c>
      <c r="D810">
        <v>0</v>
      </c>
      <c r="E810" t="s">
        <v>105</v>
      </c>
      <c r="F810">
        <v>3</v>
      </c>
      <c r="G810" t="b">
        <v>0</v>
      </c>
      <c r="H810" t="s">
        <v>107</v>
      </c>
      <c r="I810" t="s">
        <v>113</v>
      </c>
      <c r="J810">
        <v>0.26</v>
      </c>
      <c r="K810">
        <v>0.28789999999999999</v>
      </c>
      <c r="L810">
        <v>0.6</v>
      </c>
      <c r="M810">
        <v>8.9599999999999999E-2</v>
      </c>
      <c r="N810">
        <v>3</v>
      </c>
      <c r="O810">
        <v>10</v>
      </c>
      <c r="P810">
        <v>13</v>
      </c>
    </row>
    <row r="811" spans="1:16" x14ac:dyDescent="0.35">
      <c r="A811">
        <v>810</v>
      </c>
      <c r="B811" s="37">
        <v>40580</v>
      </c>
      <c r="C811">
        <v>1</v>
      </c>
      <c r="D811">
        <v>0</v>
      </c>
      <c r="E811" t="s">
        <v>105</v>
      </c>
      <c r="F811">
        <v>4</v>
      </c>
      <c r="G811" t="b">
        <v>0</v>
      </c>
      <c r="H811" t="s">
        <v>107</v>
      </c>
      <c r="I811" t="s">
        <v>113</v>
      </c>
      <c r="J811">
        <v>0.26</v>
      </c>
      <c r="K811">
        <v>0.2273</v>
      </c>
      <c r="L811">
        <v>0.6</v>
      </c>
      <c r="M811">
        <v>0.35820000000000002</v>
      </c>
      <c r="N811">
        <v>0</v>
      </c>
      <c r="O811">
        <v>2</v>
      </c>
      <c r="P811">
        <v>2</v>
      </c>
    </row>
    <row r="812" spans="1:16" x14ac:dyDescent="0.35">
      <c r="A812">
        <v>811</v>
      </c>
      <c r="B812" s="37">
        <v>40580</v>
      </c>
      <c r="C812">
        <v>1</v>
      </c>
      <c r="D812">
        <v>0</v>
      </c>
      <c r="E812" t="s">
        <v>105</v>
      </c>
      <c r="F812">
        <v>5</v>
      </c>
      <c r="G812" t="b">
        <v>0</v>
      </c>
      <c r="H812" t="s">
        <v>107</v>
      </c>
      <c r="I812" t="s">
        <v>113</v>
      </c>
      <c r="J812">
        <v>0.26</v>
      </c>
      <c r="K812">
        <v>0.2576</v>
      </c>
      <c r="L812">
        <v>0.6</v>
      </c>
      <c r="M812">
        <v>0.22389999999999999</v>
      </c>
      <c r="N812">
        <v>0</v>
      </c>
      <c r="O812">
        <v>1</v>
      </c>
      <c r="P812">
        <v>1</v>
      </c>
    </row>
    <row r="813" spans="1:16" x14ac:dyDescent="0.35">
      <c r="A813">
        <v>812</v>
      </c>
      <c r="B813" s="37">
        <v>40580</v>
      </c>
      <c r="C813">
        <v>1</v>
      </c>
      <c r="D813">
        <v>0</v>
      </c>
      <c r="E813" t="s">
        <v>105</v>
      </c>
      <c r="F813">
        <v>6</v>
      </c>
      <c r="G813" t="b">
        <v>0</v>
      </c>
      <c r="H813" t="s">
        <v>107</v>
      </c>
      <c r="I813" t="s">
        <v>113</v>
      </c>
      <c r="J813">
        <v>0.26</v>
      </c>
      <c r="K813">
        <v>0.2576</v>
      </c>
      <c r="L813">
        <v>0.6</v>
      </c>
      <c r="M813">
        <v>0.22389999999999999</v>
      </c>
      <c r="N813">
        <v>0</v>
      </c>
      <c r="O813">
        <v>1</v>
      </c>
      <c r="P813">
        <v>1</v>
      </c>
    </row>
    <row r="814" spans="1:16" x14ac:dyDescent="0.35">
      <c r="A814">
        <v>813</v>
      </c>
      <c r="B814" s="37">
        <v>40580</v>
      </c>
      <c r="C814">
        <v>1</v>
      </c>
      <c r="D814">
        <v>0</v>
      </c>
      <c r="E814" t="s">
        <v>105</v>
      </c>
      <c r="F814">
        <v>7</v>
      </c>
      <c r="G814" t="b">
        <v>0</v>
      </c>
      <c r="H814" t="s">
        <v>107</v>
      </c>
      <c r="I814" t="s">
        <v>113</v>
      </c>
      <c r="J814">
        <v>0.24</v>
      </c>
      <c r="K814">
        <v>0.2424</v>
      </c>
      <c r="L814">
        <v>0.65</v>
      </c>
      <c r="M814">
        <v>0.16420000000000001</v>
      </c>
      <c r="N814">
        <v>0</v>
      </c>
      <c r="O814">
        <v>8</v>
      </c>
      <c r="P814">
        <v>8</v>
      </c>
    </row>
    <row r="815" spans="1:16" x14ac:dyDescent="0.35">
      <c r="A815">
        <v>814</v>
      </c>
      <c r="B815" s="37">
        <v>40580</v>
      </c>
      <c r="C815">
        <v>1</v>
      </c>
      <c r="D815">
        <v>0</v>
      </c>
      <c r="E815" t="s">
        <v>105</v>
      </c>
      <c r="F815">
        <v>8</v>
      </c>
      <c r="G815" t="b">
        <v>0</v>
      </c>
      <c r="H815" t="s">
        <v>107</v>
      </c>
      <c r="I815" t="s">
        <v>113</v>
      </c>
      <c r="J815">
        <v>0.24</v>
      </c>
      <c r="K815">
        <v>0.2576</v>
      </c>
      <c r="L815">
        <v>0.65</v>
      </c>
      <c r="M815">
        <v>0.1045</v>
      </c>
      <c r="N815">
        <v>2</v>
      </c>
      <c r="O815">
        <v>21</v>
      </c>
      <c r="P815">
        <v>23</v>
      </c>
    </row>
    <row r="816" spans="1:16" x14ac:dyDescent="0.35">
      <c r="A816">
        <v>815</v>
      </c>
      <c r="B816" s="37">
        <v>40580</v>
      </c>
      <c r="C816">
        <v>1</v>
      </c>
      <c r="D816">
        <v>0</v>
      </c>
      <c r="E816" t="s">
        <v>105</v>
      </c>
      <c r="F816">
        <v>9</v>
      </c>
      <c r="G816" t="b">
        <v>0</v>
      </c>
      <c r="H816" t="s">
        <v>107</v>
      </c>
      <c r="I816" t="s">
        <v>113</v>
      </c>
      <c r="J816">
        <v>0.28000000000000003</v>
      </c>
      <c r="K816">
        <v>0.28789999999999999</v>
      </c>
      <c r="L816">
        <v>0.56000000000000005</v>
      </c>
      <c r="M816">
        <v>0.1045</v>
      </c>
      <c r="N816">
        <v>7</v>
      </c>
      <c r="O816">
        <v>38</v>
      </c>
      <c r="P816">
        <v>45</v>
      </c>
    </row>
    <row r="817" spans="1:16" x14ac:dyDescent="0.35">
      <c r="A817">
        <v>816</v>
      </c>
      <c r="B817" s="37">
        <v>40580</v>
      </c>
      <c r="C817">
        <v>1</v>
      </c>
      <c r="D817">
        <v>0</v>
      </c>
      <c r="E817" t="s">
        <v>105</v>
      </c>
      <c r="F817">
        <v>10</v>
      </c>
      <c r="G817" t="b">
        <v>0</v>
      </c>
      <c r="H817" t="s">
        <v>107</v>
      </c>
      <c r="I817" t="s">
        <v>113</v>
      </c>
      <c r="J817">
        <v>0.3</v>
      </c>
      <c r="K817">
        <v>0.28789999999999999</v>
      </c>
      <c r="L817">
        <v>0.52</v>
      </c>
      <c r="M817">
        <v>0.25369999999999998</v>
      </c>
      <c r="N817">
        <v>15</v>
      </c>
      <c r="O817">
        <v>74</v>
      </c>
      <c r="P817">
        <v>89</v>
      </c>
    </row>
    <row r="818" spans="1:16" x14ac:dyDescent="0.35">
      <c r="A818">
        <v>817</v>
      </c>
      <c r="B818" s="37">
        <v>40580</v>
      </c>
      <c r="C818">
        <v>1</v>
      </c>
      <c r="D818">
        <v>0</v>
      </c>
      <c r="E818" t="s">
        <v>105</v>
      </c>
      <c r="F818">
        <v>11</v>
      </c>
      <c r="G818" t="b">
        <v>0</v>
      </c>
      <c r="H818" t="s">
        <v>107</v>
      </c>
      <c r="I818" t="s">
        <v>113</v>
      </c>
      <c r="J818">
        <v>0.32</v>
      </c>
      <c r="K818">
        <v>0.30299999999999999</v>
      </c>
      <c r="L818">
        <v>0.49</v>
      </c>
      <c r="M818">
        <v>0.25369999999999998</v>
      </c>
      <c r="N818">
        <v>28</v>
      </c>
      <c r="O818">
        <v>89</v>
      </c>
      <c r="P818">
        <v>117</v>
      </c>
    </row>
    <row r="819" spans="1:16" x14ac:dyDescent="0.35">
      <c r="A819">
        <v>818</v>
      </c>
      <c r="B819" s="37">
        <v>40580</v>
      </c>
      <c r="C819">
        <v>1</v>
      </c>
      <c r="D819">
        <v>0</v>
      </c>
      <c r="E819" t="s">
        <v>105</v>
      </c>
      <c r="F819">
        <v>12</v>
      </c>
      <c r="G819" t="b">
        <v>0</v>
      </c>
      <c r="H819" t="s">
        <v>107</v>
      </c>
      <c r="I819" t="s">
        <v>113</v>
      </c>
      <c r="J819">
        <v>0.34</v>
      </c>
      <c r="K819">
        <v>0.33329999999999999</v>
      </c>
      <c r="L819">
        <v>0.46</v>
      </c>
      <c r="M819">
        <v>0</v>
      </c>
      <c r="N819">
        <v>48</v>
      </c>
      <c r="O819">
        <v>126</v>
      </c>
      <c r="P819">
        <v>174</v>
      </c>
    </row>
    <row r="820" spans="1:16" x14ac:dyDescent="0.35">
      <c r="A820">
        <v>819</v>
      </c>
      <c r="B820" s="37">
        <v>40580</v>
      </c>
      <c r="C820">
        <v>1</v>
      </c>
      <c r="D820">
        <v>0</v>
      </c>
      <c r="E820" t="s">
        <v>105</v>
      </c>
      <c r="F820">
        <v>13</v>
      </c>
      <c r="G820" t="b">
        <v>0</v>
      </c>
      <c r="H820" t="s">
        <v>107</v>
      </c>
      <c r="I820" t="s">
        <v>113</v>
      </c>
      <c r="J820">
        <v>0.34</v>
      </c>
      <c r="K820">
        <v>0.36359999999999998</v>
      </c>
      <c r="L820">
        <v>0.46</v>
      </c>
      <c r="M820">
        <v>0</v>
      </c>
      <c r="N820">
        <v>47</v>
      </c>
      <c r="O820">
        <v>135</v>
      </c>
      <c r="P820">
        <v>182</v>
      </c>
    </row>
    <row r="821" spans="1:16" x14ac:dyDescent="0.35">
      <c r="A821">
        <v>820</v>
      </c>
      <c r="B821" s="37">
        <v>40580</v>
      </c>
      <c r="C821">
        <v>1</v>
      </c>
      <c r="D821">
        <v>0</v>
      </c>
      <c r="E821" t="s">
        <v>105</v>
      </c>
      <c r="F821">
        <v>14</v>
      </c>
      <c r="G821" t="b">
        <v>0</v>
      </c>
      <c r="H821" t="s">
        <v>107</v>
      </c>
      <c r="I821" t="s">
        <v>113</v>
      </c>
      <c r="J821">
        <v>0.34</v>
      </c>
      <c r="K821">
        <v>0.34849999999999998</v>
      </c>
      <c r="L821">
        <v>0.46</v>
      </c>
      <c r="M821">
        <v>8.9599999999999999E-2</v>
      </c>
      <c r="N821">
        <v>47</v>
      </c>
      <c r="O821">
        <v>114</v>
      </c>
      <c r="P821">
        <v>161</v>
      </c>
    </row>
    <row r="822" spans="1:16" x14ac:dyDescent="0.35">
      <c r="A822">
        <v>821</v>
      </c>
      <c r="B822" s="37">
        <v>40580</v>
      </c>
      <c r="C822">
        <v>1</v>
      </c>
      <c r="D822">
        <v>0</v>
      </c>
      <c r="E822" t="s">
        <v>105</v>
      </c>
      <c r="F822">
        <v>15</v>
      </c>
      <c r="G822" t="b">
        <v>0</v>
      </c>
      <c r="H822" t="s">
        <v>107</v>
      </c>
      <c r="I822" t="s">
        <v>113</v>
      </c>
      <c r="J822">
        <v>0.34</v>
      </c>
      <c r="K822">
        <v>0.34849999999999998</v>
      </c>
      <c r="L822">
        <v>0.46</v>
      </c>
      <c r="M822">
        <v>8.9599999999999999E-2</v>
      </c>
      <c r="N822">
        <v>52</v>
      </c>
      <c r="O822">
        <v>130</v>
      </c>
      <c r="P822">
        <v>182</v>
      </c>
    </row>
    <row r="823" spans="1:16" x14ac:dyDescent="0.35">
      <c r="A823">
        <v>822</v>
      </c>
      <c r="B823" s="37">
        <v>40580</v>
      </c>
      <c r="C823">
        <v>1</v>
      </c>
      <c r="D823">
        <v>0</v>
      </c>
      <c r="E823" t="s">
        <v>105</v>
      </c>
      <c r="F823">
        <v>16</v>
      </c>
      <c r="G823" t="b">
        <v>0</v>
      </c>
      <c r="H823" t="s">
        <v>107</v>
      </c>
      <c r="I823" t="s">
        <v>113</v>
      </c>
      <c r="J823">
        <v>0.34</v>
      </c>
      <c r="K823">
        <v>0.34849999999999998</v>
      </c>
      <c r="L823">
        <v>0.49</v>
      </c>
      <c r="M823">
        <v>0.1045</v>
      </c>
      <c r="N823">
        <v>42</v>
      </c>
      <c r="O823">
        <v>115</v>
      </c>
      <c r="P823">
        <v>157</v>
      </c>
    </row>
    <row r="824" spans="1:16" x14ac:dyDescent="0.35">
      <c r="A824">
        <v>823</v>
      </c>
      <c r="B824" s="37">
        <v>40580</v>
      </c>
      <c r="C824">
        <v>1</v>
      </c>
      <c r="D824">
        <v>0</v>
      </c>
      <c r="E824" t="s">
        <v>105</v>
      </c>
      <c r="F824">
        <v>17</v>
      </c>
      <c r="G824" t="b">
        <v>0</v>
      </c>
      <c r="H824" t="s">
        <v>107</v>
      </c>
      <c r="I824" t="s">
        <v>113</v>
      </c>
      <c r="J824">
        <v>0.34</v>
      </c>
      <c r="K824">
        <v>0.36359999999999998</v>
      </c>
      <c r="L824">
        <v>0.46</v>
      </c>
      <c r="M824">
        <v>0</v>
      </c>
      <c r="N824">
        <v>24</v>
      </c>
      <c r="O824">
        <v>97</v>
      </c>
      <c r="P824">
        <v>121</v>
      </c>
    </row>
    <row r="825" spans="1:16" x14ac:dyDescent="0.35">
      <c r="A825">
        <v>824</v>
      </c>
      <c r="B825" s="37">
        <v>40580</v>
      </c>
      <c r="C825">
        <v>1</v>
      </c>
      <c r="D825">
        <v>0</v>
      </c>
      <c r="E825" t="s">
        <v>105</v>
      </c>
      <c r="F825">
        <v>18</v>
      </c>
      <c r="G825" t="b">
        <v>0</v>
      </c>
      <c r="H825" t="s">
        <v>107</v>
      </c>
      <c r="I825" t="s">
        <v>113</v>
      </c>
      <c r="J825">
        <v>0.3</v>
      </c>
      <c r="K825">
        <v>0.30299999999999999</v>
      </c>
      <c r="L825">
        <v>0.56000000000000005</v>
      </c>
      <c r="M825">
        <v>0.16420000000000001</v>
      </c>
      <c r="N825">
        <v>13</v>
      </c>
      <c r="O825">
        <v>65</v>
      </c>
      <c r="P825">
        <v>78</v>
      </c>
    </row>
    <row r="826" spans="1:16" x14ac:dyDescent="0.35">
      <c r="A826">
        <v>825</v>
      </c>
      <c r="B826" s="37">
        <v>40580</v>
      </c>
      <c r="C826">
        <v>1</v>
      </c>
      <c r="D826">
        <v>0</v>
      </c>
      <c r="E826" t="s">
        <v>105</v>
      </c>
      <c r="F826">
        <v>19</v>
      </c>
      <c r="G826" t="b">
        <v>0</v>
      </c>
      <c r="H826" t="s">
        <v>107</v>
      </c>
      <c r="I826" t="s">
        <v>113</v>
      </c>
      <c r="J826">
        <v>0.28000000000000003</v>
      </c>
      <c r="K826">
        <v>0.28789999999999999</v>
      </c>
      <c r="L826">
        <v>0.61</v>
      </c>
      <c r="M826">
        <v>0.1343</v>
      </c>
      <c r="N826">
        <v>1</v>
      </c>
      <c r="O826">
        <v>20</v>
      </c>
      <c r="P826">
        <v>21</v>
      </c>
    </row>
    <row r="827" spans="1:16" x14ac:dyDescent="0.35">
      <c r="A827">
        <v>826</v>
      </c>
      <c r="B827" s="37">
        <v>40580</v>
      </c>
      <c r="C827">
        <v>1</v>
      </c>
      <c r="D827">
        <v>0</v>
      </c>
      <c r="E827" t="s">
        <v>105</v>
      </c>
      <c r="F827">
        <v>20</v>
      </c>
      <c r="G827" t="b">
        <v>0</v>
      </c>
      <c r="H827" t="s">
        <v>107</v>
      </c>
      <c r="I827" t="s">
        <v>113</v>
      </c>
      <c r="J827">
        <v>0.28000000000000003</v>
      </c>
      <c r="K827">
        <v>0.28789999999999999</v>
      </c>
      <c r="L827">
        <v>0.61</v>
      </c>
      <c r="M827">
        <v>0.1045</v>
      </c>
      <c r="N827">
        <v>5</v>
      </c>
      <c r="O827">
        <v>21</v>
      </c>
      <c r="P827">
        <v>26</v>
      </c>
    </row>
    <row r="828" spans="1:16" x14ac:dyDescent="0.35">
      <c r="A828">
        <v>827</v>
      </c>
      <c r="B828" s="37">
        <v>40580</v>
      </c>
      <c r="C828">
        <v>1</v>
      </c>
      <c r="D828">
        <v>0</v>
      </c>
      <c r="E828" t="s">
        <v>105</v>
      </c>
      <c r="F828">
        <v>21</v>
      </c>
      <c r="G828" t="b">
        <v>0</v>
      </c>
      <c r="H828" t="s">
        <v>107</v>
      </c>
      <c r="I828" t="s">
        <v>113</v>
      </c>
      <c r="J828">
        <v>0.26</v>
      </c>
      <c r="K828">
        <v>0.30299999999999999</v>
      </c>
      <c r="L828">
        <v>0.6</v>
      </c>
      <c r="M828">
        <v>0</v>
      </c>
      <c r="N828">
        <v>5</v>
      </c>
      <c r="O828">
        <v>22</v>
      </c>
      <c r="P828">
        <v>27</v>
      </c>
    </row>
    <row r="829" spans="1:16" x14ac:dyDescent="0.35">
      <c r="A829">
        <v>828</v>
      </c>
      <c r="B829" s="37">
        <v>40580</v>
      </c>
      <c r="C829">
        <v>1</v>
      </c>
      <c r="D829">
        <v>0</v>
      </c>
      <c r="E829" t="s">
        <v>105</v>
      </c>
      <c r="F829">
        <v>22</v>
      </c>
      <c r="G829" t="b">
        <v>0</v>
      </c>
      <c r="H829" t="s">
        <v>107</v>
      </c>
      <c r="I829" t="s">
        <v>113</v>
      </c>
      <c r="J829">
        <v>0.26</v>
      </c>
      <c r="K829">
        <v>0.30299999999999999</v>
      </c>
      <c r="L829">
        <v>0.6</v>
      </c>
      <c r="M829">
        <v>0</v>
      </c>
      <c r="N829">
        <v>5</v>
      </c>
      <c r="O829">
        <v>57</v>
      </c>
      <c r="P829">
        <v>62</v>
      </c>
    </row>
    <row r="830" spans="1:16" x14ac:dyDescent="0.35">
      <c r="A830">
        <v>829</v>
      </c>
      <c r="B830" s="37">
        <v>40580</v>
      </c>
      <c r="C830">
        <v>1</v>
      </c>
      <c r="D830">
        <v>0</v>
      </c>
      <c r="E830" t="s">
        <v>105</v>
      </c>
      <c r="F830">
        <v>23</v>
      </c>
      <c r="G830" t="b">
        <v>0</v>
      </c>
      <c r="H830" t="s">
        <v>107</v>
      </c>
      <c r="I830" t="s">
        <v>113</v>
      </c>
      <c r="J830">
        <v>0.24</v>
      </c>
      <c r="K830">
        <v>0.28789999999999999</v>
      </c>
      <c r="L830">
        <v>0.65</v>
      </c>
      <c r="M830">
        <v>0</v>
      </c>
      <c r="N830">
        <v>4</v>
      </c>
      <c r="O830">
        <v>26</v>
      </c>
      <c r="P830">
        <v>30</v>
      </c>
    </row>
    <row r="831" spans="1:16" x14ac:dyDescent="0.35">
      <c r="A831">
        <v>830</v>
      </c>
      <c r="B831" s="37">
        <v>40581</v>
      </c>
      <c r="C831">
        <v>1</v>
      </c>
      <c r="D831">
        <v>0</v>
      </c>
      <c r="E831" t="s">
        <v>105</v>
      </c>
      <c r="F831">
        <v>0</v>
      </c>
      <c r="G831" t="b">
        <v>0</v>
      </c>
      <c r="H831" t="s">
        <v>108</v>
      </c>
      <c r="I831" t="s">
        <v>113</v>
      </c>
      <c r="J831">
        <v>0.24</v>
      </c>
      <c r="K831">
        <v>0.28789999999999999</v>
      </c>
      <c r="L831">
        <v>0.65</v>
      </c>
      <c r="M831">
        <v>0</v>
      </c>
      <c r="N831">
        <v>1</v>
      </c>
      <c r="O831">
        <v>14</v>
      </c>
      <c r="P831">
        <v>15</v>
      </c>
    </row>
    <row r="832" spans="1:16" x14ac:dyDescent="0.35">
      <c r="A832">
        <v>831</v>
      </c>
      <c r="B832" s="37">
        <v>40581</v>
      </c>
      <c r="C832">
        <v>1</v>
      </c>
      <c r="D832">
        <v>0</v>
      </c>
      <c r="E832" t="s">
        <v>105</v>
      </c>
      <c r="F832">
        <v>1</v>
      </c>
      <c r="G832" t="b">
        <v>0</v>
      </c>
      <c r="H832" t="s">
        <v>108</v>
      </c>
      <c r="I832" t="s">
        <v>113</v>
      </c>
      <c r="J832">
        <v>0.22</v>
      </c>
      <c r="K832">
        <v>0.2727</v>
      </c>
      <c r="L832">
        <v>0.75</v>
      </c>
      <c r="M832">
        <v>0</v>
      </c>
      <c r="N832">
        <v>1</v>
      </c>
      <c r="O832">
        <v>4</v>
      </c>
      <c r="P832">
        <v>5</v>
      </c>
    </row>
    <row r="833" spans="1:16" x14ac:dyDescent="0.35">
      <c r="A833">
        <v>832</v>
      </c>
      <c r="B833" s="37">
        <v>40581</v>
      </c>
      <c r="C833">
        <v>1</v>
      </c>
      <c r="D833">
        <v>0</v>
      </c>
      <c r="E833" t="s">
        <v>105</v>
      </c>
      <c r="F833">
        <v>2</v>
      </c>
      <c r="G833" t="b">
        <v>0</v>
      </c>
      <c r="H833" t="s">
        <v>108</v>
      </c>
      <c r="I833" t="s">
        <v>113</v>
      </c>
      <c r="J833">
        <v>0.2</v>
      </c>
      <c r="K833">
        <v>0.2576</v>
      </c>
      <c r="L833">
        <v>0.8</v>
      </c>
      <c r="M833">
        <v>0</v>
      </c>
      <c r="N833">
        <v>0</v>
      </c>
      <c r="O833">
        <v>3</v>
      </c>
      <c r="P833">
        <v>3</v>
      </c>
    </row>
    <row r="834" spans="1:16" x14ac:dyDescent="0.35">
      <c r="A834">
        <v>833</v>
      </c>
      <c r="B834" s="37">
        <v>40581</v>
      </c>
      <c r="C834">
        <v>1</v>
      </c>
      <c r="D834">
        <v>0</v>
      </c>
      <c r="E834" t="s">
        <v>105</v>
      </c>
      <c r="F834">
        <v>3</v>
      </c>
      <c r="G834" t="b">
        <v>0</v>
      </c>
      <c r="H834" t="s">
        <v>108</v>
      </c>
      <c r="I834" t="s">
        <v>113</v>
      </c>
      <c r="J834">
        <v>0.2</v>
      </c>
      <c r="K834">
        <v>0.2576</v>
      </c>
      <c r="L834">
        <v>0.86</v>
      </c>
      <c r="M834">
        <v>0</v>
      </c>
      <c r="N834">
        <v>0</v>
      </c>
      <c r="O834">
        <v>1</v>
      </c>
      <c r="P834">
        <v>1</v>
      </c>
    </row>
    <row r="835" spans="1:16" x14ac:dyDescent="0.35">
      <c r="A835">
        <v>834</v>
      </c>
      <c r="B835" s="37">
        <v>40581</v>
      </c>
      <c r="C835">
        <v>1</v>
      </c>
      <c r="D835">
        <v>0</v>
      </c>
      <c r="E835" t="s">
        <v>105</v>
      </c>
      <c r="F835">
        <v>4</v>
      </c>
      <c r="G835" t="b">
        <v>0</v>
      </c>
      <c r="H835" t="s">
        <v>108</v>
      </c>
      <c r="I835" t="s">
        <v>113</v>
      </c>
      <c r="J835">
        <v>0.2</v>
      </c>
      <c r="K835">
        <v>0.2576</v>
      </c>
      <c r="L835">
        <v>0.86</v>
      </c>
      <c r="M835">
        <v>0</v>
      </c>
      <c r="N835">
        <v>1</v>
      </c>
      <c r="O835">
        <v>1</v>
      </c>
      <c r="P835">
        <v>2</v>
      </c>
    </row>
    <row r="836" spans="1:16" x14ac:dyDescent="0.35">
      <c r="A836">
        <v>835</v>
      </c>
      <c r="B836" s="37">
        <v>40581</v>
      </c>
      <c r="C836">
        <v>1</v>
      </c>
      <c r="D836">
        <v>0</v>
      </c>
      <c r="E836" t="s">
        <v>105</v>
      </c>
      <c r="F836">
        <v>5</v>
      </c>
      <c r="G836" t="b">
        <v>0</v>
      </c>
      <c r="H836" t="s">
        <v>108</v>
      </c>
      <c r="I836" t="s">
        <v>113</v>
      </c>
      <c r="J836">
        <v>0.2</v>
      </c>
      <c r="K836">
        <v>0.2576</v>
      </c>
      <c r="L836">
        <v>0.86</v>
      </c>
      <c r="M836">
        <v>0</v>
      </c>
      <c r="N836">
        <v>1</v>
      </c>
      <c r="O836">
        <v>9</v>
      </c>
      <c r="P836">
        <v>10</v>
      </c>
    </row>
    <row r="837" spans="1:16" x14ac:dyDescent="0.35">
      <c r="A837">
        <v>836</v>
      </c>
      <c r="B837" s="37">
        <v>40581</v>
      </c>
      <c r="C837">
        <v>1</v>
      </c>
      <c r="D837">
        <v>0</v>
      </c>
      <c r="E837" t="s">
        <v>105</v>
      </c>
      <c r="F837">
        <v>6</v>
      </c>
      <c r="G837" t="b">
        <v>0</v>
      </c>
      <c r="H837" t="s">
        <v>108</v>
      </c>
      <c r="I837" t="s">
        <v>113</v>
      </c>
      <c r="J837">
        <v>0.18</v>
      </c>
      <c r="K837">
        <v>0.2424</v>
      </c>
      <c r="L837">
        <v>0.93</v>
      </c>
      <c r="M837">
        <v>0</v>
      </c>
      <c r="N837">
        <v>1</v>
      </c>
      <c r="O837">
        <v>29</v>
      </c>
      <c r="P837">
        <v>30</v>
      </c>
    </row>
    <row r="838" spans="1:16" x14ac:dyDescent="0.35">
      <c r="A838">
        <v>837</v>
      </c>
      <c r="B838" s="37">
        <v>40581</v>
      </c>
      <c r="C838">
        <v>1</v>
      </c>
      <c r="D838">
        <v>0</v>
      </c>
      <c r="E838" t="s">
        <v>105</v>
      </c>
      <c r="F838">
        <v>7</v>
      </c>
      <c r="G838" t="b">
        <v>0</v>
      </c>
      <c r="H838" t="s">
        <v>108</v>
      </c>
      <c r="I838" t="s">
        <v>113</v>
      </c>
      <c r="J838">
        <v>0.18</v>
      </c>
      <c r="K838">
        <v>0.2424</v>
      </c>
      <c r="L838">
        <v>0.86</v>
      </c>
      <c r="M838">
        <v>0</v>
      </c>
      <c r="N838">
        <v>6</v>
      </c>
      <c r="O838">
        <v>89</v>
      </c>
      <c r="P838">
        <v>95</v>
      </c>
    </row>
    <row r="839" spans="1:16" x14ac:dyDescent="0.35">
      <c r="A839">
        <v>838</v>
      </c>
      <c r="B839" s="37">
        <v>40581</v>
      </c>
      <c r="C839">
        <v>1</v>
      </c>
      <c r="D839">
        <v>0</v>
      </c>
      <c r="E839" t="s">
        <v>105</v>
      </c>
      <c r="F839">
        <v>8</v>
      </c>
      <c r="G839" t="b">
        <v>0</v>
      </c>
      <c r="H839" t="s">
        <v>108</v>
      </c>
      <c r="I839" t="s">
        <v>114</v>
      </c>
      <c r="J839">
        <v>0.16</v>
      </c>
      <c r="K839">
        <v>0.2273</v>
      </c>
      <c r="L839">
        <v>1</v>
      </c>
      <c r="M839">
        <v>0</v>
      </c>
      <c r="N839">
        <v>7</v>
      </c>
      <c r="O839">
        <v>223</v>
      </c>
      <c r="P839">
        <v>230</v>
      </c>
    </row>
    <row r="840" spans="1:16" x14ac:dyDescent="0.35">
      <c r="A840">
        <v>839</v>
      </c>
      <c r="B840" s="37">
        <v>40581</v>
      </c>
      <c r="C840">
        <v>1</v>
      </c>
      <c r="D840">
        <v>0</v>
      </c>
      <c r="E840" t="s">
        <v>105</v>
      </c>
      <c r="F840">
        <v>9</v>
      </c>
      <c r="G840" t="b">
        <v>0</v>
      </c>
      <c r="H840" t="s">
        <v>108</v>
      </c>
      <c r="I840" t="s">
        <v>113</v>
      </c>
      <c r="J840">
        <v>0.22</v>
      </c>
      <c r="K840">
        <v>0.2727</v>
      </c>
      <c r="L840">
        <v>0.8</v>
      </c>
      <c r="M840">
        <v>0</v>
      </c>
      <c r="N840">
        <v>3</v>
      </c>
      <c r="O840">
        <v>115</v>
      </c>
      <c r="P840">
        <v>118</v>
      </c>
    </row>
    <row r="841" spans="1:16" x14ac:dyDescent="0.35">
      <c r="A841">
        <v>840</v>
      </c>
      <c r="B841" s="37">
        <v>40581</v>
      </c>
      <c r="C841">
        <v>1</v>
      </c>
      <c r="D841">
        <v>0</v>
      </c>
      <c r="E841" t="s">
        <v>105</v>
      </c>
      <c r="F841">
        <v>10</v>
      </c>
      <c r="G841" t="b">
        <v>0</v>
      </c>
      <c r="H841" t="s">
        <v>108</v>
      </c>
      <c r="I841" t="s">
        <v>113</v>
      </c>
      <c r="J841">
        <v>0.24</v>
      </c>
      <c r="K841">
        <v>0.2576</v>
      </c>
      <c r="L841">
        <v>0.75</v>
      </c>
      <c r="M841">
        <v>0.1045</v>
      </c>
      <c r="N841">
        <v>6</v>
      </c>
      <c r="O841">
        <v>49</v>
      </c>
      <c r="P841">
        <v>55</v>
      </c>
    </row>
    <row r="842" spans="1:16" x14ac:dyDescent="0.35">
      <c r="A842">
        <v>841</v>
      </c>
      <c r="B842" s="37">
        <v>40581</v>
      </c>
      <c r="C842">
        <v>1</v>
      </c>
      <c r="D842">
        <v>0</v>
      </c>
      <c r="E842" t="s">
        <v>105</v>
      </c>
      <c r="F842">
        <v>11</v>
      </c>
      <c r="G842" t="b">
        <v>0</v>
      </c>
      <c r="H842" t="s">
        <v>108</v>
      </c>
      <c r="I842" t="s">
        <v>113</v>
      </c>
      <c r="J842">
        <v>0.3</v>
      </c>
      <c r="K842">
        <v>0.31819999999999998</v>
      </c>
      <c r="L842">
        <v>0.65</v>
      </c>
      <c r="M842">
        <v>8.9599999999999999E-2</v>
      </c>
      <c r="N842">
        <v>11</v>
      </c>
      <c r="O842">
        <v>36</v>
      </c>
      <c r="P842">
        <v>47</v>
      </c>
    </row>
    <row r="843" spans="1:16" x14ac:dyDescent="0.35">
      <c r="A843">
        <v>842</v>
      </c>
      <c r="B843" s="37">
        <v>40581</v>
      </c>
      <c r="C843">
        <v>1</v>
      </c>
      <c r="D843">
        <v>0</v>
      </c>
      <c r="E843" t="s">
        <v>105</v>
      </c>
      <c r="F843">
        <v>12</v>
      </c>
      <c r="G843" t="b">
        <v>0</v>
      </c>
      <c r="H843" t="s">
        <v>108</v>
      </c>
      <c r="I843" t="s">
        <v>114</v>
      </c>
      <c r="J843">
        <v>0.32</v>
      </c>
      <c r="K843">
        <v>0.34849999999999998</v>
      </c>
      <c r="L843">
        <v>0.62</v>
      </c>
      <c r="M843">
        <v>0</v>
      </c>
      <c r="N843">
        <v>7</v>
      </c>
      <c r="O843">
        <v>59</v>
      </c>
      <c r="P843">
        <v>66</v>
      </c>
    </row>
    <row r="844" spans="1:16" x14ac:dyDescent="0.35">
      <c r="A844">
        <v>843</v>
      </c>
      <c r="B844" s="37">
        <v>40581</v>
      </c>
      <c r="C844">
        <v>1</v>
      </c>
      <c r="D844">
        <v>0</v>
      </c>
      <c r="E844" t="s">
        <v>105</v>
      </c>
      <c r="F844">
        <v>13</v>
      </c>
      <c r="G844" t="b">
        <v>0</v>
      </c>
      <c r="H844" t="s">
        <v>108</v>
      </c>
      <c r="I844" t="s">
        <v>114</v>
      </c>
      <c r="J844">
        <v>0.36</v>
      </c>
      <c r="K844">
        <v>0.36359999999999998</v>
      </c>
      <c r="L844">
        <v>0.56999999999999995</v>
      </c>
      <c r="M844">
        <v>8.9599999999999999E-2</v>
      </c>
      <c r="N844">
        <v>10</v>
      </c>
      <c r="O844">
        <v>54</v>
      </c>
      <c r="P844">
        <v>64</v>
      </c>
    </row>
    <row r="845" spans="1:16" x14ac:dyDescent="0.35">
      <c r="A845">
        <v>844</v>
      </c>
      <c r="B845" s="37">
        <v>40581</v>
      </c>
      <c r="C845">
        <v>1</v>
      </c>
      <c r="D845">
        <v>0</v>
      </c>
      <c r="E845" t="s">
        <v>105</v>
      </c>
      <c r="F845">
        <v>14</v>
      </c>
      <c r="G845" t="b">
        <v>0</v>
      </c>
      <c r="H845" t="s">
        <v>108</v>
      </c>
      <c r="I845" t="s">
        <v>114</v>
      </c>
      <c r="J845">
        <v>0.36</v>
      </c>
      <c r="K845">
        <v>0.36359999999999998</v>
      </c>
      <c r="L845">
        <v>0.56999999999999995</v>
      </c>
      <c r="M845">
        <v>8.9599999999999999E-2</v>
      </c>
      <c r="N845">
        <v>8</v>
      </c>
      <c r="O845">
        <v>52</v>
      </c>
      <c r="P845">
        <v>60</v>
      </c>
    </row>
    <row r="846" spans="1:16" x14ac:dyDescent="0.35">
      <c r="A846">
        <v>845</v>
      </c>
      <c r="B846" s="37">
        <v>40581</v>
      </c>
      <c r="C846">
        <v>1</v>
      </c>
      <c r="D846">
        <v>0</v>
      </c>
      <c r="E846" t="s">
        <v>105</v>
      </c>
      <c r="F846">
        <v>15</v>
      </c>
      <c r="G846" t="b">
        <v>0</v>
      </c>
      <c r="H846" t="s">
        <v>108</v>
      </c>
      <c r="I846" t="s">
        <v>114</v>
      </c>
      <c r="J846">
        <v>0.38</v>
      </c>
      <c r="K846">
        <v>0.39389999999999997</v>
      </c>
      <c r="L846">
        <v>0.54</v>
      </c>
      <c r="M846">
        <v>8.9599999999999999E-2</v>
      </c>
      <c r="N846">
        <v>4</v>
      </c>
      <c r="O846">
        <v>46</v>
      </c>
      <c r="P846">
        <v>50</v>
      </c>
    </row>
    <row r="847" spans="1:16" x14ac:dyDescent="0.35">
      <c r="A847">
        <v>846</v>
      </c>
      <c r="B847" s="37">
        <v>40581</v>
      </c>
      <c r="C847">
        <v>1</v>
      </c>
      <c r="D847">
        <v>0</v>
      </c>
      <c r="E847" t="s">
        <v>105</v>
      </c>
      <c r="F847">
        <v>16</v>
      </c>
      <c r="G847" t="b">
        <v>0</v>
      </c>
      <c r="H847" t="s">
        <v>108</v>
      </c>
      <c r="I847" t="s">
        <v>114</v>
      </c>
      <c r="J847">
        <v>0.36</v>
      </c>
      <c r="K847">
        <v>0.34849999999999998</v>
      </c>
      <c r="L847">
        <v>0.56999999999999995</v>
      </c>
      <c r="M847">
        <v>0.1343</v>
      </c>
      <c r="N847">
        <v>16</v>
      </c>
      <c r="O847">
        <v>98</v>
      </c>
      <c r="P847">
        <v>114</v>
      </c>
    </row>
    <row r="848" spans="1:16" x14ac:dyDescent="0.35">
      <c r="A848">
        <v>847</v>
      </c>
      <c r="B848" s="37">
        <v>40581</v>
      </c>
      <c r="C848">
        <v>1</v>
      </c>
      <c r="D848">
        <v>0</v>
      </c>
      <c r="E848" t="s">
        <v>105</v>
      </c>
      <c r="F848">
        <v>17</v>
      </c>
      <c r="G848" t="b">
        <v>0</v>
      </c>
      <c r="H848" t="s">
        <v>108</v>
      </c>
      <c r="I848" t="s">
        <v>114</v>
      </c>
      <c r="J848">
        <v>0.32</v>
      </c>
      <c r="K848">
        <v>0.31819999999999998</v>
      </c>
      <c r="L848">
        <v>0.7</v>
      </c>
      <c r="M848">
        <v>0.16420000000000001</v>
      </c>
      <c r="N848">
        <v>9</v>
      </c>
      <c r="O848">
        <v>207</v>
      </c>
      <c r="P848">
        <v>216</v>
      </c>
    </row>
    <row r="849" spans="1:16" x14ac:dyDescent="0.35">
      <c r="A849">
        <v>848</v>
      </c>
      <c r="B849" s="37">
        <v>40581</v>
      </c>
      <c r="C849">
        <v>1</v>
      </c>
      <c r="D849">
        <v>0</v>
      </c>
      <c r="E849" t="s">
        <v>105</v>
      </c>
      <c r="F849">
        <v>18</v>
      </c>
      <c r="G849" t="b">
        <v>0</v>
      </c>
      <c r="H849" t="s">
        <v>108</v>
      </c>
      <c r="I849" t="s">
        <v>114</v>
      </c>
      <c r="J849">
        <v>0.34</v>
      </c>
      <c r="K849">
        <v>0.33329999999999999</v>
      </c>
      <c r="L849">
        <v>0.66</v>
      </c>
      <c r="M849">
        <v>0.1343</v>
      </c>
      <c r="N849">
        <v>5</v>
      </c>
      <c r="O849">
        <v>170</v>
      </c>
      <c r="P849">
        <v>175</v>
      </c>
    </row>
    <row r="850" spans="1:16" x14ac:dyDescent="0.35">
      <c r="A850">
        <v>849</v>
      </c>
      <c r="B850" s="37">
        <v>40581</v>
      </c>
      <c r="C850">
        <v>1</v>
      </c>
      <c r="D850">
        <v>0</v>
      </c>
      <c r="E850" t="s">
        <v>105</v>
      </c>
      <c r="F850">
        <v>19</v>
      </c>
      <c r="G850" t="b">
        <v>0</v>
      </c>
      <c r="H850" t="s">
        <v>108</v>
      </c>
      <c r="I850" t="s">
        <v>114</v>
      </c>
      <c r="J850">
        <v>0.32</v>
      </c>
      <c r="K850">
        <v>0.34849999999999998</v>
      </c>
      <c r="L850">
        <v>0.7</v>
      </c>
      <c r="M850">
        <v>0</v>
      </c>
      <c r="N850">
        <v>5</v>
      </c>
      <c r="O850">
        <v>123</v>
      </c>
      <c r="P850">
        <v>128</v>
      </c>
    </row>
    <row r="851" spans="1:16" x14ac:dyDescent="0.35">
      <c r="A851">
        <v>850</v>
      </c>
      <c r="B851" s="37">
        <v>40581</v>
      </c>
      <c r="C851">
        <v>1</v>
      </c>
      <c r="D851">
        <v>0</v>
      </c>
      <c r="E851" t="s">
        <v>105</v>
      </c>
      <c r="F851">
        <v>20</v>
      </c>
      <c r="G851" t="b">
        <v>0</v>
      </c>
      <c r="H851" t="s">
        <v>108</v>
      </c>
      <c r="I851" t="s">
        <v>114</v>
      </c>
      <c r="J851">
        <v>0.32</v>
      </c>
      <c r="K851">
        <v>0.33329999999999999</v>
      </c>
      <c r="L851">
        <v>0.7</v>
      </c>
      <c r="M851">
        <v>0.1045</v>
      </c>
      <c r="N851">
        <v>6</v>
      </c>
      <c r="O851">
        <v>82</v>
      </c>
      <c r="P851">
        <v>88</v>
      </c>
    </row>
    <row r="852" spans="1:16" x14ac:dyDescent="0.35">
      <c r="A852">
        <v>851</v>
      </c>
      <c r="B852" s="37">
        <v>40581</v>
      </c>
      <c r="C852">
        <v>1</v>
      </c>
      <c r="D852">
        <v>0</v>
      </c>
      <c r="E852" t="s">
        <v>105</v>
      </c>
      <c r="F852">
        <v>21</v>
      </c>
      <c r="G852" t="b">
        <v>0</v>
      </c>
      <c r="H852" t="s">
        <v>108</v>
      </c>
      <c r="I852" t="s">
        <v>113</v>
      </c>
      <c r="J852">
        <v>0.32</v>
      </c>
      <c r="K852">
        <v>0.34849999999999998</v>
      </c>
      <c r="L852">
        <v>0.7</v>
      </c>
      <c r="M852">
        <v>0</v>
      </c>
      <c r="N852">
        <v>3</v>
      </c>
      <c r="O852">
        <v>75</v>
      </c>
      <c r="P852">
        <v>78</v>
      </c>
    </row>
    <row r="853" spans="1:16" x14ac:dyDescent="0.35">
      <c r="A853">
        <v>852</v>
      </c>
      <c r="B853" s="37">
        <v>40581</v>
      </c>
      <c r="C853">
        <v>1</v>
      </c>
      <c r="D853">
        <v>0</v>
      </c>
      <c r="E853" t="s">
        <v>105</v>
      </c>
      <c r="F853">
        <v>22</v>
      </c>
      <c r="G853" t="b">
        <v>0</v>
      </c>
      <c r="H853" t="s">
        <v>108</v>
      </c>
      <c r="I853" t="s">
        <v>113</v>
      </c>
      <c r="J853">
        <v>0.28000000000000003</v>
      </c>
      <c r="K853">
        <v>0.30299999999999999</v>
      </c>
      <c r="L853">
        <v>0.81</v>
      </c>
      <c r="M853">
        <v>8.9599999999999999E-2</v>
      </c>
      <c r="N853">
        <v>3</v>
      </c>
      <c r="O853">
        <v>34</v>
      </c>
      <c r="P853">
        <v>37</v>
      </c>
    </row>
    <row r="854" spans="1:16" x14ac:dyDescent="0.35">
      <c r="A854">
        <v>853</v>
      </c>
      <c r="B854" s="37">
        <v>40581</v>
      </c>
      <c r="C854">
        <v>1</v>
      </c>
      <c r="D854">
        <v>0</v>
      </c>
      <c r="E854" t="s">
        <v>105</v>
      </c>
      <c r="F854">
        <v>23</v>
      </c>
      <c r="G854" t="b">
        <v>0</v>
      </c>
      <c r="H854" t="s">
        <v>108</v>
      </c>
      <c r="I854" t="s">
        <v>114</v>
      </c>
      <c r="J854">
        <v>0.3</v>
      </c>
      <c r="K854">
        <v>0.33329999999999999</v>
      </c>
      <c r="L854">
        <v>0.81</v>
      </c>
      <c r="M854">
        <v>0</v>
      </c>
      <c r="N854">
        <v>6</v>
      </c>
      <c r="O854">
        <v>19</v>
      </c>
      <c r="P854">
        <v>25</v>
      </c>
    </row>
    <row r="855" spans="1:16" x14ac:dyDescent="0.35">
      <c r="A855">
        <v>854</v>
      </c>
      <c r="B855" s="37">
        <v>40582</v>
      </c>
      <c r="C855">
        <v>1</v>
      </c>
      <c r="D855">
        <v>0</v>
      </c>
      <c r="E855" t="s">
        <v>105</v>
      </c>
      <c r="F855">
        <v>0</v>
      </c>
      <c r="G855" t="b">
        <v>0</v>
      </c>
      <c r="H855" t="s">
        <v>109</v>
      </c>
      <c r="I855" t="s">
        <v>114</v>
      </c>
      <c r="J855">
        <v>0.28000000000000003</v>
      </c>
      <c r="K855">
        <v>0.31819999999999998</v>
      </c>
      <c r="L855">
        <v>0.87</v>
      </c>
      <c r="M855">
        <v>0</v>
      </c>
      <c r="N855">
        <v>4</v>
      </c>
      <c r="O855">
        <v>6</v>
      </c>
      <c r="P855">
        <v>10</v>
      </c>
    </row>
    <row r="856" spans="1:16" x14ac:dyDescent="0.35">
      <c r="A856">
        <v>855</v>
      </c>
      <c r="B856" s="37">
        <v>40582</v>
      </c>
      <c r="C856">
        <v>1</v>
      </c>
      <c r="D856">
        <v>0</v>
      </c>
      <c r="E856" t="s">
        <v>105</v>
      </c>
      <c r="F856">
        <v>1</v>
      </c>
      <c r="G856" t="b">
        <v>0</v>
      </c>
      <c r="H856" t="s">
        <v>109</v>
      </c>
      <c r="I856" t="s">
        <v>114</v>
      </c>
      <c r="J856">
        <v>0.28000000000000003</v>
      </c>
      <c r="K856">
        <v>0.31819999999999998</v>
      </c>
      <c r="L856">
        <v>0.87</v>
      </c>
      <c r="M856">
        <v>0</v>
      </c>
      <c r="N856">
        <v>0</v>
      </c>
      <c r="O856">
        <v>4</v>
      </c>
      <c r="P856">
        <v>4</v>
      </c>
    </row>
    <row r="857" spans="1:16" x14ac:dyDescent="0.35">
      <c r="A857">
        <v>856</v>
      </c>
      <c r="B857" s="37">
        <v>40582</v>
      </c>
      <c r="C857">
        <v>1</v>
      </c>
      <c r="D857">
        <v>0</v>
      </c>
      <c r="E857" t="s">
        <v>105</v>
      </c>
      <c r="F857">
        <v>2</v>
      </c>
      <c r="G857" t="b">
        <v>0</v>
      </c>
      <c r="H857" t="s">
        <v>109</v>
      </c>
      <c r="I857" t="s">
        <v>114</v>
      </c>
      <c r="J857">
        <v>0.26</v>
      </c>
      <c r="K857">
        <v>0.2727</v>
      </c>
      <c r="L857">
        <v>0.93</v>
      </c>
      <c r="M857">
        <v>0.1045</v>
      </c>
      <c r="N857">
        <v>1</v>
      </c>
      <c r="O857">
        <v>1</v>
      </c>
      <c r="P857">
        <v>2</v>
      </c>
    </row>
    <row r="858" spans="1:16" x14ac:dyDescent="0.35">
      <c r="A858">
        <v>857</v>
      </c>
      <c r="B858" s="37">
        <v>40582</v>
      </c>
      <c r="C858">
        <v>1</v>
      </c>
      <c r="D858">
        <v>0</v>
      </c>
      <c r="E858" t="s">
        <v>105</v>
      </c>
      <c r="F858">
        <v>3</v>
      </c>
      <c r="G858" t="b">
        <v>0</v>
      </c>
      <c r="H858" t="s">
        <v>109</v>
      </c>
      <c r="I858" t="s">
        <v>115</v>
      </c>
      <c r="J858">
        <v>0.28000000000000003</v>
      </c>
      <c r="K858">
        <v>0.2727</v>
      </c>
      <c r="L858">
        <v>0.93</v>
      </c>
      <c r="M858">
        <v>0.16420000000000001</v>
      </c>
      <c r="N858">
        <v>0</v>
      </c>
      <c r="O858">
        <v>1</v>
      </c>
      <c r="P858">
        <v>1</v>
      </c>
    </row>
    <row r="859" spans="1:16" x14ac:dyDescent="0.35">
      <c r="A859">
        <v>858</v>
      </c>
      <c r="B859" s="37">
        <v>40582</v>
      </c>
      <c r="C859">
        <v>1</v>
      </c>
      <c r="D859">
        <v>0</v>
      </c>
      <c r="E859" t="s">
        <v>105</v>
      </c>
      <c r="F859">
        <v>4</v>
      </c>
      <c r="G859" t="b">
        <v>0</v>
      </c>
      <c r="H859" t="s">
        <v>109</v>
      </c>
      <c r="I859" t="s">
        <v>113</v>
      </c>
      <c r="J859">
        <v>0.26</v>
      </c>
      <c r="K859">
        <v>0.2576</v>
      </c>
      <c r="L859">
        <v>0.93</v>
      </c>
      <c r="M859">
        <v>0.16420000000000001</v>
      </c>
      <c r="N859">
        <v>0</v>
      </c>
      <c r="O859">
        <v>3</v>
      </c>
      <c r="P859">
        <v>3</v>
      </c>
    </row>
    <row r="860" spans="1:16" x14ac:dyDescent="0.35">
      <c r="A860">
        <v>859</v>
      </c>
      <c r="B860" s="37">
        <v>40582</v>
      </c>
      <c r="C860">
        <v>1</v>
      </c>
      <c r="D860">
        <v>0</v>
      </c>
      <c r="E860" t="s">
        <v>105</v>
      </c>
      <c r="F860">
        <v>5</v>
      </c>
      <c r="G860" t="b">
        <v>0</v>
      </c>
      <c r="H860" t="s">
        <v>109</v>
      </c>
      <c r="I860" t="s">
        <v>113</v>
      </c>
      <c r="J860">
        <v>0.26</v>
      </c>
      <c r="K860">
        <v>0.2273</v>
      </c>
      <c r="L860">
        <v>0.81</v>
      </c>
      <c r="M860">
        <v>0.32840000000000003</v>
      </c>
      <c r="N860">
        <v>0</v>
      </c>
      <c r="O860">
        <v>2</v>
      </c>
      <c r="P860">
        <v>2</v>
      </c>
    </row>
    <row r="861" spans="1:16" x14ac:dyDescent="0.35">
      <c r="A861">
        <v>860</v>
      </c>
      <c r="B861" s="37">
        <v>40582</v>
      </c>
      <c r="C861">
        <v>1</v>
      </c>
      <c r="D861">
        <v>0</v>
      </c>
      <c r="E861" t="s">
        <v>105</v>
      </c>
      <c r="F861">
        <v>6</v>
      </c>
      <c r="G861" t="b">
        <v>0</v>
      </c>
      <c r="H861" t="s">
        <v>109</v>
      </c>
      <c r="I861" t="s">
        <v>113</v>
      </c>
      <c r="J861">
        <v>0.26</v>
      </c>
      <c r="K861">
        <v>0.2273</v>
      </c>
      <c r="L861">
        <v>0.7</v>
      </c>
      <c r="M861">
        <v>0.32840000000000003</v>
      </c>
      <c r="N861">
        <v>0</v>
      </c>
      <c r="O861">
        <v>39</v>
      </c>
      <c r="P861">
        <v>39</v>
      </c>
    </row>
    <row r="862" spans="1:16" x14ac:dyDescent="0.35">
      <c r="A862">
        <v>861</v>
      </c>
      <c r="B862" s="37">
        <v>40582</v>
      </c>
      <c r="C862">
        <v>1</v>
      </c>
      <c r="D862">
        <v>0</v>
      </c>
      <c r="E862" t="s">
        <v>105</v>
      </c>
      <c r="F862">
        <v>7</v>
      </c>
      <c r="G862" t="b">
        <v>0</v>
      </c>
      <c r="H862" t="s">
        <v>109</v>
      </c>
      <c r="I862" t="s">
        <v>113</v>
      </c>
      <c r="J862">
        <v>0.24</v>
      </c>
      <c r="K862">
        <v>0.19700000000000001</v>
      </c>
      <c r="L862">
        <v>0.65</v>
      </c>
      <c r="M862">
        <v>0.41789999999999999</v>
      </c>
      <c r="N862">
        <v>3</v>
      </c>
      <c r="O862">
        <v>97</v>
      </c>
      <c r="P862">
        <v>100</v>
      </c>
    </row>
    <row r="863" spans="1:16" x14ac:dyDescent="0.35">
      <c r="A863">
        <v>862</v>
      </c>
      <c r="B863" s="37">
        <v>40582</v>
      </c>
      <c r="C863">
        <v>1</v>
      </c>
      <c r="D863">
        <v>0</v>
      </c>
      <c r="E863" t="s">
        <v>105</v>
      </c>
      <c r="F863">
        <v>8</v>
      </c>
      <c r="G863" t="b">
        <v>0</v>
      </c>
      <c r="H863" t="s">
        <v>109</v>
      </c>
      <c r="I863" t="s">
        <v>113</v>
      </c>
      <c r="J863">
        <v>0.24</v>
      </c>
      <c r="K863">
        <v>0.19700000000000001</v>
      </c>
      <c r="L863">
        <v>0.56000000000000005</v>
      </c>
      <c r="M863">
        <v>0.49249999999999999</v>
      </c>
      <c r="N863">
        <v>7</v>
      </c>
      <c r="O863">
        <v>236</v>
      </c>
      <c r="P863">
        <v>243</v>
      </c>
    </row>
    <row r="864" spans="1:16" x14ac:dyDescent="0.35">
      <c r="A864">
        <v>863</v>
      </c>
      <c r="B864" s="37">
        <v>40582</v>
      </c>
      <c r="C864">
        <v>1</v>
      </c>
      <c r="D864">
        <v>0</v>
      </c>
      <c r="E864" t="s">
        <v>105</v>
      </c>
      <c r="F864">
        <v>9</v>
      </c>
      <c r="G864" t="b">
        <v>0</v>
      </c>
      <c r="H864" t="s">
        <v>109</v>
      </c>
      <c r="I864" t="s">
        <v>113</v>
      </c>
      <c r="J864">
        <v>0.24</v>
      </c>
      <c r="K864">
        <v>0.19700000000000001</v>
      </c>
      <c r="L864">
        <v>0.52</v>
      </c>
      <c r="M864">
        <v>0.49249999999999999</v>
      </c>
      <c r="N864">
        <v>7</v>
      </c>
      <c r="O864">
        <v>128</v>
      </c>
      <c r="P864">
        <v>135</v>
      </c>
    </row>
    <row r="865" spans="1:16" x14ac:dyDescent="0.35">
      <c r="A865">
        <v>864</v>
      </c>
      <c r="B865" s="37">
        <v>40582</v>
      </c>
      <c r="C865">
        <v>1</v>
      </c>
      <c r="D865">
        <v>0</v>
      </c>
      <c r="E865" t="s">
        <v>105</v>
      </c>
      <c r="F865">
        <v>10</v>
      </c>
      <c r="G865" t="b">
        <v>0</v>
      </c>
      <c r="H865" t="s">
        <v>109</v>
      </c>
      <c r="I865" t="s">
        <v>113</v>
      </c>
      <c r="J865">
        <v>0.22</v>
      </c>
      <c r="K865">
        <v>0.18179999999999999</v>
      </c>
      <c r="L865">
        <v>0.47</v>
      </c>
      <c r="M865">
        <v>0.55220000000000002</v>
      </c>
      <c r="N865">
        <v>4</v>
      </c>
      <c r="O865">
        <v>44</v>
      </c>
      <c r="P865">
        <v>48</v>
      </c>
    </row>
    <row r="866" spans="1:16" x14ac:dyDescent="0.35">
      <c r="A866">
        <v>865</v>
      </c>
      <c r="B866" s="37">
        <v>40582</v>
      </c>
      <c r="C866">
        <v>1</v>
      </c>
      <c r="D866">
        <v>0</v>
      </c>
      <c r="E866" t="s">
        <v>105</v>
      </c>
      <c r="F866">
        <v>11</v>
      </c>
      <c r="G866" t="b">
        <v>0</v>
      </c>
      <c r="H866" t="s">
        <v>109</v>
      </c>
      <c r="I866" t="s">
        <v>113</v>
      </c>
      <c r="J866">
        <v>0.22</v>
      </c>
      <c r="K866">
        <v>0.18179999999999999</v>
      </c>
      <c r="L866">
        <v>0.47</v>
      </c>
      <c r="M866">
        <v>0.4627</v>
      </c>
      <c r="N866">
        <v>1</v>
      </c>
      <c r="O866">
        <v>49</v>
      </c>
      <c r="P866">
        <v>50</v>
      </c>
    </row>
    <row r="867" spans="1:16" x14ac:dyDescent="0.35">
      <c r="A867">
        <v>866</v>
      </c>
      <c r="B867" s="37">
        <v>40582</v>
      </c>
      <c r="C867">
        <v>1</v>
      </c>
      <c r="D867">
        <v>0</v>
      </c>
      <c r="E867" t="s">
        <v>105</v>
      </c>
      <c r="F867">
        <v>12</v>
      </c>
      <c r="G867" t="b">
        <v>0</v>
      </c>
      <c r="H867" t="s">
        <v>109</v>
      </c>
      <c r="I867" t="s">
        <v>113</v>
      </c>
      <c r="J867">
        <v>0.24</v>
      </c>
      <c r="K867">
        <v>0.19700000000000001</v>
      </c>
      <c r="L867">
        <v>0.38</v>
      </c>
      <c r="M867">
        <v>0.49249999999999999</v>
      </c>
      <c r="N867">
        <v>2</v>
      </c>
      <c r="O867">
        <v>63</v>
      </c>
      <c r="P867">
        <v>65</v>
      </c>
    </row>
    <row r="868" spans="1:16" x14ac:dyDescent="0.35">
      <c r="A868">
        <v>867</v>
      </c>
      <c r="B868" s="37">
        <v>40582</v>
      </c>
      <c r="C868">
        <v>1</v>
      </c>
      <c r="D868">
        <v>0</v>
      </c>
      <c r="E868" t="s">
        <v>105</v>
      </c>
      <c r="F868">
        <v>13</v>
      </c>
      <c r="G868" t="b">
        <v>0</v>
      </c>
      <c r="H868" t="s">
        <v>109</v>
      </c>
      <c r="I868" t="s">
        <v>114</v>
      </c>
      <c r="J868">
        <v>0.24</v>
      </c>
      <c r="K868">
        <v>0.19700000000000001</v>
      </c>
      <c r="L868">
        <v>0.32</v>
      </c>
      <c r="M868">
        <v>0.44779999999999998</v>
      </c>
      <c r="N868">
        <v>2</v>
      </c>
      <c r="O868">
        <v>48</v>
      </c>
      <c r="P868">
        <v>50</v>
      </c>
    </row>
    <row r="869" spans="1:16" x14ac:dyDescent="0.35">
      <c r="A869">
        <v>868</v>
      </c>
      <c r="B869" s="37">
        <v>40582</v>
      </c>
      <c r="C869">
        <v>1</v>
      </c>
      <c r="D869">
        <v>0</v>
      </c>
      <c r="E869" t="s">
        <v>105</v>
      </c>
      <c r="F869">
        <v>14</v>
      </c>
      <c r="G869" t="b">
        <v>0</v>
      </c>
      <c r="H869" t="s">
        <v>109</v>
      </c>
      <c r="I869" t="s">
        <v>113</v>
      </c>
      <c r="J869">
        <v>0.22</v>
      </c>
      <c r="K869">
        <v>0.19700000000000001</v>
      </c>
      <c r="L869">
        <v>0.37</v>
      </c>
      <c r="M869">
        <v>0.41789999999999999</v>
      </c>
      <c r="N869">
        <v>3</v>
      </c>
      <c r="O869">
        <v>61</v>
      </c>
      <c r="P869">
        <v>64</v>
      </c>
    </row>
    <row r="870" spans="1:16" x14ac:dyDescent="0.35">
      <c r="A870">
        <v>869</v>
      </c>
      <c r="B870" s="37">
        <v>40582</v>
      </c>
      <c r="C870">
        <v>1</v>
      </c>
      <c r="D870">
        <v>0</v>
      </c>
      <c r="E870" t="s">
        <v>105</v>
      </c>
      <c r="F870">
        <v>15</v>
      </c>
      <c r="G870" t="b">
        <v>0</v>
      </c>
      <c r="H870" t="s">
        <v>109</v>
      </c>
      <c r="I870" t="s">
        <v>113</v>
      </c>
      <c r="J870">
        <v>0.22</v>
      </c>
      <c r="K870">
        <v>0.19700000000000001</v>
      </c>
      <c r="L870">
        <v>0.35</v>
      </c>
      <c r="M870">
        <v>0.3881</v>
      </c>
      <c r="N870">
        <v>6</v>
      </c>
      <c r="O870">
        <v>45</v>
      </c>
      <c r="P870">
        <v>51</v>
      </c>
    </row>
    <row r="871" spans="1:16" x14ac:dyDescent="0.35">
      <c r="A871">
        <v>870</v>
      </c>
      <c r="B871" s="37">
        <v>40582</v>
      </c>
      <c r="C871">
        <v>1</v>
      </c>
      <c r="D871">
        <v>0</v>
      </c>
      <c r="E871" t="s">
        <v>105</v>
      </c>
      <c r="F871">
        <v>16</v>
      </c>
      <c r="G871" t="b">
        <v>0</v>
      </c>
      <c r="H871" t="s">
        <v>109</v>
      </c>
      <c r="I871" t="s">
        <v>113</v>
      </c>
      <c r="J871">
        <v>0.22</v>
      </c>
      <c r="K871">
        <v>0.18179999999999999</v>
      </c>
      <c r="L871">
        <v>0.35</v>
      </c>
      <c r="M871">
        <v>0.52239999999999998</v>
      </c>
      <c r="N871">
        <v>4</v>
      </c>
      <c r="O871">
        <v>79</v>
      </c>
      <c r="P871">
        <v>83</v>
      </c>
    </row>
    <row r="872" spans="1:16" x14ac:dyDescent="0.35">
      <c r="A872">
        <v>871</v>
      </c>
      <c r="B872" s="37">
        <v>40582</v>
      </c>
      <c r="C872">
        <v>1</v>
      </c>
      <c r="D872">
        <v>0</v>
      </c>
      <c r="E872" t="s">
        <v>105</v>
      </c>
      <c r="F872">
        <v>17</v>
      </c>
      <c r="G872" t="b">
        <v>0</v>
      </c>
      <c r="H872" t="s">
        <v>109</v>
      </c>
      <c r="I872" t="s">
        <v>113</v>
      </c>
      <c r="J872">
        <v>0.22</v>
      </c>
      <c r="K872">
        <v>0.18179999999999999</v>
      </c>
      <c r="L872">
        <v>0.32</v>
      </c>
      <c r="M872">
        <v>0.58209999999999995</v>
      </c>
      <c r="N872">
        <v>4</v>
      </c>
      <c r="O872">
        <v>172</v>
      </c>
      <c r="P872">
        <v>176</v>
      </c>
    </row>
    <row r="873" spans="1:16" x14ac:dyDescent="0.35">
      <c r="A873">
        <v>872</v>
      </c>
      <c r="B873" s="37">
        <v>40582</v>
      </c>
      <c r="C873">
        <v>1</v>
      </c>
      <c r="D873">
        <v>0</v>
      </c>
      <c r="E873" t="s">
        <v>105</v>
      </c>
      <c r="F873">
        <v>18</v>
      </c>
      <c r="G873" t="b">
        <v>0</v>
      </c>
      <c r="H873" t="s">
        <v>109</v>
      </c>
      <c r="I873" t="s">
        <v>113</v>
      </c>
      <c r="J873">
        <v>0.2</v>
      </c>
      <c r="K873">
        <v>0.18179999999999999</v>
      </c>
      <c r="L873">
        <v>0.32</v>
      </c>
      <c r="M873">
        <v>0.3881</v>
      </c>
      <c r="N873">
        <v>1</v>
      </c>
      <c r="O873">
        <v>151</v>
      </c>
      <c r="P873">
        <v>152</v>
      </c>
    </row>
    <row r="874" spans="1:16" x14ac:dyDescent="0.35">
      <c r="A874">
        <v>873</v>
      </c>
      <c r="B874" s="37">
        <v>40582</v>
      </c>
      <c r="C874">
        <v>1</v>
      </c>
      <c r="D874">
        <v>0</v>
      </c>
      <c r="E874" t="s">
        <v>105</v>
      </c>
      <c r="F874">
        <v>19</v>
      </c>
      <c r="G874" t="b">
        <v>0</v>
      </c>
      <c r="H874" t="s">
        <v>109</v>
      </c>
      <c r="I874" t="s">
        <v>113</v>
      </c>
      <c r="J874">
        <v>0.16</v>
      </c>
      <c r="K874">
        <v>0.1212</v>
      </c>
      <c r="L874">
        <v>0.4</v>
      </c>
      <c r="M874">
        <v>0.4627</v>
      </c>
      <c r="N874">
        <v>1</v>
      </c>
      <c r="O874">
        <v>100</v>
      </c>
      <c r="P874">
        <v>101</v>
      </c>
    </row>
    <row r="875" spans="1:16" x14ac:dyDescent="0.35">
      <c r="A875">
        <v>874</v>
      </c>
      <c r="B875" s="37">
        <v>40582</v>
      </c>
      <c r="C875">
        <v>1</v>
      </c>
      <c r="D875">
        <v>0</v>
      </c>
      <c r="E875" t="s">
        <v>105</v>
      </c>
      <c r="F875">
        <v>20</v>
      </c>
      <c r="G875" t="b">
        <v>0</v>
      </c>
      <c r="H875" t="s">
        <v>109</v>
      </c>
      <c r="I875" t="s">
        <v>113</v>
      </c>
      <c r="J875">
        <v>0.16</v>
      </c>
      <c r="K875">
        <v>0.13639999999999999</v>
      </c>
      <c r="L875">
        <v>0.4</v>
      </c>
      <c r="M875">
        <v>0.32840000000000003</v>
      </c>
      <c r="N875">
        <v>3</v>
      </c>
      <c r="O875">
        <v>53</v>
      </c>
      <c r="P875">
        <v>56</v>
      </c>
    </row>
    <row r="876" spans="1:16" x14ac:dyDescent="0.35">
      <c r="A876">
        <v>875</v>
      </c>
      <c r="B876" s="37">
        <v>40582</v>
      </c>
      <c r="C876">
        <v>1</v>
      </c>
      <c r="D876">
        <v>0</v>
      </c>
      <c r="E876" t="s">
        <v>105</v>
      </c>
      <c r="F876">
        <v>21</v>
      </c>
      <c r="G876" t="b">
        <v>0</v>
      </c>
      <c r="H876" t="s">
        <v>109</v>
      </c>
      <c r="I876" t="s">
        <v>113</v>
      </c>
      <c r="J876">
        <v>0.14000000000000001</v>
      </c>
      <c r="K876">
        <v>0.1061</v>
      </c>
      <c r="L876">
        <v>0.33</v>
      </c>
      <c r="M876">
        <v>0.4627</v>
      </c>
      <c r="N876">
        <v>8</v>
      </c>
      <c r="O876">
        <v>46</v>
      </c>
      <c r="P876">
        <v>54</v>
      </c>
    </row>
    <row r="877" spans="1:16" x14ac:dyDescent="0.35">
      <c r="A877">
        <v>876</v>
      </c>
      <c r="B877" s="37">
        <v>40582</v>
      </c>
      <c r="C877">
        <v>1</v>
      </c>
      <c r="D877">
        <v>0</v>
      </c>
      <c r="E877" t="s">
        <v>105</v>
      </c>
      <c r="F877">
        <v>22</v>
      </c>
      <c r="G877" t="b">
        <v>0</v>
      </c>
      <c r="H877" t="s">
        <v>109</v>
      </c>
      <c r="I877" t="s">
        <v>113</v>
      </c>
      <c r="J877">
        <v>0.12</v>
      </c>
      <c r="K877">
        <v>0.1061</v>
      </c>
      <c r="L877">
        <v>0.33</v>
      </c>
      <c r="M877">
        <v>0.35820000000000002</v>
      </c>
      <c r="N877">
        <v>0</v>
      </c>
      <c r="O877">
        <v>29</v>
      </c>
      <c r="P877">
        <v>29</v>
      </c>
    </row>
    <row r="878" spans="1:16" x14ac:dyDescent="0.35">
      <c r="A878">
        <v>877</v>
      </c>
      <c r="B878" s="37">
        <v>40582</v>
      </c>
      <c r="C878">
        <v>1</v>
      </c>
      <c r="D878">
        <v>0</v>
      </c>
      <c r="E878" t="s">
        <v>105</v>
      </c>
      <c r="F878">
        <v>23</v>
      </c>
      <c r="G878" t="b">
        <v>0</v>
      </c>
      <c r="H878" t="s">
        <v>109</v>
      </c>
      <c r="I878" t="s">
        <v>113</v>
      </c>
      <c r="J878">
        <v>0.12</v>
      </c>
      <c r="K878">
        <v>0.1061</v>
      </c>
      <c r="L878">
        <v>0.33</v>
      </c>
      <c r="M878">
        <v>0.32840000000000003</v>
      </c>
      <c r="N878">
        <v>3</v>
      </c>
      <c r="O878">
        <v>9</v>
      </c>
      <c r="P878">
        <v>12</v>
      </c>
    </row>
    <row r="879" spans="1:16" x14ac:dyDescent="0.35">
      <c r="A879">
        <v>878</v>
      </c>
      <c r="B879" s="37">
        <v>40583</v>
      </c>
      <c r="C879">
        <v>1</v>
      </c>
      <c r="D879">
        <v>0</v>
      </c>
      <c r="E879" t="s">
        <v>105</v>
      </c>
      <c r="F879">
        <v>0</v>
      </c>
      <c r="G879" t="b">
        <v>0</v>
      </c>
      <c r="H879" t="s">
        <v>110</v>
      </c>
      <c r="I879" t="s">
        <v>113</v>
      </c>
      <c r="J879">
        <v>0.1</v>
      </c>
      <c r="K879">
        <v>7.5800000000000006E-2</v>
      </c>
      <c r="L879">
        <v>0.36</v>
      </c>
      <c r="M879">
        <v>0.35820000000000002</v>
      </c>
      <c r="N879">
        <v>0</v>
      </c>
      <c r="O879">
        <v>17</v>
      </c>
      <c r="P879">
        <v>17</v>
      </c>
    </row>
    <row r="880" spans="1:16" x14ac:dyDescent="0.35">
      <c r="A880">
        <v>879</v>
      </c>
      <c r="B880" s="37">
        <v>40583</v>
      </c>
      <c r="C880">
        <v>1</v>
      </c>
      <c r="D880">
        <v>0</v>
      </c>
      <c r="E880" t="s">
        <v>105</v>
      </c>
      <c r="F880">
        <v>1</v>
      </c>
      <c r="G880" t="b">
        <v>0</v>
      </c>
      <c r="H880" t="s">
        <v>110</v>
      </c>
      <c r="I880" t="s">
        <v>113</v>
      </c>
      <c r="J880">
        <v>0.1</v>
      </c>
      <c r="K880">
        <v>0.1061</v>
      </c>
      <c r="L880">
        <v>0.36</v>
      </c>
      <c r="M880">
        <v>0.22389999999999999</v>
      </c>
      <c r="N880">
        <v>0</v>
      </c>
      <c r="O880">
        <v>7</v>
      </c>
      <c r="P880">
        <v>7</v>
      </c>
    </row>
    <row r="881" spans="1:16" x14ac:dyDescent="0.35">
      <c r="A881">
        <v>880</v>
      </c>
      <c r="B881" s="37">
        <v>40583</v>
      </c>
      <c r="C881">
        <v>1</v>
      </c>
      <c r="D881">
        <v>0</v>
      </c>
      <c r="E881" t="s">
        <v>105</v>
      </c>
      <c r="F881">
        <v>2</v>
      </c>
      <c r="G881" t="b">
        <v>0</v>
      </c>
      <c r="H881" t="s">
        <v>110</v>
      </c>
      <c r="I881" t="s">
        <v>113</v>
      </c>
      <c r="J881">
        <v>0.08</v>
      </c>
      <c r="K881">
        <v>7.5800000000000006E-2</v>
      </c>
      <c r="L881">
        <v>0.38</v>
      </c>
      <c r="M881">
        <v>0.28360000000000002</v>
      </c>
      <c r="N881">
        <v>1</v>
      </c>
      <c r="O881">
        <v>2</v>
      </c>
      <c r="P881">
        <v>3</v>
      </c>
    </row>
    <row r="882" spans="1:16" x14ac:dyDescent="0.35">
      <c r="A882">
        <v>881</v>
      </c>
      <c r="B882" s="37">
        <v>40583</v>
      </c>
      <c r="C882">
        <v>1</v>
      </c>
      <c r="D882">
        <v>0</v>
      </c>
      <c r="E882" t="s">
        <v>105</v>
      </c>
      <c r="F882">
        <v>3</v>
      </c>
      <c r="G882" t="b">
        <v>0</v>
      </c>
      <c r="H882" t="s">
        <v>110</v>
      </c>
      <c r="I882" t="s">
        <v>113</v>
      </c>
      <c r="J882">
        <v>0.06</v>
      </c>
      <c r="K882">
        <v>7.5800000000000006E-2</v>
      </c>
      <c r="L882">
        <v>0.45</v>
      </c>
      <c r="M882">
        <v>0.1343</v>
      </c>
      <c r="N882">
        <v>0</v>
      </c>
      <c r="O882">
        <v>2</v>
      </c>
      <c r="P882">
        <v>2</v>
      </c>
    </row>
    <row r="883" spans="1:16" x14ac:dyDescent="0.35">
      <c r="A883">
        <v>882</v>
      </c>
      <c r="B883" s="37">
        <v>40583</v>
      </c>
      <c r="C883">
        <v>1</v>
      </c>
      <c r="D883">
        <v>0</v>
      </c>
      <c r="E883" t="s">
        <v>105</v>
      </c>
      <c r="F883">
        <v>5</v>
      </c>
      <c r="G883" t="b">
        <v>0</v>
      </c>
      <c r="H883" t="s">
        <v>110</v>
      </c>
      <c r="I883" t="s">
        <v>113</v>
      </c>
      <c r="J883">
        <v>0.06</v>
      </c>
      <c r="K883">
        <v>0.1061</v>
      </c>
      <c r="L883">
        <v>0.45</v>
      </c>
      <c r="M883">
        <v>0.1045</v>
      </c>
      <c r="N883">
        <v>0</v>
      </c>
      <c r="O883">
        <v>7</v>
      </c>
      <c r="P883">
        <v>7</v>
      </c>
    </row>
    <row r="884" spans="1:16" x14ac:dyDescent="0.35">
      <c r="A884">
        <v>883</v>
      </c>
      <c r="B884" s="37">
        <v>40583</v>
      </c>
      <c r="C884">
        <v>1</v>
      </c>
      <c r="D884">
        <v>0</v>
      </c>
      <c r="E884" t="s">
        <v>105</v>
      </c>
      <c r="F884">
        <v>6</v>
      </c>
      <c r="G884" t="b">
        <v>0</v>
      </c>
      <c r="H884" t="s">
        <v>110</v>
      </c>
      <c r="I884" t="s">
        <v>113</v>
      </c>
      <c r="J884">
        <v>0.06</v>
      </c>
      <c r="K884">
        <v>0.1515</v>
      </c>
      <c r="L884">
        <v>0.45</v>
      </c>
      <c r="M884">
        <v>0</v>
      </c>
      <c r="N884">
        <v>0</v>
      </c>
      <c r="O884">
        <v>43</v>
      </c>
      <c r="P884">
        <v>43</v>
      </c>
    </row>
    <row r="885" spans="1:16" x14ac:dyDescent="0.35">
      <c r="A885">
        <v>884</v>
      </c>
      <c r="B885" s="37">
        <v>40583</v>
      </c>
      <c r="C885">
        <v>1</v>
      </c>
      <c r="D885">
        <v>0</v>
      </c>
      <c r="E885" t="s">
        <v>105</v>
      </c>
      <c r="F885">
        <v>7</v>
      </c>
      <c r="G885" t="b">
        <v>0</v>
      </c>
      <c r="H885" t="s">
        <v>110</v>
      </c>
      <c r="I885" t="s">
        <v>113</v>
      </c>
      <c r="J885">
        <v>0.06</v>
      </c>
      <c r="K885">
        <v>0.1061</v>
      </c>
      <c r="L885">
        <v>0.49</v>
      </c>
      <c r="M885">
        <v>0.1045</v>
      </c>
      <c r="N885">
        <v>4</v>
      </c>
      <c r="O885">
        <v>95</v>
      </c>
      <c r="P885">
        <v>99</v>
      </c>
    </row>
    <row r="886" spans="1:16" x14ac:dyDescent="0.35">
      <c r="A886">
        <v>885</v>
      </c>
      <c r="B886" s="37">
        <v>40583</v>
      </c>
      <c r="C886">
        <v>1</v>
      </c>
      <c r="D886">
        <v>0</v>
      </c>
      <c r="E886" t="s">
        <v>105</v>
      </c>
      <c r="F886">
        <v>8</v>
      </c>
      <c r="G886" t="b">
        <v>0</v>
      </c>
      <c r="H886" t="s">
        <v>110</v>
      </c>
      <c r="I886" t="s">
        <v>113</v>
      </c>
      <c r="J886">
        <v>0.1</v>
      </c>
      <c r="K886">
        <v>0.13639999999999999</v>
      </c>
      <c r="L886">
        <v>0.42</v>
      </c>
      <c r="M886">
        <v>0</v>
      </c>
      <c r="N886">
        <v>1</v>
      </c>
      <c r="O886">
        <v>198</v>
      </c>
      <c r="P886">
        <v>199</v>
      </c>
    </row>
    <row r="887" spans="1:16" x14ac:dyDescent="0.35">
      <c r="A887">
        <v>886</v>
      </c>
      <c r="B887" s="37">
        <v>40583</v>
      </c>
      <c r="C887">
        <v>1</v>
      </c>
      <c r="D887">
        <v>0</v>
      </c>
      <c r="E887" t="s">
        <v>105</v>
      </c>
      <c r="F887">
        <v>9</v>
      </c>
      <c r="G887" t="b">
        <v>0</v>
      </c>
      <c r="H887" t="s">
        <v>110</v>
      </c>
      <c r="I887" t="s">
        <v>113</v>
      </c>
      <c r="J887">
        <v>0.12</v>
      </c>
      <c r="K887">
        <v>0.13639999999999999</v>
      </c>
      <c r="L887">
        <v>0.39</v>
      </c>
      <c r="M887">
        <v>0.16420000000000001</v>
      </c>
      <c r="N887">
        <v>4</v>
      </c>
      <c r="O887">
        <v>119</v>
      </c>
      <c r="P887">
        <v>123</v>
      </c>
    </row>
    <row r="888" spans="1:16" x14ac:dyDescent="0.35">
      <c r="A888">
        <v>887</v>
      </c>
      <c r="B888" s="37">
        <v>40583</v>
      </c>
      <c r="C888">
        <v>1</v>
      </c>
      <c r="D888">
        <v>0</v>
      </c>
      <c r="E888" t="s">
        <v>105</v>
      </c>
      <c r="F888">
        <v>10</v>
      </c>
      <c r="G888" t="b">
        <v>0</v>
      </c>
      <c r="H888" t="s">
        <v>110</v>
      </c>
      <c r="I888" t="s">
        <v>113</v>
      </c>
      <c r="J888">
        <v>0.14000000000000001</v>
      </c>
      <c r="K888">
        <v>0.18179999999999999</v>
      </c>
      <c r="L888">
        <v>0.36</v>
      </c>
      <c r="M888">
        <v>0</v>
      </c>
      <c r="N888">
        <v>8</v>
      </c>
      <c r="O888">
        <v>51</v>
      </c>
      <c r="P888">
        <v>59</v>
      </c>
    </row>
    <row r="889" spans="1:16" x14ac:dyDescent="0.35">
      <c r="A889">
        <v>888</v>
      </c>
      <c r="B889" s="37">
        <v>40583</v>
      </c>
      <c r="C889">
        <v>1</v>
      </c>
      <c r="D889">
        <v>0</v>
      </c>
      <c r="E889" t="s">
        <v>105</v>
      </c>
      <c r="F889">
        <v>11</v>
      </c>
      <c r="G889" t="b">
        <v>0</v>
      </c>
      <c r="H889" t="s">
        <v>110</v>
      </c>
      <c r="I889" t="s">
        <v>114</v>
      </c>
      <c r="J889">
        <v>0.14000000000000001</v>
      </c>
      <c r="K889">
        <v>0.1515</v>
      </c>
      <c r="L889">
        <v>0.43</v>
      </c>
      <c r="M889">
        <v>0.16420000000000001</v>
      </c>
      <c r="N889">
        <v>1</v>
      </c>
      <c r="O889">
        <v>40</v>
      </c>
      <c r="P889">
        <v>41</v>
      </c>
    </row>
    <row r="890" spans="1:16" x14ac:dyDescent="0.35">
      <c r="A890">
        <v>889</v>
      </c>
      <c r="B890" s="37">
        <v>40583</v>
      </c>
      <c r="C890">
        <v>1</v>
      </c>
      <c r="D890">
        <v>0</v>
      </c>
      <c r="E890" t="s">
        <v>105</v>
      </c>
      <c r="F890">
        <v>12</v>
      </c>
      <c r="G890" t="b">
        <v>0</v>
      </c>
      <c r="H890" t="s">
        <v>110</v>
      </c>
      <c r="I890" t="s">
        <v>114</v>
      </c>
      <c r="J890">
        <v>0.18</v>
      </c>
      <c r="K890">
        <v>0.18179999999999999</v>
      </c>
      <c r="L890">
        <v>0.4</v>
      </c>
      <c r="M890">
        <v>0.22389999999999999</v>
      </c>
      <c r="N890">
        <v>4</v>
      </c>
      <c r="O890">
        <v>57</v>
      </c>
      <c r="P890">
        <v>61</v>
      </c>
    </row>
    <row r="891" spans="1:16" x14ac:dyDescent="0.35">
      <c r="A891">
        <v>890</v>
      </c>
      <c r="B891" s="37">
        <v>40583</v>
      </c>
      <c r="C891">
        <v>1</v>
      </c>
      <c r="D891">
        <v>0</v>
      </c>
      <c r="E891" t="s">
        <v>105</v>
      </c>
      <c r="F891">
        <v>13</v>
      </c>
      <c r="G891" t="b">
        <v>0</v>
      </c>
      <c r="H891" t="s">
        <v>110</v>
      </c>
      <c r="I891" t="s">
        <v>113</v>
      </c>
      <c r="J891">
        <v>0.18</v>
      </c>
      <c r="K891">
        <v>0.16669999999999999</v>
      </c>
      <c r="L891">
        <v>0.4</v>
      </c>
      <c r="M891">
        <v>0.25369999999999998</v>
      </c>
      <c r="N891">
        <v>2</v>
      </c>
      <c r="O891">
        <v>67</v>
      </c>
      <c r="P891">
        <v>69</v>
      </c>
    </row>
    <row r="892" spans="1:16" x14ac:dyDescent="0.35">
      <c r="A892">
        <v>891</v>
      </c>
      <c r="B892" s="37">
        <v>40583</v>
      </c>
      <c r="C892">
        <v>1</v>
      </c>
      <c r="D892">
        <v>0</v>
      </c>
      <c r="E892" t="s">
        <v>105</v>
      </c>
      <c r="F892">
        <v>14</v>
      </c>
      <c r="G892" t="b">
        <v>0</v>
      </c>
      <c r="H892" t="s">
        <v>110</v>
      </c>
      <c r="I892" t="s">
        <v>113</v>
      </c>
      <c r="J892">
        <v>0.2</v>
      </c>
      <c r="K892">
        <v>0.18179999999999999</v>
      </c>
      <c r="L892">
        <v>0.34</v>
      </c>
      <c r="M892">
        <v>0.29849999999999999</v>
      </c>
      <c r="N892">
        <v>2</v>
      </c>
      <c r="O892">
        <v>56</v>
      </c>
      <c r="P892">
        <v>58</v>
      </c>
    </row>
    <row r="893" spans="1:16" x14ac:dyDescent="0.35">
      <c r="A893">
        <v>892</v>
      </c>
      <c r="B893" s="37">
        <v>40583</v>
      </c>
      <c r="C893">
        <v>1</v>
      </c>
      <c r="D893">
        <v>0</v>
      </c>
      <c r="E893" t="s">
        <v>105</v>
      </c>
      <c r="F893">
        <v>15</v>
      </c>
      <c r="G893" t="b">
        <v>0</v>
      </c>
      <c r="H893" t="s">
        <v>110</v>
      </c>
      <c r="I893" t="s">
        <v>114</v>
      </c>
      <c r="J893">
        <v>0.2</v>
      </c>
      <c r="K893">
        <v>0.18179999999999999</v>
      </c>
      <c r="L893">
        <v>0.34</v>
      </c>
      <c r="M893">
        <v>0.28360000000000002</v>
      </c>
      <c r="N893">
        <v>3</v>
      </c>
      <c r="O893">
        <v>61</v>
      </c>
      <c r="P893">
        <v>64</v>
      </c>
    </row>
    <row r="894" spans="1:16" x14ac:dyDescent="0.35">
      <c r="A894">
        <v>893</v>
      </c>
      <c r="B894" s="37">
        <v>40583</v>
      </c>
      <c r="C894">
        <v>1</v>
      </c>
      <c r="D894">
        <v>0</v>
      </c>
      <c r="E894" t="s">
        <v>105</v>
      </c>
      <c r="F894">
        <v>16</v>
      </c>
      <c r="G894" t="b">
        <v>0</v>
      </c>
      <c r="H894" t="s">
        <v>110</v>
      </c>
      <c r="I894" t="s">
        <v>114</v>
      </c>
      <c r="J894">
        <v>0.2</v>
      </c>
      <c r="K894">
        <v>0.19700000000000001</v>
      </c>
      <c r="L894">
        <v>0.37</v>
      </c>
      <c r="M894">
        <v>0.25369999999999998</v>
      </c>
      <c r="N894">
        <v>7</v>
      </c>
      <c r="O894">
        <v>72</v>
      </c>
      <c r="P894">
        <v>79</v>
      </c>
    </row>
    <row r="895" spans="1:16" x14ac:dyDescent="0.35">
      <c r="A895">
        <v>894</v>
      </c>
      <c r="B895" s="37">
        <v>40583</v>
      </c>
      <c r="C895">
        <v>1</v>
      </c>
      <c r="D895">
        <v>0</v>
      </c>
      <c r="E895" t="s">
        <v>105</v>
      </c>
      <c r="F895">
        <v>17</v>
      </c>
      <c r="G895" t="b">
        <v>0</v>
      </c>
      <c r="H895" t="s">
        <v>110</v>
      </c>
      <c r="I895" t="s">
        <v>114</v>
      </c>
      <c r="J895">
        <v>0.2</v>
      </c>
      <c r="K895">
        <v>0.19700000000000001</v>
      </c>
      <c r="L895">
        <v>0.34</v>
      </c>
      <c r="M895">
        <v>0.25369999999999998</v>
      </c>
      <c r="N895">
        <v>9</v>
      </c>
      <c r="O895">
        <v>157</v>
      </c>
      <c r="P895">
        <v>166</v>
      </c>
    </row>
    <row r="896" spans="1:16" x14ac:dyDescent="0.35">
      <c r="A896">
        <v>895</v>
      </c>
      <c r="B896" s="37">
        <v>40583</v>
      </c>
      <c r="C896">
        <v>1</v>
      </c>
      <c r="D896">
        <v>0</v>
      </c>
      <c r="E896" t="s">
        <v>105</v>
      </c>
      <c r="F896">
        <v>18</v>
      </c>
      <c r="G896" t="b">
        <v>0</v>
      </c>
      <c r="H896" t="s">
        <v>110</v>
      </c>
      <c r="I896" t="s">
        <v>114</v>
      </c>
      <c r="J896">
        <v>0.18</v>
      </c>
      <c r="K896">
        <v>0.16669999999999999</v>
      </c>
      <c r="L896">
        <v>0.47</v>
      </c>
      <c r="M896">
        <v>0.29849999999999999</v>
      </c>
      <c r="N896">
        <v>2</v>
      </c>
      <c r="O896">
        <v>168</v>
      </c>
      <c r="P896">
        <v>170</v>
      </c>
    </row>
    <row r="897" spans="1:16" x14ac:dyDescent="0.35">
      <c r="A897">
        <v>896</v>
      </c>
      <c r="B897" s="37">
        <v>40583</v>
      </c>
      <c r="C897">
        <v>1</v>
      </c>
      <c r="D897">
        <v>0</v>
      </c>
      <c r="E897" t="s">
        <v>105</v>
      </c>
      <c r="F897">
        <v>19</v>
      </c>
      <c r="G897" t="b">
        <v>0</v>
      </c>
      <c r="H897" t="s">
        <v>110</v>
      </c>
      <c r="I897" t="s">
        <v>115</v>
      </c>
      <c r="J897">
        <v>0.14000000000000001</v>
      </c>
      <c r="K897">
        <v>0.1212</v>
      </c>
      <c r="L897">
        <v>0.86</v>
      </c>
      <c r="M897">
        <v>0.25369999999999998</v>
      </c>
      <c r="N897">
        <v>1</v>
      </c>
      <c r="O897">
        <v>87</v>
      </c>
      <c r="P897">
        <v>88</v>
      </c>
    </row>
    <row r="898" spans="1:16" x14ac:dyDescent="0.35">
      <c r="A898">
        <v>897</v>
      </c>
      <c r="B898" s="37">
        <v>40583</v>
      </c>
      <c r="C898">
        <v>1</v>
      </c>
      <c r="D898">
        <v>0</v>
      </c>
      <c r="E898" t="s">
        <v>105</v>
      </c>
      <c r="F898">
        <v>20</v>
      </c>
      <c r="G898" t="b">
        <v>0</v>
      </c>
      <c r="H898" t="s">
        <v>110</v>
      </c>
      <c r="I898" t="s">
        <v>115</v>
      </c>
      <c r="J898">
        <v>0.14000000000000001</v>
      </c>
      <c r="K898">
        <v>0.1515</v>
      </c>
      <c r="L898">
        <v>0.86</v>
      </c>
      <c r="M898">
        <v>0.16420000000000001</v>
      </c>
      <c r="N898">
        <v>0</v>
      </c>
      <c r="O898">
        <v>84</v>
      </c>
      <c r="P898">
        <v>84</v>
      </c>
    </row>
    <row r="899" spans="1:16" x14ac:dyDescent="0.35">
      <c r="A899">
        <v>898</v>
      </c>
      <c r="B899" s="37">
        <v>40583</v>
      </c>
      <c r="C899">
        <v>1</v>
      </c>
      <c r="D899">
        <v>0</v>
      </c>
      <c r="E899" t="s">
        <v>105</v>
      </c>
      <c r="F899">
        <v>21</v>
      </c>
      <c r="G899" t="b">
        <v>0</v>
      </c>
      <c r="H899" t="s">
        <v>110</v>
      </c>
      <c r="I899" t="s">
        <v>114</v>
      </c>
      <c r="J899">
        <v>0.14000000000000001</v>
      </c>
      <c r="K899">
        <v>0.1515</v>
      </c>
      <c r="L899">
        <v>0.86</v>
      </c>
      <c r="M899">
        <v>0.16420000000000001</v>
      </c>
      <c r="N899">
        <v>0</v>
      </c>
      <c r="O899">
        <v>83</v>
      </c>
      <c r="P899">
        <v>83</v>
      </c>
    </row>
    <row r="900" spans="1:16" x14ac:dyDescent="0.35">
      <c r="A900">
        <v>899</v>
      </c>
      <c r="B900" s="37">
        <v>40583</v>
      </c>
      <c r="C900">
        <v>1</v>
      </c>
      <c r="D900">
        <v>0</v>
      </c>
      <c r="E900" t="s">
        <v>105</v>
      </c>
      <c r="F900">
        <v>22</v>
      </c>
      <c r="G900" t="b">
        <v>0</v>
      </c>
      <c r="H900" t="s">
        <v>110</v>
      </c>
      <c r="I900" t="s">
        <v>115</v>
      </c>
      <c r="J900">
        <v>0.16</v>
      </c>
      <c r="K900">
        <v>0.16669999999999999</v>
      </c>
      <c r="L900">
        <v>0.8</v>
      </c>
      <c r="M900">
        <v>0.16420000000000001</v>
      </c>
      <c r="N900">
        <v>4</v>
      </c>
      <c r="O900">
        <v>42</v>
      </c>
      <c r="P900">
        <v>46</v>
      </c>
    </row>
    <row r="901" spans="1:16" x14ac:dyDescent="0.35">
      <c r="A901">
        <v>900</v>
      </c>
      <c r="B901" s="37">
        <v>40583</v>
      </c>
      <c r="C901">
        <v>1</v>
      </c>
      <c r="D901">
        <v>0</v>
      </c>
      <c r="E901" t="s">
        <v>105</v>
      </c>
      <c r="F901">
        <v>23</v>
      </c>
      <c r="G901" t="b">
        <v>0</v>
      </c>
      <c r="H901" t="s">
        <v>110</v>
      </c>
      <c r="I901" t="s">
        <v>115</v>
      </c>
      <c r="J901">
        <v>0.16</v>
      </c>
      <c r="K901">
        <v>0.1515</v>
      </c>
      <c r="L901">
        <v>0.8</v>
      </c>
      <c r="M901">
        <v>0.19400000000000001</v>
      </c>
      <c r="N901">
        <v>0</v>
      </c>
      <c r="O901">
        <v>37</v>
      </c>
      <c r="P901">
        <v>37</v>
      </c>
    </row>
    <row r="902" spans="1:16" x14ac:dyDescent="0.35">
      <c r="A902">
        <v>901</v>
      </c>
      <c r="B902" s="37">
        <v>40584</v>
      </c>
      <c r="C902">
        <v>1</v>
      </c>
      <c r="D902">
        <v>0</v>
      </c>
      <c r="E902" t="s">
        <v>105</v>
      </c>
      <c r="F902">
        <v>0</v>
      </c>
      <c r="G902" t="b">
        <v>0</v>
      </c>
      <c r="H902" t="s">
        <v>111</v>
      </c>
      <c r="I902" t="s">
        <v>115</v>
      </c>
      <c r="J902">
        <v>0.14000000000000001</v>
      </c>
      <c r="K902">
        <v>0.13639999999999999</v>
      </c>
      <c r="L902">
        <v>0.86</v>
      </c>
      <c r="M902">
        <v>0.19400000000000001</v>
      </c>
      <c r="N902">
        <v>0</v>
      </c>
      <c r="O902">
        <v>16</v>
      </c>
      <c r="P902">
        <v>16</v>
      </c>
    </row>
    <row r="903" spans="1:16" x14ac:dyDescent="0.35">
      <c r="A903">
        <v>902</v>
      </c>
      <c r="B903" s="37">
        <v>40584</v>
      </c>
      <c r="C903">
        <v>1</v>
      </c>
      <c r="D903">
        <v>0</v>
      </c>
      <c r="E903" t="s">
        <v>105</v>
      </c>
      <c r="F903">
        <v>1</v>
      </c>
      <c r="G903" t="b">
        <v>0</v>
      </c>
      <c r="H903" t="s">
        <v>111</v>
      </c>
      <c r="I903" t="s">
        <v>115</v>
      </c>
      <c r="J903">
        <v>0.14000000000000001</v>
      </c>
      <c r="K903">
        <v>0.1515</v>
      </c>
      <c r="L903">
        <v>0.8</v>
      </c>
      <c r="M903">
        <v>0.1343</v>
      </c>
      <c r="N903">
        <v>0</v>
      </c>
      <c r="O903">
        <v>7</v>
      </c>
      <c r="P903">
        <v>7</v>
      </c>
    </row>
    <row r="904" spans="1:16" x14ac:dyDescent="0.35">
      <c r="A904">
        <v>903</v>
      </c>
      <c r="B904" s="37">
        <v>40584</v>
      </c>
      <c r="C904">
        <v>1</v>
      </c>
      <c r="D904">
        <v>0</v>
      </c>
      <c r="E904" t="s">
        <v>105</v>
      </c>
      <c r="F904">
        <v>2</v>
      </c>
      <c r="G904" t="b">
        <v>0</v>
      </c>
      <c r="H904" t="s">
        <v>111</v>
      </c>
      <c r="I904" t="s">
        <v>115</v>
      </c>
      <c r="J904">
        <v>0.14000000000000001</v>
      </c>
      <c r="K904">
        <v>0.1515</v>
      </c>
      <c r="L904">
        <v>0.8</v>
      </c>
      <c r="M904">
        <v>0.1343</v>
      </c>
      <c r="N904">
        <v>0</v>
      </c>
      <c r="O904">
        <v>3</v>
      </c>
      <c r="P904">
        <v>3</v>
      </c>
    </row>
    <row r="905" spans="1:16" x14ac:dyDescent="0.35">
      <c r="A905">
        <v>904</v>
      </c>
      <c r="B905" s="37">
        <v>40584</v>
      </c>
      <c r="C905">
        <v>1</v>
      </c>
      <c r="D905">
        <v>0</v>
      </c>
      <c r="E905" t="s">
        <v>105</v>
      </c>
      <c r="F905">
        <v>4</v>
      </c>
      <c r="G905" t="b">
        <v>0</v>
      </c>
      <c r="H905" t="s">
        <v>111</v>
      </c>
      <c r="I905" t="s">
        <v>114</v>
      </c>
      <c r="J905">
        <v>0.14000000000000001</v>
      </c>
      <c r="K905">
        <v>0.13639999999999999</v>
      </c>
      <c r="L905">
        <v>0.59</v>
      </c>
      <c r="M905">
        <v>0.22389999999999999</v>
      </c>
      <c r="N905">
        <v>0</v>
      </c>
      <c r="O905">
        <v>1</v>
      </c>
      <c r="P905">
        <v>1</v>
      </c>
    </row>
    <row r="906" spans="1:16" x14ac:dyDescent="0.35">
      <c r="A906">
        <v>905</v>
      </c>
      <c r="B906" s="37">
        <v>40584</v>
      </c>
      <c r="C906">
        <v>1</v>
      </c>
      <c r="D906">
        <v>0</v>
      </c>
      <c r="E906" t="s">
        <v>105</v>
      </c>
      <c r="F906">
        <v>5</v>
      </c>
      <c r="G906" t="b">
        <v>0</v>
      </c>
      <c r="H906" t="s">
        <v>111</v>
      </c>
      <c r="I906" t="s">
        <v>114</v>
      </c>
      <c r="J906">
        <v>0.12</v>
      </c>
      <c r="K906">
        <v>0.1212</v>
      </c>
      <c r="L906">
        <v>0.5</v>
      </c>
      <c r="M906">
        <v>0.22389999999999999</v>
      </c>
      <c r="N906">
        <v>0</v>
      </c>
      <c r="O906">
        <v>6</v>
      </c>
      <c r="P906">
        <v>6</v>
      </c>
    </row>
    <row r="907" spans="1:16" x14ac:dyDescent="0.35">
      <c r="A907">
        <v>906</v>
      </c>
      <c r="B907" s="37">
        <v>40584</v>
      </c>
      <c r="C907">
        <v>1</v>
      </c>
      <c r="D907">
        <v>0</v>
      </c>
      <c r="E907" t="s">
        <v>105</v>
      </c>
      <c r="F907">
        <v>6</v>
      </c>
      <c r="G907" t="b">
        <v>0</v>
      </c>
      <c r="H907" t="s">
        <v>111</v>
      </c>
      <c r="I907" t="s">
        <v>114</v>
      </c>
      <c r="J907">
        <v>0.12</v>
      </c>
      <c r="K907">
        <v>0.1212</v>
      </c>
      <c r="L907">
        <v>0.54</v>
      </c>
      <c r="M907">
        <v>0.28360000000000002</v>
      </c>
      <c r="N907">
        <v>0</v>
      </c>
      <c r="O907">
        <v>26</v>
      </c>
      <c r="P907">
        <v>26</v>
      </c>
    </row>
    <row r="908" spans="1:16" x14ac:dyDescent="0.35">
      <c r="A908">
        <v>907</v>
      </c>
      <c r="B908" s="37">
        <v>40584</v>
      </c>
      <c r="C908">
        <v>1</v>
      </c>
      <c r="D908">
        <v>0</v>
      </c>
      <c r="E908" t="s">
        <v>105</v>
      </c>
      <c r="F908">
        <v>7</v>
      </c>
      <c r="G908" t="b">
        <v>0</v>
      </c>
      <c r="H908" t="s">
        <v>111</v>
      </c>
      <c r="I908" t="s">
        <v>113</v>
      </c>
      <c r="J908">
        <v>0.1</v>
      </c>
      <c r="K908">
        <v>7.5800000000000006E-2</v>
      </c>
      <c r="L908">
        <v>0.5</v>
      </c>
      <c r="M908">
        <v>0.41789999999999999</v>
      </c>
      <c r="N908">
        <v>0</v>
      </c>
      <c r="O908">
        <v>99</v>
      </c>
      <c r="P908">
        <v>99</v>
      </c>
    </row>
    <row r="909" spans="1:16" x14ac:dyDescent="0.35">
      <c r="A909">
        <v>908</v>
      </c>
      <c r="B909" s="37">
        <v>40584</v>
      </c>
      <c r="C909">
        <v>1</v>
      </c>
      <c r="D909">
        <v>0</v>
      </c>
      <c r="E909" t="s">
        <v>105</v>
      </c>
      <c r="F909">
        <v>8</v>
      </c>
      <c r="G909" t="b">
        <v>0</v>
      </c>
      <c r="H909" t="s">
        <v>111</v>
      </c>
      <c r="I909" t="s">
        <v>113</v>
      </c>
      <c r="J909">
        <v>0.1</v>
      </c>
      <c r="K909">
        <v>7.5800000000000006E-2</v>
      </c>
      <c r="L909">
        <v>0.49</v>
      </c>
      <c r="M909">
        <v>0.32840000000000003</v>
      </c>
      <c r="N909">
        <v>5</v>
      </c>
      <c r="O909">
        <v>173</v>
      </c>
      <c r="P909">
        <v>178</v>
      </c>
    </row>
    <row r="910" spans="1:16" x14ac:dyDescent="0.35">
      <c r="A910">
        <v>909</v>
      </c>
      <c r="B910" s="37">
        <v>40584</v>
      </c>
      <c r="C910">
        <v>1</v>
      </c>
      <c r="D910">
        <v>0</v>
      </c>
      <c r="E910" t="s">
        <v>105</v>
      </c>
      <c r="F910">
        <v>9</v>
      </c>
      <c r="G910" t="b">
        <v>0</v>
      </c>
      <c r="H910" t="s">
        <v>111</v>
      </c>
      <c r="I910" t="s">
        <v>113</v>
      </c>
      <c r="J910">
        <v>0.12</v>
      </c>
      <c r="K910">
        <v>0.1061</v>
      </c>
      <c r="L910">
        <v>0.42</v>
      </c>
      <c r="M910">
        <v>0.35820000000000002</v>
      </c>
      <c r="N910">
        <v>1</v>
      </c>
      <c r="O910">
        <v>121</v>
      </c>
      <c r="P910">
        <v>122</v>
      </c>
    </row>
    <row r="911" spans="1:16" x14ac:dyDescent="0.35">
      <c r="A911">
        <v>910</v>
      </c>
      <c r="B911" s="37">
        <v>40584</v>
      </c>
      <c r="C911">
        <v>1</v>
      </c>
      <c r="D911">
        <v>0</v>
      </c>
      <c r="E911" t="s">
        <v>105</v>
      </c>
      <c r="F911">
        <v>10</v>
      </c>
      <c r="G911" t="b">
        <v>0</v>
      </c>
      <c r="H911" t="s">
        <v>111</v>
      </c>
      <c r="I911" t="s">
        <v>113</v>
      </c>
      <c r="J911">
        <v>0.12</v>
      </c>
      <c r="K911">
        <v>0.1061</v>
      </c>
      <c r="L911">
        <v>0.42</v>
      </c>
      <c r="M911">
        <v>0.29849999999999999</v>
      </c>
      <c r="N911">
        <v>1</v>
      </c>
      <c r="O911">
        <v>34</v>
      </c>
      <c r="P911">
        <v>35</v>
      </c>
    </row>
    <row r="912" spans="1:16" x14ac:dyDescent="0.35">
      <c r="A912">
        <v>911</v>
      </c>
      <c r="B912" s="37">
        <v>40584</v>
      </c>
      <c r="C912">
        <v>1</v>
      </c>
      <c r="D912">
        <v>0</v>
      </c>
      <c r="E912" t="s">
        <v>105</v>
      </c>
      <c r="F912">
        <v>11</v>
      </c>
      <c r="G912" t="b">
        <v>0</v>
      </c>
      <c r="H912" t="s">
        <v>111</v>
      </c>
      <c r="I912" t="s">
        <v>113</v>
      </c>
      <c r="J912">
        <v>0.14000000000000001</v>
      </c>
      <c r="K912">
        <v>0.1212</v>
      </c>
      <c r="L912">
        <v>0.39</v>
      </c>
      <c r="M912">
        <v>0.35820000000000002</v>
      </c>
      <c r="N912">
        <v>1</v>
      </c>
      <c r="O912">
        <v>44</v>
      </c>
      <c r="P912">
        <v>45</v>
      </c>
    </row>
    <row r="913" spans="1:16" x14ac:dyDescent="0.35">
      <c r="A913">
        <v>912</v>
      </c>
      <c r="B913" s="37">
        <v>40584</v>
      </c>
      <c r="C913">
        <v>1</v>
      </c>
      <c r="D913">
        <v>0</v>
      </c>
      <c r="E913" t="s">
        <v>105</v>
      </c>
      <c r="F913">
        <v>12</v>
      </c>
      <c r="G913" t="b">
        <v>0</v>
      </c>
      <c r="H913" t="s">
        <v>111</v>
      </c>
      <c r="I913" t="s">
        <v>113</v>
      </c>
      <c r="J913">
        <v>0.16</v>
      </c>
      <c r="K913">
        <v>0.13639999999999999</v>
      </c>
      <c r="L913">
        <v>0.34</v>
      </c>
      <c r="M913">
        <v>0.3881</v>
      </c>
      <c r="N913">
        <v>4</v>
      </c>
      <c r="O913">
        <v>65</v>
      </c>
      <c r="P913">
        <v>69</v>
      </c>
    </row>
    <row r="914" spans="1:16" x14ac:dyDescent="0.35">
      <c r="A914">
        <v>913</v>
      </c>
      <c r="B914" s="37">
        <v>40584</v>
      </c>
      <c r="C914">
        <v>1</v>
      </c>
      <c r="D914">
        <v>0</v>
      </c>
      <c r="E914" t="s">
        <v>105</v>
      </c>
      <c r="F914">
        <v>13</v>
      </c>
      <c r="G914" t="b">
        <v>0</v>
      </c>
      <c r="H914" t="s">
        <v>111</v>
      </c>
      <c r="I914" t="s">
        <v>113</v>
      </c>
      <c r="J914">
        <v>0.18</v>
      </c>
      <c r="K914">
        <v>0.16669999999999999</v>
      </c>
      <c r="L914">
        <v>0.28999999999999998</v>
      </c>
      <c r="M914">
        <v>0.29849999999999999</v>
      </c>
      <c r="N914">
        <v>3</v>
      </c>
      <c r="O914">
        <v>59</v>
      </c>
      <c r="P914">
        <v>62</v>
      </c>
    </row>
    <row r="915" spans="1:16" x14ac:dyDescent="0.35">
      <c r="A915">
        <v>914</v>
      </c>
      <c r="B915" s="37">
        <v>40584</v>
      </c>
      <c r="C915">
        <v>1</v>
      </c>
      <c r="D915">
        <v>0</v>
      </c>
      <c r="E915" t="s">
        <v>105</v>
      </c>
      <c r="F915">
        <v>14</v>
      </c>
      <c r="G915" t="b">
        <v>0</v>
      </c>
      <c r="H915" t="s">
        <v>111</v>
      </c>
      <c r="I915" t="s">
        <v>113</v>
      </c>
      <c r="J915">
        <v>0.2</v>
      </c>
      <c r="K915">
        <v>0.18179999999999999</v>
      </c>
      <c r="L915">
        <v>0.27</v>
      </c>
      <c r="M915">
        <v>0.28360000000000002</v>
      </c>
      <c r="N915">
        <v>6</v>
      </c>
      <c r="O915">
        <v>42</v>
      </c>
      <c r="P915">
        <v>48</v>
      </c>
    </row>
    <row r="916" spans="1:16" x14ac:dyDescent="0.35">
      <c r="A916">
        <v>915</v>
      </c>
      <c r="B916" s="37">
        <v>40584</v>
      </c>
      <c r="C916">
        <v>1</v>
      </c>
      <c r="D916">
        <v>0</v>
      </c>
      <c r="E916" t="s">
        <v>105</v>
      </c>
      <c r="F916">
        <v>15</v>
      </c>
      <c r="G916" t="b">
        <v>0</v>
      </c>
      <c r="H916" t="s">
        <v>111</v>
      </c>
      <c r="I916" t="s">
        <v>113</v>
      </c>
      <c r="J916">
        <v>0.2</v>
      </c>
      <c r="K916">
        <v>0.19700000000000001</v>
      </c>
      <c r="L916">
        <v>0.25</v>
      </c>
      <c r="M916">
        <v>0.25369999999999998</v>
      </c>
      <c r="N916">
        <v>0</v>
      </c>
      <c r="O916">
        <v>50</v>
      </c>
      <c r="P916">
        <v>50</v>
      </c>
    </row>
    <row r="917" spans="1:16" x14ac:dyDescent="0.35">
      <c r="A917">
        <v>916</v>
      </c>
      <c r="B917" s="37">
        <v>40584</v>
      </c>
      <c r="C917">
        <v>1</v>
      </c>
      <c r="D917">
        <v>0</v>
      </c>
      <c r="E917" t="s">
        <v>105</v>
      </c>
      <c r="F917">
        <v>16</v>
      </c>
      <c r="G917" t="b">
        <v>0</v>
      </c>
      <c r="H917" t="s">
        <v>111</v>
      </c>
      <c r="I917" t="s">
        <v>113</v>
      </c>
      <c r="J917">
        <v>0.2</v>
      </c>
      <c r="K917">
        <v>0.18179999999999999</v>
      </c>
      <c r="L917">
        <v>0.27</v>
      </c>
      <c r="M917">
        <v>0.29849999999999999</v>
      </c>
      <c r="N917">
        <v>4</v>
      </c>
      <c r="O917">
        <v>76</v>
      </c>
      <c r="P917">
        <v>80</v>
      </c>
    </row>
    <row r="918" spans="1:16" x14ac:dyDescent="0.35">
      <c r="A918">
        <v>917</v>
      </c>
      <c r="B918" s="37">
        <v>40584</v>
      </c>
      <c r="C918">
        <v>1</v>
      </c>
      <c r="D918">
        <v>0</v>
      </c>
      <c r="E918" t="s">
        <v>105</v>
      </c>
      <c r="F918">
        <v>17</v>
      </c>
      <c r="G918" t="b">
        <v>0</v>
      </c>
      <c r="H918" t="s">
        <v>111</v>
      </c>
      <c r="I918" t="s">
        <v>113</v>
      </c>
      <c r="J918">
        <v>0.18</v>
      </c>
      <c r="K918">
        <v>0.18179999999999999</v>
      </c>
      <c r="L918">
        <v>0.26</v>
      </c>
      <c r="M918">
        <v>0.19400000000000001</v>
      </c>
      <c r="N918">
        <v>6</v>
      </c>
      <c r="O918">
        <v>159</v>
      </c>
      <c r="P918">
        <v>165</v>
      </c>
    </row>
    <row r="919" spans="1:16" x14ac:dyDescent="0.35">
      <c r="A919">
        <v>918</v>
      </c>
      <c r="B919" s="37">
        <v>40584</v>
      </c>
      <c r="C919">
        <v>1</v>
      </c>
      <c r="D919">
        <v>0</v>
      </c>
      <c r="E919" t="s">
        <v>105</v>
      </c>
      <c r="F919">
        <v>18</v>
      </c>
      <c r="G919" t="b">
        <v>0</v>
      </c>
      <c r="H919" t="s">
        <v>111</v>
      </c>
      <c r="I919" t="s">
        <v>113</v>
      </c>
      <c r="J919">
        <v>0.16</v>
      </c>
      <c r="K919">
        <v>0.18179999999999999</v>
      </c>
      <c r="L919">
        <v>0.28000000000000003</v>
      </c>
      <c r="M919">
        <v>0.1343</v>
      </c>
      <c r="N919">
        <v>3</v>
      </c>
      <c r="O919">
        <v>157</v>
      </c>
      <c r="P919">
        <v>160</v>
      </c>
    </row>
    <row r="920" spans="1:16" x14ac:dyDescent="0.35">
      <c r="A920">
        <v>919</v>
      </c>
      <c r="B920" s="37">
        <v>40584</v>
      </c>
      <c r="C920">
        <v>1</v>
      </c>
      <c r="D920">
        <v>0</v>
      </c>
      <c r="E920" t="s">
        <v>105</v>
      </c>
      <c r="F920">
        <v>19</v>
      </c>
      <c r="G920" t="b">
        <v>0</v>
      </c>
      <c r="H920" t="s">
        <v>111</v>
      </c>
      <c r="I920" t="s">
        <v>113</v>
      </c>
      <c r="J920">
        <v>0.14000000000000001</v>
      </c>
      <c r="K920">
        <v>0.16669999999999999</v>
      </c>
      <c r="L920">
        <v>0.28000000000000003</v>
      </c>
      <c r="M920">
        <v>0.1045</v>
      </c>
      <c r="N920">
        <v>2</v>
      </c>
      <c r="O920">
        <v>110</v>
      </c>
      <c r="P920">
        <v>112</v>
      </c>
    </row>
    <row r="921" spans="1:16" x14ac:dyDescent="0.35">
      <c r="A921">
        <v>920</v>
      </c>
      <c r="B921" s="37">
        <v>40584</v>
      </c>
      <c r="C921">
        <v>1</v>
      </c>
      <c r="D921">
        <v>0</v>
      </c>
      <c r="E921" t="s">
        <v>105</v>
      </c>
      <c r="F921">
        <v>20</v>
      </c>
      <c r="G921" t="b">
        <v>0</v>
      </c>
      <c r="H921" t="s">
        <v>111</v>
      </c>
      <c r="I921" t="s">
        <v>113</v>
      </c>
      <c r="J921">
        <v>0.14000000000000001</v>
      </c>
      <c r="K921">
        <v>0.18179999999999999</v>
      </c>
      <c r="L921">
        <v>0.31</v>
      </c>
      <c r="M921">
        <v>8.9599999999999999E-2</v>
      </c>
      <c r="N921">
        <v>4</v>
      </c>
      <c r="O921">
        <v>93</v>
      </c>
      <c r="P921">
        <v>97</v>
      </c>
    </row>
    <row r="922" spans="1:16" x14ac:dyDescent="0.35">
      <c r="A922">
        <v>921</v>
      </c>
      <c r="B922" s="37">
        <v>40584</v>
      </c>
      <c r="C922">
        <v>1</v>
      </c>
      <c r="D922">
        <v>0</v>
      </c>
      <c r="E922" t="s">
        <v>105</v>
      </c>
      <c r="F922">
        <v>21</v>
      </c>
      <c r="G922" t="b">
        <v>0</v>
      </c>
      <c r="H922" t="s">
        <v>111</v>
      </c>
      <c r="I922" t="s">
        <v>113</v>
      </c>
      <c r="J922">
        <v>0.14000000000000001</v>
      </c>
      <c r="K922">
        <v>0.21210000000000001</v>
      </c>
      <c r="L922">
        <v>0.39</v>
      </c>
      <c r="M922">
        <v>0</v>
      </c>
      <c r="N922">
        <v>2</v>
      </c>
      <c r="O922">
        <v>70</v>
      </c>
      <c r="P922">
        <v>72</v>
      </c>
    </row>
    <row r="923" spans="1:16" x14ac:dyDescent="0.35">
      <c r="A923">
        <v>922</v>
      </c>
      <c r="B923" s="37">
        <v>40584</v>
      </c>
      <c r="C923">
        <v>1</v>
      </c>
      <c r="D923">
        <v>0</v>
      </c>
      <c r="E923" t="s">
        <v>105</v>
      </c>
      <c r="F923">
        <v>22</v>
      </c>
      <c r="G923" t="b">
        <v>0</v>
      </c>
      <c r="H923" t="s">
        <v>111</v>
      </c>
      <c r="I923" t="s">
        <v>113</v>
      </c>
      <c r="J923">
        <v>0.12</v>
      </c>
      <c r="K923">
        <v>0.19700000000000001</v>
      </c>
      <c r="L923">
        <v>0.39</v>
      </c>
      <c r="M923">
        <v>0</v>
      </c>
      <c r="N923">
        <v>4</v>
      </c>
      <c r="O923">
        <v>47</v>
      </c>
      <c r="P923">
        <v>51</v>
      </c>
    </row>
    <row r="924" spans="1:16" x14ac:dyDescent="0.35">
      <c r="A924">
        <v>923</v>
      </c>
      <c r="B924" s="37">
        <v>40584</v>
      </c>
      <c r="C924">
        <v>1</v>
      </c>
      <c r="D924">
        <v>0</v>
      </c>
      <c r="E924" t="s">
        <v>105</v>
      </c>
      <c r="F924">
        <v>23</v>
      </c>
      <c r="G924" t="b">
        <v>0</v>
      </c>
      <c r="H924" t="s">
        <v>111</v>
      </c>
      <c r="I924" t="s">
        <v>113</v>
      </c>
      <c r="J924">
        <v>0.12</v>
      </c>
      <c r="K924">
        <v>0.1515</v>
      </c>
      <c r="L924">
        <v>0.42</v>
      </c>
      <c r="M924">
        <v>0.1045</v>
      </c>
      <c r="N924">
        <v>1</v>
      </c>
      <c r="O924">
        <v>33</v>
      </c>
      <c r="P924">
        <v>34</v>
      </c>
    </row>
    <row r="925" spans="1:16" x14ac:dyDescent="0.35">
      <c r="A925">
        <v>924</v>
      </c>
      <c r="B925" s="37">
        <v>40585</v>
      </c>
      <c r="C925">
        <v>1</v>
      </c>
      <c r="D925">
        <v>0</v>
      </c>
      <c r="E925" t="s">
        <v>105</v>
      </c>
      <c r="F925">
        <v>0</v>
      </c>
      <c r="G925" t="b">
        <v>0</v>
      </c>
      <c r="H925" t="s">
        <v>112</v>
      </c>
      <c r="I925" t="s">
        <v>113</v>
      </c>
      <c r="J925">
        <v>0.1</v>
      </c>
      <c r="K925">
        <v>0.13639999999999999</v>
      </c>
      <c r="L925">
        <v>0.49</v>
      </c>
      <c r="M925">
        <v>0.1045</v>
      </c>
      <c r="N925">
        <v>2</v>
      </c>
      <c r="O925">
        <v>12</v>
      </c>
      <c r="P925">
        <v>14</v>
      </c>
    </row>
    <row r="926" spans="1:16" x14ac:dyDescent="0.35">
      <c r="A926">
        <v>925</v>
      </c>
      <c r="B926" s="37">
        <v>40585</v>
      </c>
      <c r="C926">
        <v>1</v>
      </c>
      <c r="D926">
        <v>0</v>
      </c>
      <c r="E926" t="s">
        <v>105</v>
      </c>
      <c r="F926">
        <v>1</v>
      </c>
      <c r="G926" t="b">
        <v>0</v>
      </c>
      <c r="H926" t="s">
        <v>112</v>
      </c>
      <c r="I926" t="s">
        <v>113</v>
      </c>
      <c r="J926">
        <v>0.1</v>
      </c>
      <c r="K926">
        <v>0.13639999999999999</v>
      </c>
      <c r="L926">
        <v>0.54</v>
      </c>
      <c r="M926">
        <v>8.9599999999999999E-2</v>
      </c>
      <c r="N926">
        <v>1</v>
      </c>
      <c r="O926">
        <v>6</v>
      </c>
      <c r="P926">
        <v>7</v>
      </c>
    </row>
    <row r="927" spans="1:16" x14ac:dyDescent="0.35">
      <c r="A927">
        <v>926</v>
      </c>
      <c r="B927" s="37">
        <v>40585</v>
      </c>
      <c r="C927">
        <v>1</v>
      </c>
      <c r="D927">
        <v>0</v>
      </c>
      <c r="E927" t="s">
        <v>105</v>
      </c>
      <c r="F927">
        <v>2</v>
      </c>
      <c r="G927" t="b">
        <v>0</v>
      </c>
      <c r="H927" t="s">
        <v>112</v>
      </c>
      <c r="I927" t="s">
        <v>113</v>
      </c>
      <c r="J927">
        <v>0.1</v>
      </c>
      <c r="K927">
        <v>0.13639999999999999</v>
      </c>
      <c r="L927">
        <v>0.54</v>
      </c>
      <c r="M927">
        <v>8.9599999999999999E-2</v>
      </c>
      <c r="N927">
        <v>0</v>
      </c>
      <c r="O927">
        <v>3</v>
      </c>
      <c r="P927">
        <v>3</v>
      </c>
    </row>
    <row r="928" spans="1:16" x14ac:dyDescent="0.35">
      <c r="A928">
        <v>927</v>
      </c>
      <c r="B928" s="37">
        <v>40585</v>
      </c>
      <c r="C928">
        <v>1</v>
      </c>
      <c r="D928">
        <v>0</v>
      </c>
      <c r="E928" t="s">
        <v>105</v>
      </c>
      <c r="F928">
        <v>5</v>
      </c>
      <c r="G928" t="b">
        <v>0</v>
      </c>
      <c r="H928" t="s">
        <v>112</v>
      </c>
      <c r="I928" t="s">
        <v>113</v>
      </c>
      <c r="J928">
        <v>0.08</v>
      </c>
      <c r="K928">
        <v>0.1212</v>
      </c>
      <c r="L928">
        <v>0.63</v>
      </c>
      <c r="M928">
        <v>8.9599999999999999E-2</v>
      </c>
      <c r="N928">
        <v>0</v>
      </c>
      <c r="O928">
        <v>4</v>
      </c>
      <c r="P928">
        <v>4</v>
      </c>
    </row>
    <row r="929" spans="1:16" x14ac:dyDescent="0.35">
      <c r="A929">
        <v>928</v>
      </c>
      <c r="B929" s="37">
        <v>40585</v>
      </c>
      <c r="C929">
        <v>1</v>
      </c>
      <c r="D929">
        <v>0</v>
      </c>
      <c r="E929" t="s">
        <v>105</v>
      </c>
      <c r="F929">
        <v>6</v>
      </c>
      <c r="G929" t="b">
        <v>0</v>
      </c>
      <c r="H929" t="s">
        <v>112</v>
      </c>
      <c r="I929" t="s">
        <v>113</v>
      </c>
      <c r="J929">
        <v>0.1</v>
      </c>
      <c r="K929">
        <v>0.18179999999999999</v>
      </c>
      <c r="L929">
        <v>0.68</v>
      </c>
      <c r="M929">
        <v>0</v>
      </c>
      <c r="N929">
        <v>1</v>
      </c>
      <c r="O929">
        <v>23</v>
      </c>
      <c r="P929">
        <v>24</v>
      </c>
    </row>
    <row r="930" spans="1:16" x14ac:dyDescent="0.35">
      <c r="A930">
        <v>929</v>
      </c>
      <c r="B930" s="37">
        <v>40585</v>
      </c>
      <c r="C930">
        <v>1</v>
      </c>
      <c r="D930">
        <v>0</v>
      </c>
      <c r="E930" t="s">
        <v>105</v>
      </c>
      <c r="F930">
        <v>7</v>
      </c>
      <c r="G930" t="b">
        <v>0</v>
      </c>
      <c r="H930" t="s">
        <v>112</v>
      </c>
      <c r="I930" t="s">
        <v>113</v>
      </c>
      <c r="J930">
        <v>0.08</v>
      </c>
      <c r="K930">
        <v>0.16669999999999999</v>
      </c>
      <c r="L930">
        <v>0.73</v>
      </c>
      <c r="M930">
        <v>0</v>
      </c>
      <c r="N930">
        <v>1</v>
      </c>
      <c r="O930">
        <v>73</v>
      </c>
      <c r="P930">
        <v>74</v>
      </c>
    </row>
    <row r="931" spans="1:16" x14ac:dyDescent="0.35">
      <c r="A931">
        <v>930</v>
      </c>
      <c r="B931" s="37">
        <v>40585</v>
      </c>
      <c r="C931">
        <v>1</v>
      </c>
      <c r="D931">
        <v>0</v>
      </c>
      <c r="E931" t="s">
        <v>105</v>
      </c>
      <c r="F931">
        <v>8</v>
      </c>
      <c r="G931" t="b">
        <v>0</v>
      </c>
      <c r="H931" t="s">
        <v>112</v>
      </c>
      <c r="I931" t="s">
        <v>113</v>
      </c>
      <c r="J931">
        <v>0.1</v>
      </c>
      <c r="K931">
        <v>0.1212</v>
      </c>
      <c r="L931">
        <v>0.74</v>
      </c>
      <c r="M931">
        <v>0.16420000000000001</v>
      </c>
      <c r="N931">
        <v>4</v>
      </c>
      <c r="O931">
        <v>212</v>
      </c>
      <c r="P931">
        <v>216</v>
      </c>
    </row>
    <row r="932" spans="1:16" x14ac:dyDescent="0.35">
      <c r="A932">
        <v>931</v>
      </c>
      <c r="B932" s="37">
        <v>40585</v>
      </c>
      <c r="C932">
        <v>1</v>
      </c>
      <c r="D932">
        <v>0</v>
      </c>
      <c r="E932" t="s">
        <v>105</v>
      </c>
      <c r="F932">
        <v>9</v>
      </c>
      <c r="G932" t="b">
        <v>0</v>
      </c>
      <c r="H932" t="s">
        <v>112</v>
      </c>
      <c r="I932" t="s">
        <v>113</v>
      </c>
      <c r="J932">
        <v>0.12</v>
      </c>
      <c r="K932">
        <v>0.1212</v>
      </c>
      <c r="L932">
        <v>0.74</v>
      </c>
      <c r="M932">
        <v>0.22389999999999999</v>
      </c>
      <c r="N932">
        <v>8</v>
      </c>
      <c r="O932">
        <v>132</v>
      </c>
      <c r="P932">
        <v>140</v>
      </c>
    </row>
    <row r="933" spans="1:16" x14ac:dyDescent="0.35">
      <c r="A933">
        <v>932</v>
      </c>
      <c r="B933" s="37">
        <v>40585</v>
      </c>
      <c r="C933">
        <v>1</v>
      </c>
      <c r="D933">
        <v>0</v>
      </c>
      <c r="E933" t="s">
        <v>105</v>
      </c>
      <c r="F933">
        <v>10</v>
      </c>
      <c r="G933" t="b">
        <v>0</v>
      </c>
      <c r="H933" t="s">
        <v>112</v>
      </c>
      <c r="I933" t="s">
        <v>113</v>
      </c>
      <c r="J933">
        <v>0.14000000000000001</v>
      </c>
      <c r="K933">
        <v>0.13639999999999999</v>
      </c>
      <c r="L933">
        <v>0.69</v>
      </c>
      <c r="M933">
        <v>0.19400000000000001</v>
      </c>
      <c r="N933">
        <v>5</v>
      </c>
      <c r="O933">
        <v>39</v>
      </c>
      <c r="P933">
        <v>44</v>
      </c>
    </row>
    <row r="934" spans="1:16" x14ac:dyDescent="0.35">
      <c r="A934">
        <v>933</v>
      </c>
      <c r="B934" s="37">
        <v>40585</v>
      </c>
      <c r="C934">
        <v>1</v>
      </c>
      <c r="D934">
        <v>0</v>
      </c>
      <c r="E934" t="s">
        <v>105</v>
      </c>
      <c r="F934">
        <v>11</v>
      </c>
      <c r="G934" t="b">
        <v>0</v>
      </c>
      <c r="H934" t="s">
        <v>112</v>
      </c>
      <c r="I934" t="s">
        <v>113</v>
      </c>
      <c r="J934">
        <v>0.22</v>
      </c>
      <c r="K934">
        <v>0.2273</v>
      </c>
      <c r="L934">
        <v>0.47</v>
      </c>
      <c r="M934">
        <v>0.1343</v>
      </c>
      <c r="N934">
        <v>12</v>
      </c>
      <c r="O934">
        <v>52</v>
      </c>
      <c r="P934">
        <v>64</v>
      </c>
    </row>
    <row r="935" spans="1:16" x14ac:dyDescent="0.35">
      <c r="A935">
        <v>934</v>
      </c>
      <c r="B935" s="37">
        <v>40585</v>
      </c>
      <c r="C935">
        <v>1</v>
      </c>
      <c r="D935">
        <v>0</v>
      </c>
      <c r="E935" t="s">
        <v>105</v>
      </c>
      <c r="F935">
        <v>12</v>
      </c>
      <c r="G935" t="b">
        <v>0</v>
      </c>
      <c r="H935" t="s">
        <v>112</v>
      </c>
      <c r="I935" t="s">
        <v>113</v>
      </c>
      <c r="J935">
        <v>0.22</v>
      </c>
      <c r="K935">
        <v>0.2273</v>
      </c>
      <c r="L935">
        <v>0.47</v>
      </c>
      <c r="M935">
        <v>0.1343</v>
      </c>
      <c r="N935">
        <v>7</v>
      </c>
      <c r="O935">
        <v>64</v>
      </c>
      <c r="P935">
        <v>71</v>
      </c>
    </row>
    <row r="936" spans="1:16" x14ac:dyDescent="0.35">
      <c r="A936">
        <v>935</v>
      </c>
      <c r="B936" s="37">
        <v>40585</v>
      </c>
      <c r="C936">
        <v>1</v>
      </c>
      <c r="D936">
        <v>0</v>
      </c>
      <c r="E936" t="s">
        <v>105</v>
      </c>
      <c r="F936">
        <v>13</v>
      </c>
      <c r="G936" t="b">
        <v>0</v>
      </c>
      <c r="H936" t="s">
        <v>112</v>
      </c>
      <c r="I936" t="s">
        <v>113</v>
      </c>
      <c r="J936">
        <v>0.24</v>
      </c>
      <c r="K936">
        <v>0.2273</v>
      </c>
      <c r="L936">
        <v>0.35</v>
      </c>
      <c r="M936">
        <v>0.19400000000000001</v>
      </c>
      <c r="N936">
        <v>21</v>
      </c>
      <c r="O936">
        <v>89</v>
      </c>
      <c r="P936">
        <v>110</v>
      </c>
    </row>
    <row r="937" spans="1:16" x14ac:dyDescent="0.35">
      <c r="A937">
        <v>936</v>
      </c>
      <c r="B937" s="37">
        <v>40585</v>
      </c>
      <c r="C937">
        <v>1</v>
      </c>
      <c r="D937">
        <v>0</v>
      </c>
      <c r="E937" t="s">
        <v>105</v>
      </c>
      <c r="F937">
        <v>14</v>
      </c>
      <c r="G937" t="b">
        <v>0</v>
      </c>
      <c r="H937" t="s">
        <v>112</v>
      </c>
      <c r="I937" t="s">
        <v>113</v>
      </c>
      <c r="J937">
        <v>0.3</v>
      </c>
      <c r="K937">
        <v>0.28789999999999999</v>
      </c>
      <c r="L937">
        <v>0.26</v>
      </c>
      <c r="M937">
        <v>0.25369999999999998</v>
      </c>
      <c r="N937">
        <v>17</v>
      </c>
      <c r="O937">
        <v>67</v>
      </c>
      <c r="P937">
        <v>84</v>
      </c>
    </row>
    <row r="938" spans="1:16" x14ac:dyDescent="0.35">
      <c r="A938">
        <v>937</v>
      </c>
      <c r="B938" s="37">
        <v>40585</v>
      </c>
      <c r="C938">
        <v>1</v>
      </c>
      <c r="D938">
        <v>0</v>
      </c>
      <c r="E938" t="s">
        <v>105</v>
      </c>
      <c r="F938">
        <v>15</v>
      </c>
      <c r="G938" t="b">
        <v>0</v>
      </c>
      <c r="H938" t="s">
        <v>112</v>
      </c>
      <c r="I938" t="s">
        <v>113</v>
      </c>
      <c r="J938">
        <v>0.32</v>
      </c>
      <c r="K938">
        <v>0.31819999999999998</v>
      </c>
      <c r="L938">
        <v>0.21</v>
      </c>
      <c r="M938">
        <v>0.16420000000000001</v>
      </c>
      <c r="N938">
        <v>12</v>
      </c>
      <c r="O938">
        <v>62</v>
      </c>
      <c r="P938">
        <v>74</v>
      </c>
    </row>
    <row r="939" spans="1:16" x14ac:dyDescent="0.35">
      <c r="A939">
        <v>938</v>
      </c>
      <c r="B939" s="37">
        <v>40585</v>
      </c>
      <c r="C939">
        <v>1</v>
      </c>
      <c r="D939">
        <v>0</v>
      </c>
      <c r="E939" t="s">
        <v>105</v>
      </c>
      <c r="F939">
        <v>16</v>
      </c>
      <c r="G939" t="b">
        <v>0</v>
      </c>
      <c r="H939" t="s">
        <v>112</v>
      </c>
      <c r="I939" t="s">
        <v>113</v>
      </c>
      <c r="J939">
        <v>0.3</v>
      </c>
      <c r="K939">
        <v>0.28789999999999999</v>
      </c>
      <c r="L939">
        <v>0.28000000000000003</v>
      </c>
      <c r="M939">
        <v>0.19400000000000001</v>
      </c>
      <c r="N939">
        <v>14</v>
      </c>
      <c r="O939">
        <v>111</v>
      </c>
      <c r="P939">
        <v>125</v>
      </c>
    </row>
    <row r="940" spans="1:16" x14ac:dyDescent="0.35">
      <c r="A940">
        <v>939</v>
      </c>
      <c r="B940" s="37">
        <v>40585</v>
      </c>
      <c r="C940">
        <v>1</v>
      </c>
      <c r="D940">
        <v>0</v>
      </c>
      <c r="E940" t="s">
        <v>105</v>
      </c>
      <c r="F940">
        <v>17</v>
      </c>
      <c r="G940" t="b">
        <v>0</v>
      </c>
      <c r="H940" t="s">
        <v>112</v>
      </c>
      <c r="I940" t="s">
        <v>113</v>
      </c>
      <c r="J940">
        <v>0.3</v>
      </c>
      <c r="K940">
        <v>0.33329999999999999</v>
      </c>
      <c r="L940">
        <v>0.24</v>
      </c>
      <c r="M940">
        <v>0</v>
      </c>
      <c r="N940">
        <v>18</v>
      </c>
      <c r="O940">
        <v>193</v>
      </c>
      <c r="P940">
        <v>211</v>
      </c>
    </row>
    <row r="941" spans="1:16" x14ac:dyDescent="0.35">
      <c r="A941">
        <v>940</v>
      </c>
      <c r="B941" s="37">
        <v>40585</v>
      </c>
      <c r="C941">
        <v>1</v>
      </c>
      <c r="D941">
        <v>0</v>
      </c>
      <c r="E941" t="s">
        <v>105</v>
      </c>
      <c r="F941">
        <v>18</v>
      </c>
      <c r="G941" t="b">
        <v>0</v>
      </c>
      <c r="H941" t="s">
        <v>112</v>
      </c>
      <c r="I941" t="s">
        <v>113</v>
      </c>
      <c r="J941">
        <v>0.28000000000000003</v>
      </c>
      <c r="K941">
        <v>0.31819999999999998</v>
      </c>
      <c r="L941">
        <v>0.28000000000000003</v>
      </c>
      <c r="M941">
        <v>0</v>
      </c>
      <c r="N941">
        <v>9</v>
      </c>
      <c r="O941">
        <v>165</v>
      </c>
      <c r="P941">
        <v>174</v>
      </c>
    </row>
    <row r="942" spans="1:16" x14ac:dyDescent="0.35">
      <c r="A942">
        <v>941</v>
      </c>
      <c r="B942" s="37">
        <v>40585</v>
      </c>
      <c r="C942">
        <v>1</v>
      </c>
      <c r="D942">
        <v>0</v>
      </c>
      <c r="E942" t="s">
        <v>105</v>
      </c>
      <c r="F942">
        <v>19</v>
      </c>
      <c r="G942" t="b">
        <v>0</v>
      </c>
      <c r="H942" t="s">
        <v>112</v>
      </c>
      <c r="I942" t="s">
        <v>113</v>
      </c>
      <c r="J942">
        <v>0.26</v>
      </c>
      <c r="K942">
        <v>0.30299999999999999</v>
      </c>
      <c r="L942">
        <v>0.33</v>
      </c>
      <c r="M942">
        <v>0</v>
      </c>
      <c r="N942">
        <v>7</v>
      </c>
      <c r="O942">
        <v>94</v>
      </c>
      <c r="P942">
        <v>101</v>
      </c>
    </row>
    <row r="943" spans="1:16" x14ac:dyDescent="0.35">
      <c r="A943">
        <v>942</v>
      </c>
      <c r="B943" s="37">
        <v>40585</v>
      </c>
      <c r="C943">
        <v>1</v>
      </c>
      <c r="D943">
        <v>0</v>
      </c>
      <c r="E943" t="s">
        <v>105</v>
      </c>
      <c r="F943">
        <v>20</v>
      </c>
      <c r="G943" t="b">
        <v>0</v>
      </c>
      <c r="H943" t="s">
        <v>112</v>
      </c>
      <c r="I943" t="s">
        <v>113</v>
      </c>
      <c r="J943">
        <v>0.22</v>
      </c>
      <c r="K943">
        <v>0.2273</v>
      </c>
      <c r="L943">
        <v>0.55000000000000004</v>
      </c>
      <c r="M943">
        <v>0.1343</v>
      </c>
      <c r="N943">
        <v>2</v>
      </c>
      <c r="O943">
        <v>61</v>
      </c>
      <c r="P943">
        <v>63</v>
      </c>
    </row>
    <row r="944" spans="1:16" x14ac:dyDescent="0.35">
      <c r="A944">
        <v>943</v>
      </c>
      <c r="B944" s="37">
        <v>40585</v>
      </c>
      <c r="C944">
        <v>1</v>
      </c>
      <c r="D944">
        <v>0</v>
      </c>
      <c r="E944" t="s">
        <v>105</v>
      </c>
      <c r="F944">
        <v>21</v>
      </c>
      <c r="G944" t="b">
        <v>0</v>
      </c>
      <c r="H944" t="s">
        <v>112</v>
      </c>
      <c r="I944" t="s">
        <v>113</v>
      </c>
      <c r="J944">
        <v>0.2</v>
      </c>
      <c r="K944">
        <v>0.21210000000000001</v>
      </c>
      <c r="L944">
        <v>0.59</v>
      </c>
      <c r="M944">
        <v>0.1343</v>
      </c>
      <c r="N944">
        <v>1</v>
      </c>
      <c r="O944">
        <v>46</v>
      </c>
      <c r="P944">
        <v>47</v>
      </c>
    </row>
    <row r="945" spans="1:16" x14ac:dyDescent="0.35">
      <c r="A945">
        <v>944</v>
      </c>
      <c r="B945" s="37">
        <v>40585</v>
      </c>
      <c r="C945">
        <v>1</v>
      </c>
      <c r="D945">
        <v>0</v>
      </c>
      <c r="E945" t="s">
        <v>105</v>
      </c>
      <c r="F945">
        <v>22</v>
      </c>
      <c r="G945" t="b">
        <v>0</v>
      </c>
      <c r="H945" t="s">
        <v>112</v>
      </c>
      <c r="I945" t="s">
        <v>113</v>
      </c>
      <c r="J945">
        <v>0.2</v>
      </c>
      <c r="K945">
        <v>0.2273</v>
      </c>
      <c r="L945">
        <v>0.64</v>
      </c>
      <c r="M945">
        <v>8.9599999999999999E-2</v>
      </c>
      <c r="N945">
        <v>2</v>
      </c>
      <c r="O945">
        <v>41</v>
      </c>
      <c r="P945">
        <v>43</v>
      </c>
    </row>
    <row r="946" spans="1:16" x14ac:dyDescent="0.35">
      <c r="A946">
        <v>945</v>
      </c>
      <c r="B946" s="37">
        <v>40585</v>
      </c>
      <c r="C946">
        <v>1</v>
      </c>
      <c r="D946">
        <v>0</v>
      </c>
      <c r="E946" t="s">
        <v>105</v>
      </c>
      <c r="F946">
        <v>23</v>
      </c>
      <c r="G946" t="b">
        <v>0</v>
      </c>
      <c r="H946" t="s">
        <v>112</v>
      </c>
      <c r="I946" t="s">
        <v>113</v>
      </c>
      <c r="J946">
        <v>0.18</v>
      </c>
      <c r="K946">
        <v>0.2424</v>
      </c>
      <c r="L946">
        <v>0.69</v>
      </c>
      <c r="M946">
        <v>0</v>
      </c>
      <c r="N946">
        <v>5</v>
      </c>
      <c r="O946">
        <v>48</v>
      </c>
      <c r="P946">
        <v>53</v>
      </c>
    </row>
    <row r="947" spans="1:16" x14ac:dyDescent="0.35">
      <c r="A947">
        <v>946</v>
      </c>
      <c r="B947" s="37">
        <v>40586</v>
      </c>
      <c r="C947">
        <v>1</v>
      </c>
      <c r="D947">
        <v>0</v>
      </c>
      <c r="E947" t="s">
        <v>105</v>
      </c>
      <c r="F947">
        <v>0</v>
      </c>
      <c r="G947" t="b">
        <v>0</v>
      </c>
      <c r="H947" t="s">
        <v>106</v>
      </c>
      <c r="I947" t="s">
        <v>113</v>
      </c>
      <c r="J947">
        <v>0.16</v>
      </c>
      <c r="K947">
        <v>0.19700000000000001</v>
      </c>
      <c r="L947">
        <v>0.69</v>
      </c>
      <c r="M947">
        <v>8.9599999999999999E-2</v>
      </c>
      <c r="N947">
        <v>3</v>
      </c>
      <c r="O947">
        <v>27</v>
      </c>
      <c r="P947">
        <v>30</v>
      </c>
    </row>
    <row r="948" spans="1:16" x14ac:dyDescent="0.35">
      <c r="A948">
        <v>947</v>
      </c>
      <c r="B948" s="37">
        <v>40586</v>
      </c>
      <c r="C948">
        <v>1</v>
      </c>
      <c r="D948">
        <v>0</v>
      </c>
      <c r="E948" t="s">
        <v>105</v>
      </c>
      <c r="F948">
        <v>1</v>
      </c>
      <c r="G948" t="b">
        <v>0</v>
      </c>
      <c r="H948" t="s">
        <v>106</v>
      </c>
      <c r="I948" t="s">
        <v>113</v>
      </c>
      <c r="J948">
        <v>0.14000000000000001</v>
      </c>
      <c r="K948">
        <v>0.21210000000000001</v>
      </c>
      <c r="L948">
        <v>0.86</v>
      </c>
      <c r="M948">
        <v>0</v>
      </c>
      <c r="N948">
        <v>2</v>
      </c>
      <c r="O948">
        <v>22</v>
      </c>
      <c r="P948">
        <v>24</v>
      </c>
    </row>
    <row r="949" spans="1:16" x14ac:dyDescent="0.35">
      <c r="A949">
        <v>948</v>
      </c>
      <c r="B949" s="37">
        <v>40586</v>
      </c>
      <c r="C949">
        <v>1</v>
      </c>
      <c r="D949">
        <v>0</v>
      </c>
      <c r="E949" t="s">
        <v>105</v>
      </c>
      <c r="F949">
        <v>2</v>
      </c>
      <c r="G949" t="b">
        <v>0</v>
      </c>
      <c r="H949" t="s">
        <v>106</v>
      </c>
      <c r="I949" t="s">
        <v>113</v>
      </c>
      <c r="J949">
        <v>0.14000000000000001</v>
      </c>
      <c r="K949">
        <v>0.21210000000000001</v>
      </c>
      <c r="L949">
        <v>0.8</v>
      </c>
      <c r="M949">
        <v>0</v>
      </c>
      <c r="N949">
        <v>2</v>
      </c>
      <c r="O949">
        <v>13</v>
      </c>
      <c r="P949">
        <v>15</v>
      </c>
    </row>
    <row r="950" spans="1:16" x14ac:dyDescent="0.35">
      <c r="A950">
        <v>949</v>
      </c>
      <c r="B950" s="37">
        <v>40586</v>
      </c>
      <c r="C950">
        <v>1</v>
      </c>
      <c r="D950">
        <v>0</v>
      </c>
      <c r="E950" t="s">
        <v>105</v>
      </c>
      <c r="F950">
        <v>3</v>
      </c>
      <c r="G950" t="b">
        <v>0</v>
      </c>
      <c r="H950" t="s">
        <v>106</v>
      </c>
      <c r="I950" t="s">
        <v>113</v>
      </c>
      <c r="J950">
        <v>0.12</v>
      </c>
      <c r="K950">
        <v>0.19700000000000001</v>
      </c>
      <c r="L950">
        <v>0.8</v>
      </c>
      <c r="M950">
        <v>0</v>
      </c>
      <c r="N950">
        <v>3</v>
      </c>
      <c r="O950">
        <v>7</v>
      </c>
      <c r="P950">
        <v>10</v>
      </c>
    </row>
    <row r="951" spans="1:16" x14ac:dyDescent="0.35">
      <c r="A951">
        <v>950</v>
      </c>
      <c r="B951" s="37">
        <v>40586</v>
      </c>
      <c r="C951">
        <v>1</v>
      </c>
      <c r="D951">
        <v>0</v>
      </c>
      <c r="E951" t="s">
        <v>105</v>
      </c>
      <c r="F951">
        <v>4</v>
      </c>
      <c r="G951" t="b">
        <v>0</v>
      </c>
      <c r="H951" t="s">
        <v>106</v>
      </c>
      <c r="I951" t="s">
        <v>113</v>
      </c>
      <c r="J951">
        <v>0.12</v>
      </c>
      <c r="K951">
        <v>0.16669999999999999</v>
      </c>
      <c r="L951">
        <v>0.74</v>
      </c>
      <c r="M951">
        <v>8.9599999999999999E-2</v>
      </c>
      <c r="N951">
        <v>0</v>
      </c>
      <c r="O951">
        <v>4</v>
      </c>
      <c r="P951">
        <v>4</v>
      </c>
    </row>
    <row r="952" spans="1:16" x14ac:dyDescent="0.35">
      <c r="A952">
        <v>951</v>
      </c>
      <c r="B952" s="37">
        <v>40586</v>
      </c>
      <c r="C952">
        <v>1</v>
      </c>
      <c r="D952">
        <v>0</v>
      </c>
      <c r="E952" t="s">
        <v>105</v>
      </c>
      <c r="F952">
        <v>5</v>
      </c>
      <c r="G952" t="b">
        <v>0</v>
      </c>
      <c r="H952" t="s">
        <v>106</v>
      </c>
      <c r="I952" t="s">
        <v>113</v>
      </c>
      <c r="J952">
        <v>0.12</v>
      </c>
      <c r="K952">
        <v>0.16669999999999999</v>
      </c>
      <c r="L952">
        <v>0.74</v>
      </c>
      <c r="M952">
        <v>8.9599999999999999E-2</v>
      </c>
      <c r="N952">
        <v>0</v>
      </c>
      <c r="O952">
        <v>1</v>
      </c>
      <c r="P952">
        <v>1</v>
      </c>
    </row>
    <row r="953" spans="1:16" x14ac:dyDescent="0.35">
      <c r="A953">
        <v>952</v>
      </c>
      <c r="B953" s="37">
        <v>40586</v>
      </c>
      <c r="C953">
        <v>1</v>
      </c>
      <c r="D953">
        <v>0</v>
      </c>
      <c r="E953" t="s">
        <v>105</v>
      </c>
      <c r="F953">
        <v>6</v>
      </c>
      <c r="G953" t="b">
        <v>0</v>
      </c>
      <c r="H953" t="s">
        <v>106</v>
      </c>
      <c r="I953" t="s">
        <v>113</v>
      </c>
      <c r="J953">
        <v>0.12</v>
      </c>
      <c r="K953">
        <v>0.13639999999999999</v>
      </c>
      <c r="L953">
        <v>0.93</v>
      </c>
      <c r="M953">
        <v>0.19400000000000001</v>
      </c>
      <c r="N953">
        <v>1</v>
      </c>
      <c r="O953">
        <v>1</v>
      </c>
      <c r="P953">
        <v>2</v>
      </c>
    </row>
    <row r="954" spans="1:16" x14ac:dyDescent="0.35">
      <c r="A954">
        <v>953</v>
      </c>
      <c r="B954" s="37">
        <v>40586</v>
      </c>
      <c r="C954">
        <v>1</v>
      </c>
      <c r="D954">
        <v>0</v>
      </c>
      <c r="E954" t="s">
        <v>105</v>
      </c>
      <c r="F954">
        <v>7</v>
      </c>
      <c r="G954" t="b">
        <v>0</v>
      </c>
      <c r="H954" t="s">
        <v>106</v>
      </c>
      <c r="I954" t="s">
        <v>113</v>
      </c>
      <c r="J954">
        <v>0.12</v>
      </c>
      <c r="K954">
        <v>0.1515</v>
      </c>
      <c r="L954">
        <v>0.8</v>
      </c>
      <c r="M954">
        <v>0.1045</v>
      </c>
      <c r="N954">
        <v>2</v>
      </c>
      <c r="O954">
        <v>9</v>
      </c>
      <c r="P954">
        <v>11</v>
      </c>
    </row>
    <row r="955" spans="1:16" x14ac:dyDescent="0.35">
      <c r="A955">
        <v>954</v>
      </c>
      <c r="B955" s="37">
        <v>40586</v>
      </c>
      <c r="C955">
        <v>1</v>
      </c>
      <c r="D955">
        <v>0</v>
      </c>
      <c r="E955" t="s">
        <v>105</v>
      </c>
      <c r="F955">
        <v>8</v>
      </c>
      <c r="G955" t="b">
        <v>0</v>
      </c>
      <c r="H955" t="s">
        <v>106</v>
      </c>
      <c r="I955" t="s">
        <v>113</v>
      </c>
      <c r="J955">
        <v>0.14000000000000001</v>
      </c>
      <c r="K955">
        <v>0.1515</v>
      </c>
      <c r="L955">
        <v>0.86</v>
      </c>
      <c r="M955">
        <v>0.1343</v>
      </c>
      <c r="N955">
        <v>2</v>
      </c>
      <c r="O955">
        <v>28</v>
      </c>
      <c r="P955">
        <v>30</v>
      </c>
    </row>
    <row r="956" spans="1:16" x14ac:dyDescent="0.35">
      <c r="A956">
        <v>955</v>
      </c>
      <c r="B956" s="37">
        <v>40586</v>
      </c>
      <c r="C956">
        <v>1</v>
      </c>
      <c r="D956">
        <v>0</v>
      </c>
      <c r="E956" t="s">
        <v>105</v>
      </c>
      <c r="F956">
        <v>9</v>
      </c>
      <c r="G956" t="b">
        <v>0</v>
      </c>
      <c r="H956" t="s">
        <v>106</v>
      </c>
      <c r="I956" t="s">
        <v>113</v>
      </c>
      <c r="J956">
        <v>0.16</v>
      </c>
      <c r="K956">
        <v>0.18179999999999999</v>
      </c>
      <c r="L956">
        <v>0.64</v>
      </c>
      <c r="M956">
        <v>0.1343</v>
      </c>
      <c r="N956">
        <v>5</v>
      </c>
      <c r="O956">
        <v>38</v>
      </c>
      <c r="P956">
        <v>43</v>
      </c>
    </row>
    <row r="957" spans="1:16" x14ac:dyDescent="0.35">
      <c r="A957">
        <v>956</v>
      </c>
      <c r="B957" s="37">
        <v>40586</v>
      </c>
      <c r="C957">
        <v>1</v>
      </c>
      <c r="D957">
        <v>0</v>
      </c>
      <c r="E957" t="s">
        <v>105</v>
      </c>
      <c r="F957">
        <v>10</v>
      </c>
      <c r="G957" t="b">
        <v>0</v>
      </c>
      <c r="H957" t="s">
        <v>106</v>
      </c>
      <c r="I957" t="s">
        <v>113</v>
      </c>
      <c r="J957">
        <v>0.22</v>
      </c>
      <c r="K957">
        <v>0.21210000000000001</v>
      </c>
      <c r="L957">
        <v>0.41</v>
      </c>
      <c r="M957">
        <v>0.25369999999999998</v>
      </c>
      <c r="N957">
        <v>13</v>
      </c>
      <c r="O957">
        <v>71</v>
      </c>
      <c r="P957">
        <v>84</v>
      </c>
    </row>
    <row r="958" spans="1:16" x14ac:dyDescent="0.35">
      <c r="A958">
        <v>957</v>
      </c>
      <c r="B958" s="37">
        <v>40586</v>
      </c>
      <c r="C958">
        <v>1</v>
      </c>
      <c r="D958">
        <v>0</v>
      </c>
      <c r="E958" t="s">
        <v>105</v>
      </c>
      <c r="F958">
        <v>11</v>
      </c>
      <c r="G958" t="b">
        <v>0</v>
      </c>
      <c r="H958" t="s">
        <v>106</v>
      </c>
      <c r="I958" t="s">
        <v>113</v>
      </c>
      <c r="J958">
        <v>0.3</v>
      </c>
      <c r="K958">
        <v>0.2727</v>
      </c>
      <c r="L958">
        <v>0.28000000000000003</v>
      </c>
      <c r="M958">
        <v>0.32840000000000003</v>
      </c>
      <c r="N958">
        <v>30</v>
      </c>
      <c r="O958">
        <v>84</v>
      </c>
      <c r="P958">
        <v>114</v>
      </c>
    </row>
    <row r="959" spans="1:16" x14ac:dyDescent="0.35">
      <c r="A959">
        <v>958</v>
      </c>
      <c r="B959" s="37">
        <v>40586</v>
      </c>
      <c r="C959">
        <v>1</v>
      </c>
      <c r="D959">
        <v>0</v>
      </c>
      <c r="E959" t="s">
        <v>105</v>
      </c>
      <c r="F959">
        <v>12</v>
      </c>
      <c r="G959" t="b">
        <v>0</v>
      </c>
      <c r="H959" t="s">
        <v>106</v>
      </c>
      <c r="I959" t="s">
        <v>113</v>
      </c>
      <c r="J959">
        <v>0.3</v>
      </c>
      <c r="K959">
        <v>0.2727</v>
      </c>
      <c r="L959">
        <v>0.39</v>
      </c>
      <c r="M959">
        <v>0.4627</v>
      </c>
      <c r="N959">
        <v>27</v>
      </c>
      <c r="O959">
        <v>93</v>
      </c>
      <c r="P959">
        <v>120</v>
      </c>
    </row>
    <row r="960" spans="1:16" x14ac:dyDescent="0.35">
      <c r="A960">
        <v>959</v>
      </c>
      <c r="B960" s="37">
        <v>40586</v>
      </c>
      <c r="C960">
        <v>1</v>
      </c>
      <c r="D960">
        <v>0</v>
      </c>
      <c r="E960" t="s">
        <v>105</v>
      </c>
      <c r="F960">
        <v>13</v>
      </c>
      <c r="G960" t="b">
        <v>0</v>
      </c>
      <c r="H960" t="s">
        <v>106</v>
      </c>
      <c r="I960" t="s">
        <v>113</v>
      </c>
      <c r="J960">
        <v>0.3</v>
      </c>
      <c r="K960">
        <v>0.2727</v>
      </c>
      <c r="L960">
        <v>0.39</v>
      </c>
      <c r="M960">
        <v>0.41789999999999999</v>
      </c>
      <c r="N960">
        <v>32</v>
      </c>
      <c r="O960">
        <v>103</v>
      </c>
      <c r="P960">
        <v>135</v>
      </c>
    </row>
    <row r="961" spans="1:16" x14ac:dyDescent="0.35">
      <c r="A961">
        <v>960</v>
      </c>
      <c r="B961" s="37">
        <v>40586</v>
      </c>
      <c r="C961">
        <v>1</v>
      </c>
      <c r="D961">
        <v>0</v>
      </c>
      <c r="E961" t="s">
        <v>105</v>
      </c>
      <c r="F961">
        <v>14</v>
      </c>
      <c r="G961" t="b">
        <v>0</v>
      </c>
      <c r="H961" t="s">
        <v>106</v>
      </c>
      <c r="I961" t="s">
        <v>113</v>
      </c>
      <c r="J961">
        <v>0.34</v>
      </c>
      <c r="K961">
        <v>0.31819999999999998</v>
      </c>
      <c r="L961">
        <v>0.31</v>
      </c>
      <c r="M961">
        <v>0.28360000000000002</v>
      </c>
      <c r="N961">
        <v>30</v>
      </c>
      <c r="O961">
        <v>90</v>
      </c>
      <c r="P961">
        <v>120</v>
      </c>
    </row>
    <row r="962" spans="1:16" x14ac:dyDescent="0.35">
      <c r="A962">
        <v>961</v>
      </c>
      <c r="B962" s="37">
        <v>40586</v>
      </c>
      <c r="C962">
        <v>1</v>
      </c>
      <c r="D962">
        <v>0</v>
      </c>
      <c r="E962" t="s">
        <v>105</v>
      </c>
      <c r="F962">
        <v>15</v>
      </c>
      <c r="G962" t="b">
        <v>0</v>
      </c>
      <c r="H962" t="s">
        <v>106</v>
      </c>
      <c r="I962" t="s">
        <v>113</v>
      </c>
      <c r="J962">
        <v>0.34</v>
      </c>
      <c r="K962">
        <v>0.30299999999999999</v>
      </c>
      <c r="L962">
        <v>0.28999999999999998</v>
      </c>
      <c r="M962">
        <v>0.41789999999999999</v>
      </c>
      <c r="N962">
        <v>47</v>
      </c>
      <c r="O962">
        <v>127</v>
      </c>
      <c r="P962">
        <v>174</v>
      </c>
    </row>
    <row r="963" spans="1:16" x14ac:dyDescent="0.35">
      <c r="A963">
        <v>962</v>
      </c>
      <c r="B963" s="37">
        <v>40586</v>
      </c>
      <c r="C963">
        <v>1</v>
      </c>
      <c r="D963">
        <v>0</v>
      </c>
      <c r="E963" t="s">
        <v>105</v>
      </c>
      <c r="F963">
        <v>16</v>
      </c>
      <c r="G963" t="b">
        <v>0</v>
      </c>
      <c r="H963" t="s">
        <v>106</v>
      </c>
      <c r="I963" t="s">
        <v>113</v>
      </c>
      <c r="J963">
        <v>0.34</v>
      </c>
      <c r="K963">
        <v>0.30299999999999999</v>
      </c>
      <c r="L963">
        <v>0.28999999999999998</v>
      </c>
      <c r="M963">
        <v>0.41789999999999999</v>
      </c>
      <c r="N963">
        <v>42</v>
      </c>
      <c r="O963">
        <v>103</v>
      </c>
      <c r="P963">
        <v>145</v>
      </c>
    </row>
    <row r="964" spans="1:16" x14ac:dyDescent="0.35">
      <c r="A964">
        <v>963</v>
      </c>
      <c r="B964" s="37">
        <v>40586</v>
      </c>
      <c r="C964">
        <v>1</v>
      </c>
      <c r="D964">
        <v>0</v>
      </c>
      <c r="E964" t="s">
        <v>105</v>
      </c>
      <c r="F964">
        <v>17</v>
      </c>
      <c r="G964" t="b">
        <v>0</v>
      </c>
      <c r="H964" t="s">
        <v>106</v>
      </c>
      <c r="I964" t="s">
        <v>113</v>
      </c>
      <c r="J964">
        <v>0.32</v>
      </c>
      <c r="K964">
        <v>0.28789999999999999</v>
      </c>
      <c r="L964">
        <v>0.31</v>
      </c>
      <c r="M964">
        <v>0.52239999999999998</v>
      </c>
      <c r="N964">
        <v>24</v>
      </c>
      <c r="O964">
        <v>113</v>
      </c>
      <c r="P964">
        <v>137</v>
      </c>
    </row>
    <row r="965" spans="1:16" x14ac:dyDescent="0.35">
      <c r="A965">
        <v>964</v>
      </c>
      <c r="B965" s="37">
        <v>40586</v>
      </c>
      <c r="C965">
        <v>1</v>
      </c>
      <c r="D965">
        <v>0</v>
      </c>
      <c r="E965" t="s">
        <v>105</v>
      </c>
      <c r="F965">
        <v>18</v>
      </c>
      <c r="G965" t="b">
        <v>0</v>
      </c>
      <c r="H965" t="s">
        <v>106</v>
      </c>
      <c r="I965" t="s">
        <v>113</v>
      </c>
      <c r="J965">
        <v>0.28000000000000003</v>
      </c>
      <c r="K965">
        <v>0.2576</v>
      </c>
      <c r="L965">
        <v>0.38</v>
      </c>
      <c r="M965">
        <v>0.32840000000000003</v>
      </c>
      <c r="N965">
        <v>4</v>
      </c>
      <c r="O965">
        <v>60</v>
      </c>
      <c r="P965">
        <v>64</v>
      </c>
    </row>
    <row r="966" spans="1:16" x14ac:dyDescent="0.35">
      <c r="A966">
        <v>965</v>
      </c>
      <c r="B966" s="37">
        <v>40586</v>
      </c>
      <c r="C966">
        <v>1</v>
      </c>
      <c r="D966">
        <v>0</v>
      </c>
      <c r="E966" t="s">
        <v>105</v>
      </c>
      <c r="F966">
        <v>19</v>
      </c>
      <c r="G966" t="b">
        <v>0</v>
      </c>
      <c r="H966" t="s">
        <v>106</v>
      </c>
      <c r="I966" t="s">
        <v>113</v>
      </c>
      <c r="J966">
        <v>0.28000000000000003</v>
      </c>
      <c r="K966">
        <v>0.2727</v>
      </c>
      <c r="L966">
        <v>0.38</v>
      </c>
      <c r="M966">
        <v>0.16420000000000001</v>
      </c>
      <c r="N966">
        <v>2</v>
      </c>
      <c r="O966">
        <v>39</v>
      </c>
      <c r="P966">
        <v>41</v>
      </c>
    </row>
    <row r="967" spans="1:16" x14ac:dyDescent="0.35">
      <c r="A967">
        <v>966</v>
      </c>
      <c r="B967" s="37">
        <v>40586</v>
      </c>
      <c r="C967">
        <v>1</v>
      </c>
      <c r="D967">
        <v>0</v>
      </c>
      <c r="E967" t="s">
        <v>105</v>
      </c>
      <c r="F967">
        <v>20</v>
      </c>
      <c r="G967" t="b">
        <v>0</v>
      </c>
      <c r="H967" t="s">
        <v>106</v>
      </c>
      <c r="I967" t="s">
        <v>113</v>
      </c>
      <c r="J967">
        <v>0.26</v>
      </c>
      <c r="K967">
        <v>0.2576</v>
      </c>
      <c r="L967">
        <v>0.41</v>
      </c>
      <c r="M967">
        <v>0.22389999999999999</v>
      </c>
      <c r="N967">
        <v>1</v>
      </c>
      <c r="O967">
        <v>39</v>
      </c>
      <c r="P967">
        <v>40</v>
      </c>
    </row>
    <row r="968" spans="1:16" x14ac:dyDescent="0.35">
      <c r="A968">
        <v>967</v>
      </c>
      <c r="B968" s="37">
        <v>40586</v>
      </c>
      <c r="C968">
        <v>1</v>
      </c>
      <c r="D968">
        <v>0</v>
      </c>
      <c r="E968" t="s">
        <v>105</v>
      </c>
      <c r="F968">
        <v>21</v>
      </c>
      <c r="G968" t="b">
        <v>0</v>
      </c>
      <c r="H968" t="s">
        <v>106</v>
      </c>
      <c r="I968" t="s">
        <v>113</v>
      </c>
      <c r="J968">
        <v>0.26</v>
      </c>
      <c r="K968">
        <v>0.30299999999999999</v>
      </c>
      <c r="L968">
        <v>0.41</v>
      </c>
      <c r="M968">
        <v>0</v>
      </c>
      <c r="N968">
        <v>9</v>
      </c>
      <c r="O968">
        <v>42</v>
      </c>
      <c r="P968">
        <v>51</v>
      </c>
    </row>
    <row r="969" spans="1:16" x14ac:dyDescent="0.35">
      <c r="A969">
        <v>968</v>
      </c>
      <c r="B969" s="37">
        <v>40586</v>
      </c>
      <c r="C969">
        <v>1</v>
      </c>
      <c r="D969">
        <v>0</v>
      </c>
      <c r="E969" t="s">
        <v>105</v>
      </c>
      <c r="F969">
        <v>22</v>
      </c>
      <c r="G969" t="b">
        <v>0</v>
      </c>
      <c r="H969" t="s">
        <v>106</v>
      </c>
      <c r="I969" t="s">
        <v>113</v>
      </c>
      <c r="J969">
        <v>0.24</v>
      </c>
      <c r="K969">
        <v>0.2576</v>
      </c>
      <c r="L969">
        <v>0.44</v>
      </c>
      <c r="M969">
        <v>8.9599999999999999E-2</v>
      </c>
      <c r="N969">
        <v>6</v>
      </c>
      <c r="O969">
        <v>39</v>
      </c>
      <c r="P969">
        <v>45</v>
      </c>
    </row>
    <row r="970" spans="1:16" x14ac:dyDescent="0.35">
      <c r="A970">
        <v>969</v>
      </c>
      <c r="B970" s="37">
        <v>40586</v>
      </c>
      <c r="C970">
        <v>1</v>
      </c>
      <c r="D970">
        <v>0</v>
      </c>
      <c r="E970" t="s">
        <v>105</v>
      </c>
      <c r="F970">
        <v>23</v>
      </c>
      <c r="G970" t="b">
        <v>0</v>
      </c>
      <c r="H970" t="s">
        <v>106</v>
      </c>
      <c r="I970" t="s">
        <v>113</v>
      </c>
      <c r="J970">
        <v>0.22</v>
      </c>
      <c r="K970">
        <v>0.2273</v>
      </c>
      <c r="L970">
        <v>0.51</v>
      </c>
      <c r="M970">
        <v>0.1343</v>
      </c>
      <c r="N970">
        <v>1</v>
      </c>
      <c r="O970">
        <v>31</v>
      </c>
      <c r="P970">
        <v>32</v>
      </c>
    </row>
    <row r="971" spans="1:16" x14ac:dyDescent="0.35">
      <c r="A971">
        <v>970</v>
      </c>
      <c r="B971" s="37">
        <v>40587</v>
      </c>
      <c r="C971">
        <v>1</v>
      </c>
      <c r="D971">
        <v>0</v>
      </c>
      <c r="E971" t="s">
        <v>105</v>
      </c>
      <c r="F971">
        <v>0</v>
      </c>
      <c r="G971" t="b">
        <v>0</v>
      </c>
      <c r="H971" t="s">
        <v>107</v>
      </c>
      <c r="I971" t="s">
        <v>113</v>
      </c>
      <c r="J971">
        <v>0.2</v>
      </c>
      <c r="K971">
        <v>0.2273</v>
      </c>
      <c r="L971">
        <v>0.64</v>
      </c>
      <c r="M971">
        <v>0.1045</v>
      </c>
      <c r="N971">
        <v>5</v>
      </c>
      <c r="O971">
        <v>34</v>
      </c>
      <c r="P971">
        <v>39</v>
      </c>
    </row>
    <row r="972" spans="1:16" x14ac:dyDescent="0.35">
      <c r="A972">
        <v>971</v>
      </c>
      <c r="B972" s="37">
        <v>40587</v>
      </c>
      <c r="C972">
        <v>1</v>
      </c>
      <c r="D972">
        <v>0</v>
      </c>
      <c r="E972" t="s">
        <v>105</v>
      </c>
      <c r="F972">
        <v>1</v>
      </c>
      <c r="G972" t="b">
        <v>0</v>
      </c>
      <c r="H972" t="s">
        <v>107</v>
      </c>
      <c r="I972" t="s">
        <v>113</v>
      </c>
      <c r="J972">
        <v>0.2</v>
      </c>
      <c r="K972">
        <v>0.2273</v>
      </c>
      <c r="L972">
        <v>0.59</v>
      </c>
      <c r="M972">
        <v>8.9599999999999999E-2</v>
      </c>
      <c r="N972">
        <v>1</v>
      </c>
      <c r="O972">
        <v>23</v>
      </c>
      <c r="P972">
        <v>24</v>
      </c>
    </row>
    <row r="973" spans="1:16" x14ac:dyDescent="0.35">
      <c r="A973">
        <v>972</v>
      </c>
      <c r="B973" s="37">
        <v>40587</v>
      </c>
      <c r="C973">
        <v>1</v>
      </c>
      <c r="D973">
        <v>0</v>
      </c>
      <c r="E973" t="s">
        <v>105</v>
      </c>
      <c r="F973">
        <v>2</v>
      </c>
      <c r="G973" t="b">
        <v>0</v>
      </c>
      <c r="H973" t="s">
        <v>107</v>
      </c>
      <c r="I973" t="s">
        <v>114</v>
      </c>
      <c r="J973">
        <v>0.2</v>
      </c>
      <c r="K973">
        <v>0.2273</v>
      </c>
      <c r="L973">
        <v>0.75</v>
      </c>
      <c r="M973">
        <v>8.9599999999999999E-2</v>
      </c>
      <c r="N973">
        <v>1</v>
      </c>
      <c r="O973">
        <v>19</v>
      </c>
      <c r="P973">
        <v>20</v>
      </c>
    </row>
    <row r="974" spans="1:16" x14ac:dyDescent="0.35">
      <c r="A974">
        <v>973</v>
      </c>
      <c r="B974" s="37">
        <v>40587</v>
      </c>
      <c r="C974">
        <v>1</v>
      </c>
      <c r="D974">
        <v>0</v>
      </c>
      <c r="E974" t="s">
        <v>105</v>
      </c>
      <c r="F974">
        <v>3</v>
      </c>
      <c r="G974" t="b">
        <v>0</v>
      </c>
      <c r="H974" t="s">
        <v>107</v>
      </c>
      <c r="I974" t="s">
        <v>114</v>
      </c>
      <c r="J974">
        <v>0.2</v>
      </c>
      <c r="K974">
        <v>0.2273</v>
      </c>
      <c r="L974">
        <v>0.69</v>
      </c>
      <c r="M974">
        <v>0.1045</v>
      </c>
      <c r="N974">
        <v>4</v>
      </c>
      <c r="O974">
        <v>8</v>
      </c>
      <c r="P974">
        <v>12</v>
      </c>
    </row>
    <row r="975" spans="1:16" x14ac:dyDescent="0.35">
      <c r="A975">
        <v>974</v>
      </c>
      <c r="B975" s="37">
        <v>40587</v>
      </c>
      <c r="C975">
        <v>1</v>
      </c>
      <c r="D975">
        <v>0</v>
      </c>
      <c r="E975" t="s">
        <v>105</v>
      </c>
      <c r="F975">
        <v>4</v>
      </c>
      <c r="G975" t="b">
        <v>0</v>
      </c>
      <c r="H975" t="s">
        <v>107</v>
      </c>
      <c r="I975" t="s">
        <v>114</v>
      </c>
      <c r="J975">
        <v>0.2</v>
      </c>
      <c r="K975">
        <v>0.21210000000000001</v>
      </c>
      <c r="L975">
        <v>0.69</v>
      </c>
      <c r="M975">
        <v>0.16420000000000001</v>
      </c>
      <c r="N975">
        <v>0</v>
      </c>
      <c r="O975">
        <v>2</v>
      </c>
      <c r="P975">
        <v>2</v>
      </c>
    </row>
    <row r="976" spans="1:16" x14ac:dyDescent="0.35">
      <c r="A976">
        <v>975</v>
      </c>
      <c r="B976" s="37">
        <v>40587</v>
      </c>
      <c r="C976">
        <v>1</v>
      </c>
      <c r="D976">
        <v>0</v>
      </c>
      <c r="E976" t="s">
        <v>105</v>
      </c>
      <c r="F976">
        <v>6</v>
      </c>
      <c r="G976" t="b">
        <v>0</v>
      </c>
      <c r="H976" t="s">
        <v>107</v>
      </c>
      <c r="I976" t="s">
        <v>114</v>
      </c>
      <c r="J976">
        <v>0.2</v>
      </c>
      <c r="K976">
        <v>0.21210000000000001</v>
      </c>
      <c r="L976">
        <v>0.69</v>
      </c>
      <c r="M976">
        <v>0.1343</v>
      </c>
      <c r="N976">
        <v>2</v>
      </c>
      <c r="O976">
        <v>3</v>
      </c>
      <c r="P976">
        <v>5</v>
      </c>
    </row>
    <row r="977" spans="1:16" x14ac:dyDescent="0.35">
      <c r="A977">
        <v>976</v>
      </c>
      <c r="B977" s="37">
        <v>40587</v>
      </c>
      <c r="C977">
        <v>1</v>
      </c>
      <c r="D977">
        <v>0</v>
      </c>
      <c r="E977" t="s">
        <v>105</v>
      </c>
      <c r="F977">
        <v>7</v>
      </c>
      <c r="G977" t="b">
        <v>0</v>
      </c>
      <c r="H977" t="s">
        <v>107</v>
      </c>
      <c r="I977" t="s">
        <v>114</v>
      </c>
      <c r="J977">
        <v>0.22</v>
      </c>
      <c r="K977">
        <v>0.2727</v>
      </c>
      <c r="L977">
        <v>0.55000000000000004</v>
      </c>
      <c r="M977">
        <v>0</v>
      </c>
      <c r="N977">
        <v>0</v>
      </c>
      <c r="O977">
        <v>3</v>
      </c>
      <c r="P977">
        <v>3</v>
      </c>
    </row>
    <row r="978" spans="1:16" x14ac:dyDescent="0.35">
      <c r="A978">
        <v>977</v>
      </c>
      <c r="B978" s="37">
        <v>40587</v>
      </c>
      <c r="C978">
        <v>1</v>
      </c>
      <c r="D978">
        <v>0</v>
      </c>
      <c r="E978" t="s">
        <v>105</v>
      </c>
      <c r="F978">
        <v>8</v>
      </c>
      <c r="G978" t="b">
        <v>0</v>
      </c>
      <c r="H978" t="s">
        <v>107</v>
      </c>
      <c r="I978" t="s">
        <v>114</v>
      </c>
      <c r="J978">
        <v>0.22</v>
      </c>
      <c r="K978">
        <v>0.2273</v>
      </c>
      <c r="L978">
        <v>0.64</v>
      </c>
      <c r="M978">
        <v>0.19400000000000001</v>
      </c>
      <c r="N978">
        <v>1</v>
      </c>
      <c r="O978">
        <v>11</v>
      </c>
      <c r="P978">
        <v>12</v>
      </c>
    </row>
    <row r="979" spans="1:16" x14ac:dyDescent="0.35">
      <c r="A979">
        <v>978</v>
      </c>
      <c r="B979" s="37">
        <v>40587</v>
      </c>
      <c r="C979">
        <v>1</v>
      </c>
      <c r="D979">
        <v>0</v>
      </c>
      <c r="E979" t="s">
        <v>105</v>
      </c>
      <c r="F979">
        <v>9</v>
      </c>
      <c r="G979" t="b">
        <v>0</v>
      </c>
      <c r="H979" t="s">
        <v>107</v>
      </c>
      <c r="I979" t="s">
        <v>114</v>
      </c>
      <c r="J979">
        <v>0.24</v>
      </c>
      <c r="K979">
        <v>0.2273</v>
      </c>
      <c r="L979">
        <v>0.6</v>
      </c>
      <c r="M979">
        <v>0.22389999999999999</v>
      </c>
      <c r="N979">
        <v>12</v>
      </c>
      <c r="O979">
        <v>35</v>
      </c>
      <c r="P979">
        <v>47</v>
      </c>
    </row>
    <row r="980" spans="1:16" x14ac:dyDescent="0.35">
      <c r="A980">
        <v>979</v>
      </c>
      <c r="B980" s="37">
        <v>40587</v>
      </c>
      <c r="C980">
        <v>1</v>
      </c>
      <c r="D980">
        <v>0</v>
      </c>
      <c r="E980" t="s">
        <v>105</v>
      </c>
      <c r="F980">
        <v>10</v>
      </c>
      <c r="G980" t="b">
        <v>0</v>
      </c>
      <c r="H980" t="s">
        <v>107</v>
      </c>
      <c r="I980" t="s">
        <v>113</v>
      </c>
      <c r="J980">
        <v>0.3</v>
      </c>
      <c r="K980">
        <v>0.2727</v>
      </c>
      <c r="L980">
        <v>0.45</v>
      </c>
      <c r="M980">
        <v>0.32840000000000003</v>
      </c>
      <c r="N980">
        <v>19</v>
      </c>
      <c r="O980">
        <v>86</v>
      </c>
      <c r="P980">
        <v>105</v>
      </c>
    </row>
    <row r="981" spans="1:16" x14ac:dyDescent="0.35">
      <c r="A981">
        <v>980</v>
      </c>
      <c r="B981" s="37">
        <v>40587</v>
      </c>
      <c r="C981">
        <v>1</v>
      </c>
      <c r="D981">
        <v>0</v>
      </c>
      <c r="E981" t="s">
        <v>105</v>
      </c>
      <c r="F981">
        <v>11</v>
      </c>
      <c r="G981" t="b">
        <v>0</v>
      </c>
      <c r="H981" t="s">
        <v>107</v>
      </c>
      <c r="I981" t="s">
        <v>113</v>
      </c>
      <c r="J981">
        <v>0.32</v>
      </c>
      <c r="K981">
        <v>0.28789999999999999</v>
      </c>
      <c r="L981">
        <v>0.39</v>
      </c>
      <c r="M981">
        <v>0.44779999999999998</v>
      </c>
      <c r="N981">
        <v>26</v>
      </c>
      <c r="O981">
        <v>86</v>
      </c>
      <c r="P981">
        <v>112</v>
      </c>
    </row>
    <row r="982" spans="1:16" x14ac:dyDescent="0.35">
      <c r="A982">
        <v>981</v>
      </c>
      <c r="B982" s="37">
        <v>40587</v>
      </c>
      <c r="C982">
        <v>1</v>
      </c>
      <c r="D982">
        <v>0</v>
      </c>
      <c r="E982" t="s">
        <v>105</v>
      </c>
      <c r="F982">
        <v>12</v>
      </c>
      <c r="G982" t="b">
        <v>0</v>
      </c>
      <c r="H982" t="s">
        <v>107</v>
      </c>
      <c r="I982" t="s">
        <v>113</v>
      </c>
      <c r="J982">
        <v>0.36</v>
      </c>
      <c r="K982">
        <v>0.31819999999999998</v>
      </c>
      <c r="L982">
        <v>0.32</v>
      </c>
      <c r="M982">
        <v>0.4627</v>
      </c>
      <c r="N982">
        <v>58</v>
      </c>
      <c r="O982">
        <v>94</v>
      </c>
      <c r="P982">
        <v>152</v>
      </c>
    </row>
    <row r="983" spans="1:16" x14ac:dyDescent="0.35">
      <c r="A983">
        <v>982</v>
      </c>
      <c r="B983" s="37">
        <v>40587</v>
      </c>
      <c r="C983">
        <v>1</v>
      </c>
      <c r="D983">
        <v>0</v>
      </c>
      <c r="E983" t="s">
        <v>105</v>
      </c>
      <c r="F983">
        <v>13</v>
      </c>
      <c r="G983" t="b">
        <v>0</v>
      </c>
      <c r="H983" t="s">
        <v>107</v>
      </c>
      <c r="I983" t="s">
        <v>113</v>
      </c>
      <c r="J983">
        <v>0.38</v>
      </c>
      <c r="K983">
        <v>0.39389999999999997</v>
      </c>
      <c r="L983">
        <v>0.28999999999999998</v>
      </c>
      <c r="M983">
        <v>0.35820000000000002</v>
      </c>
      <c r="N983">
        <v>62</v>
      </c>
      <c r="O983">
        <v>92</v>
      </c>
      <c r="P983">
        <v>154</v>
      </c>
    </row>
    <row r="984" spans="1:16" x14ac:dyDescent="0.35">
      <c r="A984">
        <v>983</v>
      </c>
      <c r="B984" s="37">
        <v>40587</v>
      </c>
      <c r="C984">
        <v>1</v>
      </c>
      <c r="D984">
        <v>0</v>
      </c>
      <c r="E984" t="s">
        <v>105</v>
      </c>
      <c r="F984">
        <v>14</v>
      </c>
      <c r="G984" t="b">
        <v>0</v>
      </c>
      <c r="H984" t="s">
        <v>107</v>
      </c>
      <c r="I984" t="s">
        <v>114</v>
      </c>
      <c r="J984">
        <v>0.4</v>
      </c>
      <c r="K984">
        <v>0.40910000000000002</v>
      </c>
      <c r="L984">
        <v>0.3</v>
      </c>
      <c r="M984">
        <v>0.41789999999999999</v>
      </c>
      <c r="N984">
        <v>51</v>
      </c>
      <c r="O984">
        <v>110</v>
      </c>
      <c r="P984">
        <v>161</v>
      </c>
    </row>
    <row r="985" spans="1:16" x14ac:dyDescent="0.35">
      <c r="A985">
        <v>984</v>
      </c>
      <c r="B985" s="37">
        <v>40587</v>
      </c>
      <c r="C985">
        <v>1</v>
      </c>
      <c r="D985">
        <v>0</v>
      </c>
      <c r="E985" t="s">
        <v>105</v>
      </c>
      <c r="F985">
        <v>15</v>
      </c>
      <c r="G985" t="b">
        <v>0</v>
      </c>
      <c r="H985" t="s">
        <v>107</v>
      </c>
      <c r="I985" t="s">
        <v>114</v>
      </c>
      <c r="J985">
        <v>0.4</v>
      </c>
      <c r="K985">
        <v>0.40910000000000002</v>
      </c>
      <c r="L985">
        <v>0.3</v>
      </c>
      <c r="M985">
        <v>0.29849999999999999</v>
      </c>
      <c r="N985">
        <v>40</v>
      </c>
      <c r="O985">
        <v>122</v>
      </c>
      <c r="P985">
        <v>162</v>
      </c>
    </row>
    <row r="986" spans="1:16" x14ac:dyDescent="0.35">
      <c r="A986">
        <v>985</v>
      </c>
      <c r="B986" s="37">
        <v>40587</v>
      </c>
      <c r="C986">
        <v>1</v>
      </c>
      <c r="D986">
        <v>0</v>
      </c>
      <c r="E986" t="s">
        <v>105</v>
      </c>
      <c r="F986">
        <v>16</v>
      </c>
      <c r="G986" t="b">
        <v>0</v>
      </c>
      <c r="H986" t="s">
        <v>107</v>
      </c>
      <c r="I986" t="s">
        <v>114</v>
      </c>
      <c r="J986">
        <v>0.42</v>
      </c>
      <c r="K986">
        <v>0.42420000000000002</v>
      </c>
      <c r="L986">
        <v>0.28000000000000003</v>
      </c>
      <c r="M986">
        <v>0.32840000000000003</v>
      </c>
      <c r="N986">
        <v>28</v>
      </c>
      <c r="O986">
        <v>106</v>
      </c>
      <c r="P986">
        <v>134</v>
      </c>
    </row>
    <row r="987" spans="1:16" x14ac:dyDescent="0.35">
      <c r="A987">
        <v>986</v>
      </c>
      <c r="B987" s="37">
        <v>40587</v>
      </c>
      <c r="C987">
        <v>1</v>
      </c>
      <c r="D987">
        <v>0</v>
      </c>
      <c r="E987" t="s">
        <v>105</v>
      </c>
      <c r="F987">
        <v>17</v>
      </c>
      <c r="G987" t="b">
        <v>0</v>
      </c>
      <c r="H987" t="s">
        <v>107</v>
      </c>
      <c r="I987" t="s">
        <v>113</v>
      </c>
      <c r="J987">
        <v>0.42</v>
      </c>
      <c r="K987">
        <v>0.42420000000000002</v>
      </c>
      <c r="L987">
        <v>0.28000000000000003</v>
      </c>
      <c r="M987">
        <v>0.32840000000000003</v>
      </c>
      <c r="N987">
        <v>30</v>
      </c>
      <c r="O987">
        <v>95</v>
      </c>
      <c r="P987">
        <v>125</v>
      </c>
    </row>
    <row r="988" spans="1:16" x14ac:dyDescent="0.35">
      <c r="A988">
        <v>987</v>
      </c>
      <c r="B988" s="37">
        <v>40587</v>
      </c>
      <c r="C988">
        <v>1</v>
      </c>
      <c r="D988">
        <v>0</v>
      </c>
      <c r="E988" t="s">
        <v>105</v>
      </c>
      <c r="F988">
        <v>18</v>
      </c>
      <c r="G988" t="b">
        <v>0</v>
      </c>
      <c r="H988" t="s">
        <v>107</v>
      </c>
      <c r="I988" t="s">
        <v>113</v>
      </c>
      <c r="J988">
        <v>0.4</v>
      </c>
      <c r="K988">
        <v>0.40910000000000002</v>
      </c>
      <c r="L988">
        <v>0.32</v>
      </c>
      <c r="M988">
        <v>0.29849999999999999</v>
      </c>
      <c r="N988">
        <v>17</v>
      </c>
      <c r="O988">
        <v>78</v>
      </c>
      <c r="P988">
        <v>95</v>
      </c>
    </row>
    <row r="989" spans="1:16" x14ac:dyDescent="0.35">
      <c r="A989">
        <v>988</v>
      </c>
      <c r="B989" s="37">
        <v>40587</v>
      </c>
      <c r="C989">
        <v>1</v>
      </c>
      <c r="D989">
        <v>0</v>
      </c>
      <c r="E989" t="s">
        <v>105</v>
      </c>
      <c r="F989">
        <v>19</v>
      </c>
      <c r="G989" t="b">
        <v>0</v>
      </c>
      <c r="H989" t="s">
        <v>107</v>
      </c>
      <c r="I989" t="s">
        <v>113</v>
      </c>
      <c r="J989">
        <v>0.4</v>
      </c>
      <c r="K989">
        <v>0.40910000000000002</v>
      </c>
      <c r="L989">
        <v>0.35</v>
      </c>
      <c r="M989">
        <v>0.28360000000000002</v>
      </c>
      <c r="N989">
        <v>11</v>
      </c>
      <c r="O989">
        <v>50</v>
      </c>
      <c r="P989">
        <v>61</v>
      </c>
    </row>
    <row r="990" spans="1:16" x14ac:dyDescent="0.35">
      <c r="A990">
        <v>989</v>
      </c>
      <c r="B990" s="37">
        <v>40587</v>
      </c>
      <c r="C990">
        <v>1</v>
      </c>
      <c r="D990">
        <v>0</v>
      </c>
      <c r="E990" t="s">
        <v>105</v>
      </c>
      <c r="F990">
        <v>20</v>
      </c>
      <c r="G990" t="b">
        <v>0</v>
      </c>
      <c r="H990" t="s">
        <v>107</v>
      </c>
      <c r="I990" t="s">
        <v>113</v>
      </c>
      <c r="J990">
        <v>0.4</v>
      </c>
      <c r="K990">
        <v>0.40910000000000002</v>
      </c>
      <c r="L990">
        <v>0.35</v>
      </c>
      <c r="M990">
        <v>0.32840000000000003</v>
      </c>
      <c r="N990">
        <v>15</v>
      </c>
      <c r="O990">
        <v>32</v>
      </c>
      <c r="P990">
        <v>47</v>
      </c>
    </row>
    <row r="991" spans="1:16" x14ac:dyDescent="0.35">
      <c r="A991">
        <v>990</v>
      </c>
      <c r="B991" s="37">
        <v>40587</v>
      </c>
      <c r="C991">
        <v>1</v>
      </c>
      <c r="D991">
        <v>0</v>
      </c>
      <c r="E991" t="s">
        <v>105</v>
      </c>
      <c r="F991">
        <v>21</v>
      </c>
      <c r="G991" t="b">
        <v>0</v>
      </c>
      <c r="H991" t="s">
        <v>107</v>
      </c>
      <c r="I991" t="s">
        <v>113</v>
      </c>
      <c r="J991">
        <v>0.4</v>
      </c>
      <c r="K991">
        <v>0.40910000000000002</v>
      </c>
      <c r="L991">
        <v>0.35</v>
      </c>
      <c r="M991">
        <v>0.35820000000000002</v>
      </c>
      <c r="N991">
        <v>6</v>
      </c>
      <c r="O991">
        <v>45</v>
      </c>
      <c r="P991">
        <v>51</v>
      </c>
    </row>
    <row r="992" spans="1:16" x14ac:dyDescent="0.35">
      <c r="A992">
        <v>991</v>
      </c>
      <c r="B992" s="37">
        <v>40587</v>
      </c>
      <c r="C992">
        <v>1</v>
      </c>
      <c r="D992">
        <v>0</v>
      </c>
      <c r="E992" t="s">
        <v>105</v>
      </c>
      <c r="F992">
        <v>22</v>
      </c>
      <c r="G992" t="b">
        <v>0</v>
      </c>
      <c r="H992" t="s">
        <v>107</v>
      </c>
      <c r="I992" t="s">
        <v>113</v>
      </c>
      <c r="J992">
        <v>0.4</v>
      </c>
      <c r="K992">
        <v>0.40910000000000002</v>
      </c>
      <c r="L992">
        <v>0.35</v>
      </c>
      <c r="M992">
        <v>0.29849999999999999</v>
      </c>
      <c r="N992">
        <v>5</v>
      </c>
      <c r="O992">
        <v>31</v>
      </c>
      <c r="P992">
        <v>36</v>
      </c>
    </row>
    <row r="993" spans="1:16" x14ac:dyDescent="0.35">
      <c r="A993">
        <v>992</v>
      </c>
      <c r="B993" s="37">
        <v>40587</v>
      </c>
      <c r="C993">
        <v>1</v>
      </c>
      <c r="D993">
        <v>0</v>
      </c>
      <c r="E993" t="s">
        <v>105</v>
      </c>
      <c r="F993">
        <v>23</v>
      </c>
      <c r="G993" t="b">
        <v>0</v>
      </c>
      <c r="H993" t="s">
        <v>107</v>
      </c>
      <c r="I993" t="s">
        <v>113</v>
      </c>
      <c r="J993">
        <v>0.4</v>
      </c>
      <c r="K993">
        <v>0.40910000000000002</v>
      </c>
      <c r="L993">
        <v>0.35</v>
      </c>
      <c r="M993">
        <v>0.35820000000000002</v>
      </c>
      <c r="N993">
        <v>3</v>
      </c>
      <c r="O993">
        <v>27</v>
      </c>
      <c r="P993">
        <v>30</v>
      </c>
    </row>
    <row r="994" spans="1:16" x14ac:dyDescent="0.35">
      <c r="A994">
        <v>993</v>
      </c>
      <c r="B994" s="37">
        <v>40588</v>
      </c>
      <c r="C994">
        <v>1</v>
      </c>
      <c r="D994">
        <v>0</v>
      </c>
      <c r="E994" t="s">
        <v>105</v>
      </c>
      <c r="F994">
        <v>0</v>
      </c>
      <c r="G994" t="b">
        <v>0</v>
      </c>
      <c r="H994" t="s">
        <v>108</v>
      </c>
      <c r="I994" t="s">
        <v>113</v>
      </c>
      <c r="J994">
        <v>0.38</v>
      </c>
      <c r="K994">
        <v>0.39389999999999997</v>
      </c>
      <c r="L994">
        <v>0.37</v>
      </c>
      <c r="M994">
        <v>0.35820000000000002</v>
      </c>
      <c r="N994">
        <v>3</v>
      </c>
      <c r="O994">
        <v>8</v>
      </c>
      <c r="P994">
        <v>11</v>
      </c>
    </row>
    <row r="995" spans="1:16" x14ac:dyDescent="0.35">
      <c r="A995">
        <v>994</v>
      </c>
      <c r="B995" s="37">
        <v>40588</v>
      </c>
      <c r="C995">
        <v>1</v>
      </c>
      <c r="D995">
        <v>0</v>
      </c>
      <c r="E995" t="s">
        <v>105</v>
      </c>
      <c r="F995">
        <v>1</v>
      </c>
      <c r="G995" t="b">
        <v>0</v>
      </c>
      <c r="H995" t="s">
        <v>108</v>
      </c>
      <c r="I995" t="s">
        <v>113</v>
      </c>
      <c r="J995">
        <v>0.38</v>
      </c>
      <c r="K995">
        <v>0.39389999999999997</v>
      </c>
      <c r="L995">
        <v>0.37</v>
      </c>
      <c r="M995">
        <v>0.35820000000000002</v>
      </c>
      <c r="N995">
        <v>1</v>
      </c>
      <c r="O995">
        <v>6</v>
      </c>
      <c r="P995">
        <v>7</v>
      </c>
    </row>
    <row r="996" spans="1:16" x14ac:dyDescent="0.35">
      <c r="A996">
        <v>995</v>
      </c>
      <c r="B996" s="37">
        <v>40588</v>
      </c>
      <c r="C996">
        <v>1</v>
      </c>
      <c r="D996">
        <v>0</v>
      </c>
      <c r="E996" t="s">
        <v>105</v>
      </c>
      <c r="F996">
        <v>2</v>
      </c>
      <c r="G996" t="b">
        <v>0</v>
      </c>
      <c r="H996" t="s">
        <v>108</v>
      </c>
      <c r="I996" t="s">
        <v>113</v>
      </c>
      <c r="J996">
        <v>0.36</v>
      </c>
      <c r="K996">
        <v>0.33329999999999999</v>
      </c>
      <c r="L996">
        <v>0.4</v>
      </c>
      <c r="M996">
        <v>0.29849999999999999</v>
      </c>
      <c r="N996">
        <v>0</v>
      </c>
      <c r="O996">
        <v>2</v>
      </c>
      <c r="P996">
        <v>2</v>
      </c>
    </row>
    <row r="997" spans="1:16" x14ac:dyDescent="0.35">
      <c r="A997">
        <v>996</v>
      </c>
      <c r="B997" s="37">
        <v>40588</v>
      </c>
      <c r="C997">
        <v>1</v>
      </c>
      <c r="D997">
        <v>0</v>
      </c>
      <c r="E997" t="s">
        <v>105</v>
      </c>
      <c r="F997">
        <v>3</v>
      </c>
      <c r="G997" t="b">
        <v>0</v>
      </c>
      <c r="H997" t="s">
        <v>108</v>
      </c>
      <c r="I997" t="s">
        <v>113</v>
      </c>
      <c r="J997">
        <v>0.34</v>
      </c>
      <c r="K997">
        <v>0.31819999999999998</v>
      </c>
      <c r="L997">
        <v>0.46</v>
      </c>
      <c r="M997">
        <v>0.22389999999999999</v>
      </c>
      <c r="N997">
        <v>1</v>
      </c>
      <c r="O997">
        <v>1</v>
      </c>
      <c r="P997">
        <v>2</v>
      </c>
    </row>
    <row r="998" spans="1:16" x14ac:dyDescent="0.35">
      <c r="A998">
        <v>997</v>
      </c>
      <c r="B998" s="37">
        <v>40588</v>
      </c>
      <c r="C998">
        <v>1</v>
      </c>
      <c r="D998">
        <v>0</v>
      </c>
      <c r="E998" t="s">
        <v>105</v>
      </c>
      <c r="F998">
        <v>4</v>
      </c>
      <c r="G998" t="b">
        <v>0</v>
      </c>
      <c r="H998" t="s">
        <v>108</v>
      </c>
      <c r="I998" t="s">
        <v>113</v>
      </c>
      <c r="J998">
        <v>0.32</v>
      </c>
      <c r="K998">
        <v>0.30299999999999999</v>
      </c>
      <c r="L998">
        <v>0.53</v>
      </c>
      <c r="M998">
        <v>0.28360000000000002</v>
      </c>
      <c r="N998">
        <v>0</v>
      </c>
      <c r="O998">
        <v>2</v>
      </c>
      <c r="P998">
        <v>2</v>
      </c>
    </row>
    <row r="999" spans="1:16" x14ac:dyDescent="0.35">
      <c r="A999">
        <v>998</v>
      </c>
      <c r="B999" s="37">
        <v>40588</v>
      </c>
      <c r="C999">
        <v>1</v>
      </c>
      <c r="D999">
        <v>0</v>
      </c>
      <c r="E999" t="s">
        <v>105</v>
      </c>
      <c r="F999">
        <v>5</v>
      </c>
      <c r="G999" t="b">
        <v>0</v>
      </c>
      <c r="H999" t="s">
        <v>108</v>
      </c>
      <c r="I999" t="s">
        <v>113</v>
      </c>
      <c r="J999">
        <v>0.32</v>
      </c>
      <c r="K999">
        <v>0.30299999999999999</v>
      </c>
      <c r="L999">
        <v>0.53</v>
      </c>
      <c r="M999">
        <v>0.28360000000000002</v>
      </c>
      <c r="N999">
        <v>0</v>
      </c>
      <c r="O999">
        <v>3</v>
      </c>
      <c r="P999">
        <v>3</v>
      </c>
    </row>
    <row r="1000" spans="1:16" x14ac:dyDescent="0.35">
      <c r="A1000">
        <v>999</v>
      </c>
      <c r="B1000" s="37">
        <v>40588</v>
      </c>
      <c r="C1000">
        <v>1</v>
      </c>
      <c r="D1000">
        <v>0</v>
      </c>
      <c r="E1000" t="s">
        <v>105</v>
      </c>
      <c r="F1000">
        <v>6</v>
      </c>
      <c r="G1000" t="b">
        <v>0</v>
      </c>
      <c r="H1000" t="s">
        <v>108</v>
      </c>
      <c r="I1000" t="s">
        <v>113</v>
      </c>
      <c r="J1000">
        <v>0.34</v>
      </c>
      <c r="K1000">
        <v>0.30299999999999999</v>
      </c>
      <c r="L1000">
        <v>0.46</v>
      </c>
      <c r="M1000">
        <v>0.29849999999999999</v>
      </c>
      <c r="N1000">
        <v>1</v>
      </c>
      <c r="O1000">
        <v>25</v>
      </c>
      <c r="P1000">
        <v>26</v>
      </c>
    </row>
    <row r="1001" spans="1:16" x14ac:dyDescent="0.35">
      <c r="A1001">
        <v>1000</v>
      </c>
      <c r="B1001" s="37">
        <v>40588</v>
      </c>
      <c r="C1001">
        <v>1</v>
      </c>
      <c r="D1001">
        <v>0</v>
      </c>
      <c r="E1001" t="s">
        <v>105</v>
      </c>
      <c r="F1001">
        <v>7</v>
      </c>
      <c r="G1001" t="b">
        <v>0</v>
      </c>
      <c r="H1001" t="s">
        <v>108</v>
      </c>
      <c r="I1001" t="s">
        <v>113</v>
      </c>
      <c r="J1001">
        <v>0.34</v>
      </c>
      <c r="K1001">
        <v>0.30299999999999999</v>
      </c>
      <c r="L1001">
        <v>0.46</v>
      </c>
      <c r="M1001">
        <v>0.29849999999999999</v>
      </c>
      <c r="N1001">
        <v>2</v>
      </c>
      <c r="O1001">
        <v>96</v>
      </c>
      <c r="P1001">
        <v>98</v>
      </c>
    </row>
  </sheetData>
  <conditionalFormatting sqref="P1:P1001">
    <cfRule type="aboveAverage" dxfId="3" priority="3" aboveAverage="0"/>
    <cfRule type="aboveAverage" dxfId="2" priority="4"/>
  </conditionalFormatting>
  <conditionalFormatting sqref="O1:O1001">
    <cfRule type="cellIs" dxfId="1" priority="2" operator="greaterThan">
      <formula>123.5</formula>
    </cfRule>
  </conditionalFormatting>
  <conditionalFormatting sqref="N1:N1001">
    <cfRule type="cellIs" dxfId="0" priority="1" operator="lessThan">
      <formula>31</formula>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06EA2-3720-4915-AAFC-A97700376454}">
  <dimension ref="A1:P1001"/>
  <sheetViews>
    <sheetView topLeftCell="B1" workbookViewId="0">
      <selection activeCell="P1" sqref="P1:P1001"/>
    </sheetView>
  </sheetViews>
  <sheetFormatPr defaultRowHeight="14.5" x14ac:dyDescent="0.35"/>
  <cols>
    <col min="2" max="2" width="13.54296875" bestFit="1" customWidth="1"/>
    <col min="9" max="9" width="15" bestFit="1" customWidth="1"/>
  </cols>
  <sheetData>
    <row r="1" spans="1:16" x14ac:dyDescent="0.35">
      <c r="A1" s="46" t="s">
        <v>0</v>
      </c>
      <c r="B1" s="47" t="s">
        <v>1</v>
      </c>
      <c r="C1" s="10" t="s">
        <v>2</v>
      </c>
      <c r="D1" s="10" t="s">
        <v>3</v>
      </c>
      <c r="E1" s="10" t="s">
        <v>4</v>
      </c>
      <c r="F1" s="10" t="s">
        <v>5</v>
      </c>
      <c r="G1" s="10" t="s">
        <v>6</v>
      </c>
      <c r="H1" s="10" t="s">
        <v>7</v>
      </c>
      <c r="I1" s="10" t="s">
        <v>176</v>
      </c>
      <c r="J1" s="10" t="s">
        <v>9</v>
      </c>
      <c r="K1" s="10" t="s">
        <v>10</v>
      </c>
      <c r="L1" s="10" t="s">
        <v>11</v>
      </c>
      <c r="M1" s="10" t="s">
        <v>12</v>
      </c>
      <c r="N1" s="10" t="s">
        <v>13</v>
      </c>
      <c r="O1" s="10" t="s">
        <v>14</v>
      </c>
      <c r="P1" s="48" t="s">
        <v>15</v>
      </c>
    </row>
    <row r="2" spans="1:16" x14ac:dyDescent="0.35">
      <c r="A2" s="49">
        <v>1</v>
      </c>
      <c r="B2" s="50">
        <v>40544</v>
      </c>
      <c r="C2" s="3">
        <v>1</v>
      </c>
      <c r="D2" s="3">
        <v>0</v>
      </c>
      <c r="E2" s="3" t="s">
        <v>104</v>
      </c>
      <c r="F2" s="3">
        <v>0</v>
      </c>
      <c r="G2" s="3" t="b">
        <v>0</v>
      </c>
      <c r="H2" s="3" t="s">
        <v>106</v>
      </c>
      <c r="I2" s="3" t="s">
        <v>113</v>
      </c>
      <c r="J2" s="3">
        <v>0.24</v>
      </c>
      <c r="K2" s="3">
        <v>0.28789999999999999</v>
      </c>
      <c r="L2" s="3">
        <v>0.81</v>
      </c>
      <c r="M2" s="3">
        <v>0</v>
      </c>
      <c r="N2" s="3">
        <v>3</v>
      </c>
      <c r="O2" s="3">
        <v>13</v>
      </c>
      <c r="P2" s="51">
        <v>16</v>
      </c>
    </row>
    <row r="3" spans="1:16" x14ac:dyDescent="0.35">
      <c r="A3" s="49">
        <v>2</v>
      </c>
      <c r="B3" s="50">
        <v>40544</v>
      </c>
      <c r="C3" s="3">
        <v>1</v>
      </c>
      <c r="D3" s="3">
        <v>0</v>
      </c>
      <c r="E3" s="3" t="s">
        <v>104</v>
      </c>
      <c r="F3" s="3">
        <v>1</v>
      </c>
      <c r="G3" s="3" t="b">
        <v>0</v>
      </c>
      <c r="H3" s="3" t="s">
        <v>106</v>
      </c>
      <c r="I3" s="3" t="s">
        <v>113</v>
      </c>
      <c r="J3" s="3">
        <v>0.22</v>
      </c>
      <c r="K3" s="3">
        <v>0.2727</v>
      </c>
      <c r="L3" s="3">
        <v>0.8</v>
      </c>
      <c r="M3" s="3">
        <v>0</v>
      </c>
      <c r="N3" s="3">
        <v>8</v>
      </c>
      <c r="O3" s="3">
        <v>32</v>
      </c>
      <c r="P3" s="51">
        <v>40</v>
      </c>
    </row>
    <row r="4" spans="1:16" x14ac:dyDescent="0.35">
      <c r="A4" s="49">
        <v>3</v>
      </c>
      <c r="B4" s="50">
        <v>40544</v>
      </c>
      <c r="C4" s="3">
        <v>1</v>
      </c>
      <c r="D4" s="3">
        <v>0</v>
      </c>
      <c r="E4" s="3" t="s">
        <v>104</v>
      </c>
      <c r="F4" s="3">
        <v>2</v>
      </c>
      <c r="G4" s="3" t="b">
        <v>0</v>
      </c>
      <c r="H4" s="3" t="s">
        <v>106</v>
      </c>
      <c r="I4" s="3" t="s">
        <v>113</v>
      </c>
      <c r="J4" s="3">
        <v>0.22</v>
      </c>
      <c r="K4" s="3">
        <v>0.2727</v>
      </c>
      <c r="L4" s="3">
        <v>0.8</v>
      </c>
      <c r="M4" s="3">
        <v>0</v>
      </c>
      <c r="N4" s="3">
        <v>5</v>
      </c>
      <c r="O4" s="3">
        <v>27</v>
      </c>
      <c r="P4" s="51">
        <v>32</v>
      </c>
    </row>
    <row r="5" spans="1:16" x14ac:dyDescent="0.35">
      <c r="A5" s="49">
        <v>4</v>
      </c>
      <c r="B5" s="50">
        <v>40544</v>
      </c>
      <c r="C5" s="3">
        <v>1</v>
      </c>
      <c r="D5" s="3">
        <v>0</v>
      </c>
      <c r="E5" s="3" t="s">
        <v>104</v>
      </c>
      <c r="F5" s="3">
        <v>3</v>
      </c>
      <c r="G5" s="3" t="b">
        <v>0</v>
      </c>
      <c r="H5" s="3" t="s">
        <v>106</v>
      </c>
      <c r="I5" s="3" t="s">
        <v>113</v>
      </c>
      <c r="J5" s="3">
        <v>0.24</v>
      </c>
      <c r="K5" s="3">
        <v>0.28789999999999999</v>
      </c>
      <c r="L5" s="3">
        <v>0.75</v>
      </c>
      <c r="M5" s="3">
        <v>0</v>
      </c>
      <c r="N5" s="3">
        <v>3</v>
      </c>
      <c r="O5" s="3">
        <v>10</v>
      </c>
      <c r="P5" s="51">
        <v>13</v>
      </c>
    </row>
    <row r="6" spans="1:16" x14ac:dyDescent="0.35">
      <c r="A6" s="49">
        <v>5</v>
      </c>
      <c r="B6" s="50">
        <v>40544</v>
      </c>
      <c r="C6" s="3">
        <v>1</v>
      </c>
      <c r="D6" s="3">
        <v>0</v>
      </c>
      <c r="E6" s="3" t="s">
        <v>104</v>
      </c>
      <c r="F6" s="3">
        <v>4</v>
      </c>
      <c r="G6" s="3" t="b">
        <v>0</v>
      </c>
      <c r="H6" s="3" t="s">
        <v>106</v>
      </c>
      <c r="I6" s="3" t="s">
        <v>113</v>
      </c>
      <c r="J6" s="3">
        <v>0.24</v>
      </c>
      <c r="K6" s="3">
        <v>0.28789999999999999</v>
      </c>
      <c r="L6" s="3">
        <v>0.75</v>
      </c>
      <c r="M6" s="3">
        <v>0</v>
      </c>
      <c r="N6" s="3">
        <v>0</v>
      </c>
      <c r="O6" s="3">
        <v>1</v>
      </c>
      <c r="P6" s="51">
        <v>1</v>
      </c>
    </row>
    <row r="7" spans="1:16" x14ac:dyDescent="0.35">
      <c r="A7" s="49">
        <v>6</v>
      </c>
      <c r="B7" s="50">
        <v>40544</v>
      </c>
      <c r="C7" s="3">
        <v>1</v>
      </c>
      <c r="D7" s="3">
        <v>0</v>
      </c>
      <c r="E7" s="3" t="s">
        <v>104</v>
      </c>
      <c r="F7" s="3">
        <v>5</v>
      </c>
      <c r="G7" s="3" t="b">
        <v>0</v>
      </c>
      <c r="H7" s="3" t="s">
        <v>106</v>
      </c>
      <c r="I7" s="3" t="s">
        <v>114</v>
      </c>
      <c r="J7" s="3">
        <v>0.24</v>
      </c>
      <c r="K7" s="3">
        <v>0.2576</v>
      </c>
      <c r="L7" s="3">
        <v>0.75</v>
      </c>
      <c r="M7" s="3">
        <v>8.9599999999999999E-2</v>
      </c>
      <c r="N7" s="3">
        <v>0</v>
      </c>
      <c r="O7" s="3">
        <v>1</v>
      </c>
      <c r="P7" s="51">
        <v>1</v>
      </c>
    </row>
    <row r="8" spans="1:16" x14ac:dyDescent="0.35">
      <c r="A8" s="49">
        <v>7</v>
      </c>
      <c r="B8" s="50">
        <v>40544</v>
      </c>
      <c r="C8" s="3">
        <v>1</v>
      </c>
      <c r="D8" s="3">
        <v>0</v>
      </c>
      <c r="E8" s="3" t="s">
        <v>104</v>
      </c>
      <c r="F8" s="3">
        <v>6</v>
      </c>
      <c r="G8" s="3" t="b">
        <v>0</v>
      </c>
      <c r="H8" s="3" t="s">
        <v>106</v>
      </c>
      <c r="I8" s="3" t="s">
        <v>113</v>
      </c>
      <c r="J8" s="3">
        <v>0.22</v>
      </c>
      <c r="K8" s="3">
        <v>0.2727</v>
      </c>
      <c r="L8" s="3">
        <v>0.8</v>
      </c>
      <c r="M8" s="3">
        <v>0</v>
      </c>
      <c r="N8" s="3">
        <v>2</v>
      </c>
      <c r="O8" s="3">
        <v>0</v>
      </c>
      <c r="P8" s="51">
        <v>2</v>
      </c>
    </row>
    <row r="9" spans="1:16" x14ac:dyDescent="0.35">
      <c r="A9" s="49">
        <v>8</v>
      </c>
      <c r="B9" s="50">
        <v>40544</v>
      </c>
      <c r="C9" s="3">
        <v>1</v>
      </c>
      <c r="D9" s="3">
        <v>0</v>
      </c>
      <c r="E9" s="3" t="s">
        <v>104</v>
      </c>
      <c r="F9" s="3">
        <v>7</v>
      </c>
      <c r="G9" s="3" t="b">
        <v>0</v>
      </c>
      <c r="H9" s="3" t="s">
        <v>106</v>
      </c>
      <c r="I9" s="3" t="s">
        <v>113</v>
      </c>
      <c r="J9" s="3">
        <v>0.2</v>
      </c>
      <c r="K9" s="3">
        <v>0.2576</v>
      </c>
      <c r="L9" s="3">
        <v>0.86</v>
      </c>
      <c r="M9" s="3">
        <v>0</v>
      </c>
      <c r="N9" s="3">
        <v>1</v>
      </c>
      <c r="O9" s="3">
        <v>2</v>
      </c>
      <c r="P9" s="51">
        <v>3</v>
      </c>
    </row>
    <row r="10" spans="1:16" x14ac:dyDescent="0.35">
      <c r="A10" s="49">
        <v>9</v>
      </c>
      <c r="B10" s="50">
        <v>40544</v>
      </c>
      <c r="C10" s="3">
        <v>1</v>
      </c>
      <c r="D10" s="3">
        <v>0</v>
      </c>
      <c r="E10" s="3" t="s">
        <v>104</v>
      </c>
      <c r="F10" s="3">
        <v>8</v>
      </c>
      <c r="G10" s="3" t="b">
        <v>0</v>
      </c>
      <c r="H10" s="3" t="s">
        <v>106</v>
      </c>
      <c r="I10" s="3" t="s">
        <v>113</v>
      </c>
      <c r="J10" s="3">
        <v>0.24</v>
      </c>
      <c r="K10" s="3">
        <v>0</v>
      </c>
      <c r="L10" s="3">
        <v>0.75</v>
      </c>
      <c r="M10" s="3">
        <v>0</v>
      </c>
      <c r="N10" s="3">
        <v>1</v>
      </c>
      <c r="O10" s="3">
        <v>7</v>
      </c>
      <c r="P10" s="51">
        <v>8</v>
      </c>
    </row>
    <row r="11" spans="1:16" x14ac:dyDescent="0.35">
      <c r="A11" s="49">
        <v>10</v>
      </c>
      <c r="B11" s="50">
        <v>40544</v>
      </c>
      <c r="C11" s="3">
        <v>1</v>
      </c>
      <c r="D11" s="3">
        <v>0</v>
      </c>
      <c r="E11" s="3" t="s">
        <v>104</v>
      </c>
      <c r="F11" s="3">
        <v>9</v>
      </c>
      <c r="G11" s="3" t="b">
        <v>0</v>
      </c>
      <c r="H11" s="3" t="s">
        <v>106</v>
      </c>
      <c r="I11" s="3" t="s">
        <v>113</v>
      </c>
      <c r="J11" s="3">
        <v>0.32</v>
      </c>
      <c r="K11" s="3">
        <v>0.34849999999999998</v>
      </c>
      <c r="L11" s="3">
        <v>0.76</v>
      </c>
      <c r="M11" s="3">
        <v>0</v>
      </c>
      <c r="N11" s="3">
        <v>8</v>
      </c>
      <c r="O11" s="3">
        <v>6</v>
      </c>
      <c r="P11" s="51">
        <v>14</v>
      </c>
    </row>
    <row r="12" spans="1:16" x14ac:dyDescent="0.35">
      <c r="A12" s="49">
        <v>11</v>
      </c>
      <c r="B12" s="50">
        <v>40544</v>
      </c>
      <c r="C12" s="3">
        <v>1</v>
      </c>
      <c r="D12" s="3">
        <v>0</v>
      </c>
      <c r="E12" s="3" t="s">
        <v>104</v>
      </c>
      <c r="F12" s="3">
        <v>10</v>
      </c>
      <c r="G12" s="3" t="b">
        <v>0</v>
      </c>
      <c r="H12" s="3" t="s">
        <v>106</v>
      </c>
      <c r="I12" s="3" t="s">
        <v>113</v>
      </c>
      <c r="J12" s="3">
        <v>0.38</v>
      </c>
      <c r="K12" s="3">
        <v>0.39389999999999997</v>
      </c>
      <c r="L12" s="3">
        <v>0.76</v>
      </c>
      <c r="M12" s="3">
        <v>0.25369999999999998</v>
      </c>
      <c r="N12" s="3">
        <v>12</v>
      </c>
      <c r="O12" s="3">
        <v>24</v>
      </c>
      <c r="P12" s="51">
        <v>36</v>
      </c>
    </row>
    <row r="13" spans="1:16" x14ac:dyDescent="0.35">
      <c r="A13" s="49">
        <v>12</v>
      </c>
      <c r="B13" s="50">
        <v>40544</v>
      </c>
      <c r="C13" s="3">
        <v>1</v>
      </c>
      <c r="D13" s="3">
        <v>0</v>
      </c>
      <c r="E13" s="3" t="s">
        <v>104</v>
      </c>
      <c r="F13" s="3">
        <v>11</v>
      </c>
      <c r="G13" s="3" t="b">
        <v>0</v>
      </c>
      <c r="H13" s="3" t="s">
        <v>106</v>
      </c>
      <c r="I13" s="3" t="s">
        <v>113</v>
      </c>
      <c r="J13" s="3">
        <v>0.36</v>
      </c>
      <c r="K13" s="3">
        <v>0.33329999999999999</v>
      </c>
      <c r="L13" s="3">
        <v>0.81</v>
      </c>
      <c r="M13" s="3">
        <v>0.28360000000000002</v>
      </c>
      <c r="N13" s="3">
        <v>26</v>
      </c>
      <c r="O13" s="3">
        <v>30</v>
      </c>
      <c r="P13" s="51">
        <v>56</v>
      </c>
    </row>
    <row r="14" spans="1:16" x14ac:dyDescent="0.35">
      <c r="A14" s="49">
        <v>13</v>
      </c>
      <c r="B14" s="50">
        <v>40544</v>
      </c>
      <c r="C14" s="3">
        <v>1</v>
      </c>
      <c r="D14" s="3">
        <v>0</v>
      </c>
      <c r="E14" s="3" t="s">
        <v>104</v>
      </c>
      <c r="F14" s="3">
        <v>12</v>
      </c>
      <c r="G14" s="3" t="b">
        <v>0</v>
      </c>
      <c r="H14" s="3" t="s">
        <v>106</v>
      </c>
      <c r="I14" s="3" t="s">
        <v>113</v>
      </c>
      <c r="J14" s="3">
        <v>0.42</v>
      </c>
      <c r="K14" s="3">
        <v>0.42420000000000002</v>
      </c>
      <c r="L14" s="3">
        <v>0.77</v>
      </c>
      <c r="M14" s="3">
        <v>0.28360000000000002</v>
      </c>
      <c r="N14" s="3">
        <v>29</v>
      </c>
      <c r="O14" s="3">
        <v>55</v>
      </c>
      <c r="P14" s="51">
        <v>84</v>
      </c>
    </row>
    <row r="15" spans="1:16" x14ac:dyDescent="0.35">
      <c r="A15" s="49">
        <v>14</v>
      </c>
      <c r="B15" s="50">
        <v>40544</v>
      </c>
      <c r="C15" s="3">
        <v>1</v>
      </c>
      <c r="D15" s="3">
        <v>0</v>
      </c>
      <c r="E15" s="3" t="s">
        <v>104</v>
      </c>
      <c r="F15" s="3">
        <v>13</v>
      </c>
      <c r="G15" s="3" t="b">
        <v>0</v>
      </c>
      <c r="H15" s="3" t="s">
        <v>106</v>
      </c>
      <c r="I15" s="3" t="s">
        <v>114</v>
      </c>
      <c r="J15" s="3">
        <v>0.46</v>
      </c>
      <c r="K15" s="3">
        <v>0.45450000000000002</v>
      </c>
      <c r="L15" s="3">
        <v>0.72</v>
      </c>
      <c r="M15" s="3">
        <v>0.29849999999999999</v>
      </c>
      <c r="N15" s="3">
        <v>47</v>
      </c>
      <c r="O15" s="3">
        <v>47</v>
      </c>
      <c r="P15" s="51">
        <v>94</v>
      </c>
    </row>
    <row r="16" spans="1:16" x14ac:dyDescent="0.35">
      <c r="A16" s="49">
        <v>15</v>
      </c>
      <c r="B16" s="50">
        <v>40544</v>
      </c>
      <c r="C16" s="3">
        <v>1</v>
      </c>
      <c r="D16" s="3">
        <v>0</v>
      </c>
      <c r="E16" s="3" t="s">
        <v>104</v>
      </c>
      <c r="F16" s="3">
        <v>14</v>
      </c>
      <c r="G16" s="3" t="b">
        <v>0</v>
      </c>
      <c r="H16" s="3" t="s">
        <v>106</v>
      </c>
      <c r="I16" s="3" t="s">
        <v>114</v>
      </c>
      <c r="J16" s="3">
        <v>0.46</v>
      </c>
      <c r="K16" s="3">
        <v>0.45450000000000002</v>
      </c>
      <c r="L16" s="3">
        <v>0.72</v>
      </c>
      <c r="M16" s="3">
        <v>0.28360000000000002</v>
      </c>
      <c r="N16" s="3">
        <v>35</v>
      </c>
      <c r="O16" s="3">
        <v>71</v>
      </c>
      <c r="P16" s="51">
        <v>106</v>
      </c>
    </row>
    <row r="17" spans="1:16" x14ac:dyDescent="0.35">
      <c r="A17" s="49">
        <v>16</v>
      </c>
      <c r="B17" s="50">
        <v>40544</v>
      </c>
      <c r="C17" s="3">
        <v>1</v>
      </c>
      <c r="D17" s="3">
        <v>0</v>
      </c>
      <c r="E17" s="3" t="s">
        <v>104</v>
      </c>
      <c r="F17" s="3">
        <v>15</v>
      </c>
      <c r="G17" s="3" t="b">
        <v>0</v>
      </c>
      <c r="H17" s="3" t="s">
        <v>106</v>
      </c>
      <c r="I17" s="3" t="s">
        <v>114</v>
      </c>
      <c r="J17" s="3">
        <v>0.44</v>
      </c>
      <c r="K17" s="3">
        <v>0.43940000000000001</v>
      </c>
      <c r="L17" s="3">
        <v>0.77</v>
      </c>
      <c r="M17" s="3">
        <v>0.29849999999999999</v>
      </c>
      <c r="N17" s="3">
        <v>40</v>
      </c>
      <c r="O17" s="3">
        <v>70</v>
      </c>
      <c r="P17" s="51">
        <v>110</v>
      </c>
    </row>
    <row r="18" spans="1:16" x14ac:dyDescent="0.35">
      <c r="A18" s="49">
        <v>17</v>
      </c>
      <c r="B18" s="50">
        <v>40544</v>
      </c>
      <c r="C18" s="3">
        <v>1</v>
      </c>
      <c r="D18" s="3">
        <v>0</v>
      </c>
      <c r="E18" s="3" t="s">
        <v>104</v>
      </c>
      <c r="F18" s="3">
        <v>16</v>
      </c>
      <c r="G18" s="3" t="b">
        <v>0</v>
      </c>
      <c r="H18" s="3" t="s">
        <v>106</v>
      </c>
      <c r="I18" s="3" t="s">
        <v>114</v>
      </c>
      <c r="J18" s="3">
        <v>0.42</v>
      </c>
      <c r="K18" s="3">
        <v>0.42420000000000002</v>
      </c>
      <c r="L18" s="3">
        <v>0.82</v>
      </c>
      <c r="M18" s="3">
        <v>0.29849999999999999</v>
      </c>
      <c r="N18" s="3">
        <v>41</v>
      </c>
      <c r="O18" s="3">
        <v>52</v>
      </c>
      <c r="P18" s="51">
        <v>93</v>
      </c>
    </row>
    <row r="19" spans="1:16" x14ac:dyDescent="0.35">
      <c r="A19" s="49">
        <v>18</v>
      </c>
      <c r="B19" s="50">
        <v>40544</v>
      </c>
      <c r="C19" s="3">
        <v>1</v>
      </c>
      <c r="D19" s="3">
        <v>0</v>
      </c>
      <c r="E19" s="3" t="s">
        <v>104</v>
      </c>
      <c r="F19" s="3">
        <v>17</v>
      </c>
      <c r="G19" s="3" t="b">
        <v>0</v>
      </c>
      <c r="H19" s="3" t="s">
        <v>106</v>
      </c>
      <c r="I19" s="3" t="s">
        <v>114</v>
      </c>
      <c r="J19" s="3">
        <v>0.44</v>
      </c>
      <c r="K19" s="3">
        <v>0</v>
      </c>
      <c r="L19" s="3">
        <v>0.82</v>
      </c>
      <c r="M19" s="3">
        <v>0.28360000000000002</v>
      </c>
      <c r="N19" s="3">
        <v>15</v>
      </c>
      <c r="O19" s="3">
        <v>52</v>
      </c>
      <c r="P19" s="51">
        <v>67</v>
      </c>
    </row>
    <row r="20" spans="1:16" x14ac:dyDescent="0.35">
      <c r="A20" s="49">
        <v>19</v>
      </c>
      <c r="B20" s="50">
        <v>40544</v>
      </c>
      <c r="C20" s="3">
        <v>1</v>
      </c>
      <c r="D20" s="3">
        <v>0</v>
      </c>
      <c r="E20" s="3" t="s">
        <v>104</v>
      </c>
      <c r="F20" s="3">
        <v>18</v>
      </c>
      <c r="G20" s="3" t="b">
        <v>0</v>
      </c>
      <c r="H20" s="3" t="s">
        <v>106</v>
      </c>
      <c r="I20" s="3" t="s">
        <v>115</v>
      </c>
      <c r="J20" s="3">
        <v>0.42</v>
      </c>
      <c r="K20" s="3">
        <v>0.42420000000000002</v>
      </c>
      <c r="L20" s="3">
        <v>0.88</v>
      </c>
      <c r="M20" s="3">
        <v>0.25369999999999998</v>
      </c>
      <c r="N20" s="3">
        <v>9</v>
      </c>
      <c r="O20" s="3">
        <v>26</v>
      </c>
      <c r="P20" s="51">
        <v>35</v>
      </c>
    </row>
    <row r="21" spans="1:16" x14ac:dyDescent="0.35">
      <c r="A21" s="49">
        <v>20</v>
      </c>
      <c r="B21" s="50">
        <v>40544</v>
      </c>
      <c r="C21" s="3">
        <v>1</v>
      </c>
      <c r="D21" s="3">
        <v>0</v>
      </c>
      <c r="E21" s="3" t="s">
        <v>104</v>
      </c>
      <c r="F21" s="3">
        <v>19</v>
      </c>
      <c r="G21" s="3" t="b">
        <v>0</v>
      </c>
      <c r="H21" s="3" t="s">
        <v>106</v>
      </c>
      <c r="I21" s="3" t="s">
        <v>115</v>
      </c>
      <c r="J21" s="3">
        <v>0.42</v>
      </c>
      <c r="K21" s="3">
        <v>0.42420000000000002</v>
      </c>
      <c r="L21" s="3">
        <v>0.88</v>
      </c>
      <c r="M21" s="3">
        <v>0.25369999999999998</v>
      </c>
      <c r="N21" s="3">
        <v>6</v>
      </c>
      <c r="O21" s="3">
        <v>31</v>
      </c>
      <c r="P21" s="51">
        <v>37</v>
      </c>
    </row>
    <row r="22" spans="1:16" x14ac:dyDescent="0.35">
      <c r="A22" s="49">
        <v>21</v>
      </c>
      <c r="B22" s="50">
        <v>40544</v>
      </c>
      <c r="C22" s="3">
        <v>1</v>
      </c>
      <c r="D22" s="3">
        <v>0</v>
      </c>
      <c r="E22" s="3" t="s">
        <v>104</v>
      </c>
      <c r="F22" s="3">
        <v>20</v>
      </c>
      <c r="G22" s="3" t="b">
        <v>0</v>
      </c>
      <c r="H22" s="3" t="s">
        <v>106</v>
      </c>
      <c r="I22" s="3" t="s">
        <v>114</v>
      </c>
      <c r="J22" s="3">
        <v>0.4</v>
      </c>
      <c r="K22" s="3">
        <v>0.40910000000000002</v>
      </c>
      <c r="L22" s="3">
        <v>0.87</v>
      </c>
      <c r="M22" s="3">
        <v>0.25369999999999998</v>
      </c>
      <c r="N22" s="3">
        <v>11</v>
      </c>
      <c r="O22" s="3">
        <v>25</v>
      </c>
      <c r="P22" s="51">
        <v>36</v>
      </c>
    </row>
    <row r="23" spans="1:16" x14ac:dyDescent="0.35">
      <c r="A23" s="49">
        <v>22</v>
      </c>
      <c r="B23" s="50">
        <v>40544</v>
      </c>
      <c r="C23" s="3">
        <v>1</v>
      </c>
      <c r="D23" s="3">
        <v>0</v>
      </c>
      <c r="E23" s="3" t="s">
        <v>104</v>
      </c>
      <c r="F23" s="3">
        <v>21</v>
      </c>
      <c r="G23" s="3" t="b">
        <v>0</v>
      </c>
      <c r="H23" s="3" t="s">
        <v>106</v>
      </c>
      <c r="I23" s="3" t="s">
        <v>114</v>
      </c>
      <c r="J23" s="3">
        <v>0.4</v>
      </c>
      <c r="K23" s="3">
        <v>0.40910000000000002</v>
      </c>
      <c r="L23" s="3">
        <v>0.87</v>
      </c>
      <c r="M23" s="3">
        <v>0.19400000000000001</v>
      </c>
      <c r="N23" s="3">
        <v>3</v>
      </c>
      <c r="O23" s="3">
        <v>31</v>
      </c>
      <c r="P23" s="51">
        <v>34</v>
      </c>
    </row>
    <row r="24" spans="1:16" x14ac:dyDescent="0.35">
      <c r="A24" s="49">
        <v>23</v>
      </c>
      <c r="B24" s="50">
        <v>40544</v>
      </c>
      <c r="C24" s="3">
        <v>1</v>
      </c>
      <c r="D24" s="3">
        <v>0</v>
      </c>
      <c r="E24" s="3" t="s">
        <v>104</v>
      </c>
      <c r="F24" s="3">
        <v>22</v>
      </c>
      <c r="G24" s="3" t="b">
        <v>0</v>
      </c>
      <c r="H24" s="3" t="s">
        <v>106</v>
      </c>
      <c r="I24" s="3" t="s">
        <v>114</v>
      </c>
      <c r="J24" s="3">
        <v>0.4</v>
      </c>
      <c r="K24" s="3">
        <v>0.40910000000000002</v>
      </c>
      <c r="L24" s="3">
        <v>0.94</v>
      </c>
      <c r="M24" s="3">
        <v>0.22389999999999999</v>
      </c>
      <c r="N24" s="3">
        <v>11</v>
      </c>
      <c r="O24" s="3">
        <v>17</v>
      </c>
      <c r="P24" s="51">
        <v>28</v>
      </c>
    </row>
    <row r="25" spans="1:16" x14ac:dyDescent="0.35">
      <c r="A25" s="49">
        <v>24</v>
      </c>
      <c r="B25" s="50">
        <v>40544</v>
      </c>
      <c r="C25" s="3">
        <v>1</v>
      </c>
      <c r="D25" s="3">
        <v>0</v>
      </c>
      <c r="E25" s="3" t="s">
        <v>104</v>
      </c>
      <c r="F25" s="3">
        <v>23</v>
      </c>
      <c r="G25" s="3" t="b">
        <v>0</v>
      </c>
      <c r="H25" s="3" t="s">
        <v>106</v>
      </c>
      <c r="I25" s="3" t="s">
        <v>114</v>
      </c>
      <c r="J25" s="3">
        <v>0.46</v>
      </c>
      <c r="K25" s="3">
        <v>0</v>
      </c>
      <c r="L25" s="3">
        <v>0.88</v>
      </c>
      <c r="M25" s="3">
        <v>0.29849999999999999</v>
      </c>
      <c r="N25" s="3">
        <v>15</v>
      </c>
      <c r="O25" s="3">
        <v>24</v>
      </c>
      <c r="P25" s="51">
        <v>39</v>
      </c>
    </row>
    <row r="26" spans="1:16" x14ac:dyDescent="0.35">
      <c r="A26" s="49">
        <v>25</v>
      </c>
      <c r="B26" s="50">
        <v>40545</v>
      </c>
      <c r="C26" s="3">
        <v>1</v>
      </c>
      <c r="D26" s="3">
        <v>0</v>
      </c>
      <c r="E26" s="3" t="s">
        <v>104</v>
      </c>
      <c r="F26" s="3">
        <v>0</v>
      </c>
      <c r="G26" s="3" t="b">
        <v>0</v>
      </c>
      <c r="H26" s="3" t="s">
        <v>107</v>
      </c>
      <c r="I26" s="3" t="s">
        <v>114</v>
      </c>
      <c r="J26" s="3">
        <v>0.46</v>
      </c>
      <c r="K26" s="3">
        <v>0.45450000000000002</v>
      </c>
      <c r="L26" s="3">
        <v>0.88</v>
      </c>
      <c r="M26" s="3">
        <v>0.29849999999999999</v>
      </c>
      <c r="N26" s="3">
        <v>4</v>
      </c>
      <c r="O26" s="3">
        <v>13</v>
      </c>
      <c r="P26" s="51">
        <v>17</v>
      </c>
    </row>
    <row r="27" spans="1:16" x14ac:dyDescent="0.35">
      <c r="A27" s="49">
        <v>26</v>
      </c>
      <c r="B27" s="50">
        <v>40545</v>
      </c>
      <c r="C27" s="3">
        <v>1</v>
      </c>
      <c r="D27" s="3">
        <v>0</v>
      </c>
      <c r="E27" s="3" t="s">
        <v>104</v>
      </c>
      <c r="F27" s="3">
        <v>1</v>
      </c>
      <c r="G27" s="3" t="b">
        <v>0</v>
      </c>
      <c r="H27" s="3" t="s">
        <v>107</v>
      </c>
      <c r="I27" s="3" t="s">
        <v>114</v>
      </c>
      <c r="J27" s="3">
        <v>0.44</v>
      </c>
      <c r="K27" s="3">
        <v>0.43940000000000001</v>
      </c>
      <c r="L27" s="3">
        <v>0.94</v>
      </c>
      <c r="M27" s="3">
        <v>0.25369999999999998</v>
      </c>
      <c r="N27" s="3">
        <v>1</v>
      </c>
      <c r="O27" s="3">
        <v>16</v>
      </c>
      <c r="P27" s="51">
        <v>17</v>
      </c>
    </row>
    <row r="28" spans="1:16" x14ac:dyDescent="0.35">
      <c r="A28" s="49">
        <v>27</v>
      </c>
      <c r="B28" s="50">
        <v>40545</v>
      </c>
      <c r="C28" s="3">
        <v>1</v>
      </c>
      <c r="D28" s="3">
        <v>0</v>
      </c>
      <c r="E28" s="3" t="s">
        <v>104</v>
      </c>
      <c r="F28" s="3">
        <v>2</v>
      </c>
      <c r="G28" s="3" t="b">
        <v>0</v>
      </c>
      <c r="H28" s="3" t="s">
        <v>107</v>
      </c>
      <c r="I28" s="3" t="s">
        <v>114</v>
      </c>
      <c r="J28" s="3">
        <v>0.42</v>
      </c>
      <c r="K28" s="3">
        <v>0.42420000000000002</v>
      </c>
      <c r="L28" s="3">
        <v>1</v>
      </c>
      <c r="M28" s="3">
        <v>0.28360000000000002</v>
      </c>
      <c r="N28" s="3">
        <v>1</v>
      </c>
      <c r="O28" s="3">
        <v>8</v>
      </c>
      <c r="P28" s="51">
        <v>9</v>
      </c>
    </row>
    <row r="29" spans="1:16" x14ac:dyDescent="0.35">
      <c r="A29" s="49">
        <v>28</v>
      </c>
      <c r="B29" s="50">
        <v>40545</v>
      </c>
      <c r="C29" s="3">
        <v>1</v>
      </c>
      <c r="D29" s="3">
        <v>0</v>
      </c>
      <c r="E29" s="3" t="s">
        <v>104</v>
      </c>
      <c r="F29" s="3">
        <v>3</v>
      </c>
      <c r="G29" s="3" t="b">
        <v>0</v>
      </c>
      <c r="H29" s="3" t="s">
        <v>107</v>
      </c>
      <c r="I29" s="3" t="s">
        <v>114</v>
      </c>
      <c r="J29" s="3">
        <v>0.46</v>
      </c>
      <c r="K29" s="3">
        <v>0.45450000000000002</v>
      </c>
      <c r="L29" s="3">
        <v>0.94</v>
      </c>
      <c r="M29" s="3">
        <v>0.19400000000000001</v>
      </c>
      <c r="N29" s="3">
        <v>2</v>
      </c>
      <c r="O29" s="3">
        <v>4</v>
      </c>
      <c r="P29" s="51">
        <v>6</v>
      </c>
    </row>
    <row r="30" spans="1:16" x14ac:dyDescent="0.35">
      <c r="A30" s="49">
        <v>29</v>
      </c>
      <c r="B30" s="50">
        <v>40545</v>
      </c>
      <c r="C30" s="3">
        <v>1</v>
      </c>
      <c r="D30" s="3">
        <v>0</v>
      </c>
      <c r="E30" s="3" t="s">
        <v>104</v>
      </c>
      <c r="F30" s="3">
        <v>4</v>
      </c>
      <c r="G30" s="3" t="b">
        <v>0</v>
      </c>
      <c r="H30" s="3" t="s">
        <v>107</v>
      </c>
      <c r="I30" s="3" t="s">
        <v>114</v>
      </c>
      <c r="J30" s="3">
        <v>0.46</v>
      </c>
      <c r="K30" s="3">
        <v>0</v>
      </c>
      <c r="L30" s="3">
        <v>0.94</v>
      </c>
      <c r="M30" s="3">
        <v>0.19400000000000001</v>
      </c>
      <c r="N30" s="3">
        <v>2</v>
      </c>
      <c r="O30" s="3">
        <v>1</v>
      </c>
      <c r="P30" s="51">
        <v>3</v>
      </c>
    </row>
    <row r="31" spans="1:16" x14ac:dyDescent="0.35">
      <c r="A31" s="49">
        <v>30</v>
      </c>
      <c r="B31" s="50">
        <v>40545</v>
      </c>
      <c r="C31" s="3">
        <v>1</v>
      </c>
      <c r="D31" s="3">
        <v>0</v>
      </c>
      <c r="E31" s="3" t="s">
        <v>104</v>
      </c>
      <c r="F31" s="3">
        <v>6</v>
      </c>
      <c r="G31" s="3" t="b">
        <v>0</v>
      </c>
      <c r="H31" s="3" t="s">
        <v>107</v>
      </c>
      <c r="I31" s="3" t="s">
        <v>115</v>
      </c>
      <c r="J31" s="3">
        <v>0.42</v>
      </c>
      <c r="K31" s="3">
        <v>0.42420000000000002</v>
      </c>
      <c r="L31" s="3">
        <v>0.77</v>
      </c>
      <c r="M31" s="3">
        <v>0.29849999999999999</v>
      </c>
      <c r="N31" s="3">
        <v>0</v>
      </c>
      <c r="O31" s="3">
        <v>2</v>
      </c>
      <c r="P31" s="51">
        <v>2</v>
      </c>
    </row>
    <row r="32" spans="1:16" x14ac:dyDescent="0.35">
      <c r="A32" s="49">
        <v>31</v>
      </c>
      <c r="B32" s="50">
        <v>40545</v>
      </c>
      <c r="C32" s="3">
        <v>1</v>
      </c>
      <c r="D32" s="3">
        <v>0</v>
      </c>
      <c r="E32" s="3" t="s">
        <v>104</v>
      </c>
      <c r="F32" s="3">
        <v>7</v>
      </c>
      <c r="G32" s="3" t="b">
        <v>0</v>
      </c>
      <c r="H32" s="3" t="s">
        <v>107</v>
      </c>
      <c r="I32" s="3" t="s">
        <v>114</v>
      </c>
      <c r="J32" s="3">
        <v>0.4</v>
      </c>
      <c r="K32" s="3">
        <v>0.40910000000000002</v>
      </c>
      <c r="L32" s="3">
        <v>0.76</v>
      </c>
      <c r="M32" s="3">
        <v>0.19400000000000001</v>
      </c>
      <c r="N32" s="3">
        <v>0</v>
      </c>
      <c r="O32" s="3">
        <v>1</v>
      </c>
      <c r="P32" s="51">
        <v>1</v>
      </c>
    </row>
    <row r="33" spans="1:16" x14ac:dyDescent="0.35">
      <c r="A33" s="49">
        <v>32</v>
      </c>
      <c r="B33" s="50">
        <v>40545</v>
      </c>
      <c r="C33" s="3">
        <v>1</v>
      </c>
      <c r="D33" s="3">
        <v>0</v>
      </c>
      <c r="E33" s="3" t="s">
        <v>104</v>
      </c>
      <c r="F33" s="3">
        <v>8</v>
      </c>
      <c r="G33" s="3" t="b">
        <v>0</v>
      </c>
      <c r="H33" s="3" t="s">
        <v>107</v>
      </c>
      <c r="I33" s="3" t="s">
        <v>115</v>
      </c>
      <c r="J33" s="3">
        <v>0.4</v>
      </c>
      <c r="K33" s="3">
        <v>0.40910000000000002</v>
      </c>
      <c r="L33" s="3">
        <v>0.71</v>
      </c>
      <c r="M33" s="3">
        <v>0.22389999999999999</v>
      </c>
      <c r="N33" s="3">
        <v>0</v>
      </c>
      <c r="O33" s="3">
        <v>8</v>
      </c>
      <c r="P33" s="51">
        <v>8</v>
      </c>
    </row>
    <row r="34" spans="1:16" x14ac:dyDescent="0.35">
      <c r="A34" s="49">
        <v>33</v>
      </c>
      <c r="B34" s="50">
        <v>40545</v>
      </c>
      <c r="C34" s="3">
        <v>1</v>
      </c>
      <c r="D34" s="3">
        <v>0</v>
      </c>
      <c r="E34" s="3" t="s">
        <v>104</v>
      </c>
      <c r="F34" s="3">
        <v>9</v>
      </c>
      <c r="G34" s="3" t="b">
        <v>0</v>
      </c>
      <c r="H34" s="3" t="s">
        <v>107</v>
      </c>
      <c r="I34" s="3" t="s">
        <v>114</v>
      </c>
      <c r="J34" s="3">
        <v>0.38</v>
      </c>
      <c r="K34" s="3">
        <v>0</v>
      </c>
      <c r="L34" s="3">
        <v>0.76</v>
      </c>
      <c r="M34" s="3">
        <v>0.22389999999999999</v>
      </c>
      <c r="N34" s="3">
        <v>1</v>
      </c>
      <c r="O34" s="3">
        <v>19</v>
      </c>
      <c r="P34" s="51">
        <v>20</v>
      </c>
    </row>
    <row r="35" spans="1:16" x14ac:dyDescent="0.35">
      <c r="A35" s="49">
        <v>34</v>
      </c>
      <c r="B35" s="50">
        <v>40545</v>
      </c>
      <c r="C35" s="3">
        <v>1</v>
      </c>
      <c r="D35" s="3">
        <v>0</v>
      </c>
      <c r="E35" s="3" t="s">
        <v>104</v>
      </c>
      <c r="F35" s="3">
        <v>10</v>
      </c>
      <c r="G35" s="3" t="b">
        <v>0</v>
      </c>
      <c r="H35" s="3" t="s">
        <v>107</v>
      </c>
      <c r="I35" s="3" t="s">
        <v>114</v>
      </c>
      <c r="J35" s="3">
        <v>0.36</v>
      </c>
      <c r="K35" s="3">
        <v>0.34849999999999998</v>
      </c>
      <c r="L35" s="3">
        <v>0.81</v>
      </c>
      <c r="M35" s="3">
        <v>0.22389999999999999</v>
      </c>
      <c r="N35" s="3">
        <v>7</v>
      </c>
      <c r="O35" s="3">
        <v>46</v>
      </c>
      <c r="P35" s="51">
        <v>53</v>
      </c>
    </row>
    <row r="36" spans="1:16" x14ac:dyDescent="0.35">
      <c r="A36" s="49">
        <v>35</v>
      </c>
      <c r="B36" s="50">
        <v>40545</v>
      </c>
      <c r="C36" s="3">
        <v>1</v>
      </c>
      <c r="D36" s="3">
        <v>0</v>
      </c>
      <c r="E36" s="3" t="s">
        <v>104</v>
      </c>
      <c r="F36" s="3">
        <v>11</v>
      </c>
      <c r="G36" s="3" t="b">
        <v>0</v>
      </c>
      <c r="H36" s="3" t="s">
        <v>107</v>
      </c>
      <c r="I36" s="3" t="s">
        <v>114</v>
      </c>
      <c r="J36" s="3">
        <v>0.36</v>
      </c>
      <c r="K36" s="3">
        <v>0.33329999999999999</v>
      </c>
      <c r="L36" s="3">
        <v>0.71</v>
      </c>
      <c r="M36" s="3">
        <v>0.25369999999999998</v>
      </c>
      <c r="N36" s="3">
        <v>16</v>
      </c>
      <c r="O36" s="3">
        <v>54</v>
      </c>
      <c r="P36" s="51">
        <v>70</v>
      </c>
    </row>
    <row r="37" spans="1:16" x14ac:dyDescent="0.35">
      <c r="A37" s="49">
        <v>36</v>
      </c>
      <c r="B37" s="50">
        <v>40545</v>
      </c>
      <c r="C37" s="3">
        <v>1</v>
      </c>
      <c r="D37" s="3">
        <v>0</v>
      </c>
      <c r="E37" s="3" t="s">
        <v>104</v>
      </c>
      <c r="F37" s="3">
        <v>12</v>
      </c>
      <c r="G37" s="3" t="b">
        <v>0</v>
      </c>
      <c r="H37" s="3" t="s">
        <v>107</v>
      </c>
      <c r="I37" s="3" t="s">
        <v>114</v>
      </c>
      <c r="J37" s="3">
        <v>0.36</v>
      </c>
      <c r="K37" s="3">
        <v>0.33329999999999999</v>
      </c>
      <c r="L37" s="3">
        <v>0.66</v>
      </c>
      <c r="M37" s="3">
        <v>0.29849999999999999</v>
      </c>
      <c r="N37" s="3">
        <v>20</v>
      </c>
      <c r="O37" s="3">
        <v>73</v>
      </c>
      <c r="P37" s="51">
        <v>93</v>
      </c>
    </row>
    <row r="38" spans="1:16" x14ac:dyDescent="0.35">
      <c r="A38" s="49">
        <v>37</v>
      </c>
      <c r="B38" s="50">
        <v>40545</v>
      </c>
      <c r="C38" s="3">
        <v>1</v>
      </c>
      <c r="D38" s="3">
        <v>0</v>
      </c>
      <c r="E38" s="3" t="s">
        <v>104</v>
      </c>
      <c r="F38" s="3">
        <v>13</v>
      </c>
      <c r="G38" s="3" t="b">
        <v>0</v>
      </c>
      <c r="H38" s="3" t="s">
        <v>107</v>
      </c>
      <c r="I38" s="3" t="s">
        <v>114</v>
      </c>
      <c r="J38" s="3">
        <v>0.36</v>
      </c>
      <c r="K38" s="3">
        <v>0.34849999999999998</v>
      </c>
      <c r="L38" s="3">
        <v>0.66</v>
      </c>
      <c r="M38" s="3">
        <v>0.1343</v>
      </c>
      <c r="N38" s="3">
        <v>11</v>
      </c>
      <c r="O38" s="3">
        <v>64</v>
      </c>
      <c r="P38" s="51">
        <v>75</v>
      </c>
    </row>
    <row r="39" spans="1:16" x14ac:dyDescent="0.35">
      <c r="A39" s="49">
        <v>38</v>
      </c>
      <c r="B39" s="50">
        <v>40545</v>
      </c>
      <c r="C39" s="3">
        <v>1</v>
      </c>
      <c r="D39" s="3">
        <v>0</v>
      </c>
      <c r="E39" s="3" t="s">
        <v>104</v>
      </c>
      <c r="F39" s="3">
        <v>14</v>
      </c>
      <c r="G39" s="3" t="b">
        <v>0</v>
      </c>
      <c r="H39" s="3" t="s">
        <v>107</v>
      </c>
      <c r="I39" s="3" t="s">
        <v>115</v>
      </c>
      <c r="J39" s="3">
        <v>0.36</v>
      </c>
      <c r="K39" s="3">
        <v>0</v>
      </c>
      <c r="L39" s="3">
        <v>0.76</v>
      </c>
      <c r="M39" s="3">
        <v>0.19400000000000001</v>
      </c>
      <c r="N39" s="3">
        <v>4</v>
      </c>
      <c r="O39" s="3">
        <v>55</v>
      </c>
      <c r="P39" s="51">
        <v>59</v>
      </c>
    </row>
    <row r="40" spans="1:16" x14ac:dyDescent="0.35">
      <c r="A40" s="49">
        <v>39</v>
      </c>
      <c r="B40" s="50">
        <v>40545</v>
      </c>
      <c r="C40" s="3">
        <v>1</v>
      </c>
      <c r="D40" s="3">
        <v>0</v>
      </c>
      <c r="E40" s="3" t="s">
        <v>104</v>
      </c>
      <c r="F40" s="3">
        <v>15</v>
      </c>
      <c r="G40" s="3" t="b">
        <v>0</v>
      </c>
      <c r="H40" s="3" t="s">
        <v>107</v>
      </c>
      <c r="I40" s="3" t="s">
        <v>115</v>
      </c>
      <c r="J40" s="3">
        <v>0.34</v>
      </c>
      <c r="K40" s="3">
        <v>0.33329999999999999</v>
      </c>
      <c r="L40" s="3">
        <v>0.81</v>
      </c>
      <c r="M40" s="3">
        <v>0.16420000000000001</v>
      </c>
      <c r="N40" s="3">
        <v>19</v>
      </c>
      <c r="O40" s="3">
        <v>55</v>
      </c>
      <c r="P40" s="51">
        <v>74</v>
      </c>
    </row>
    <row r="41" spans="1:16" x14ac:dyDescent="0.35">
      <c r="A41" s="49">
        <v>40</v>
      </c>
      <c r="B41" s="50">
        <v>40545</v>
      </c>
      <c r="C41" s="3">
        <v>1</v>
      </c>
      <c r="D41" s="3">
        <v>0</v>
      </c>
      <c r="E41" s="3" t="s">
        <v>104</v>
      </c>
      <c r="F41" s="3">
        <v>16</v>
      </c>
      <c r="G41" s="3" t="b">
        <v>0</v>
      </c>
      <c r="H41" s="3" t="s">
        <v>107</v>
      </c>
      <c r="I41" s="3" t="s">
        <v>115</v>
      </c>
      <c r="J41" s="3">
        <v>0.34</v>
      </c>
      <c r="K41" s="3">
        <v>0.33329999999999999</v>
      </c>
      <c r="L41" s="3">
        <v>0.71</v>
      </c>
      <c r="M41" s="3">
        <v>0.16420000000000001</v>
      </c>
      <c r="N41" s="3">
        <v>9</v>
      </c>
      <c r="O41" s="3">
        <v>67</v>
      </c>
      <c r="P41" s="51">
        <v>76</v>
      </c>
    </row>
    <row r="42" spans="1:16" x14ac:dyDescent="0.35">
      <c r="A42" s="49">
        <v>41</v>
      </c>
      <c r="B42" s="50">
        <v>40545</v>
      </c>
      <c r="C42" s="3">
        <v>1</v>
      </c>
      <c r="D42" s="3">
        <v>0</v>
      </c>
      <c r="E42" s="3" t="s">
        <v>104</v>
      </c>
      <c r="F42" s="3">
        <v>17</v>
      </c>
      <c r="G42" s="3" t="b">
        <v>0</v>
      </c>
      <c r="H42" s="3" t="s">
        <v>107</v>
      </c>
      <c r="I42" s="3" t="s">
        <v>113</v>
      </c>
      <c r="J42" s="3">
        <v>0.34</v>
      </c>
      <c r="K42" s="3">
        <v>0.33329999999999999</v>
      </c>
      <c r="L42" s="3">
        <v>0.56999999999999995</v>
      </c>
      <c r="M42" s="3">
        <v>0.19400000000000001</v>
      </c>
      <c r="N42" s="3">
        <v>7</v>
      </c>
      <c r="O42" s="3">
        <v>58</v>
      </c>
      <c r="P42" s="51">
        <v>65</v>
      </c>
    </row>
    <row r="43" spans="1:16" x14ac:dyDescent="0.35">
      <c r="A43" s="49">
        <v>42</v>
      </c>
      <c r="B43" s="50">
        <v>40545</v>
      </c>
      <c r="C43" s="3">
        <v>1</v>
      </c>
      <c r="D43" s="3">
        <v>0</v>
      </c>
      <c r="E43" s="3" t="s">
        <v>104</v>
      </c>
      <c r="F43" s="3">
        <v>18</v>
      </c>
      <c r="G43" s="3" t="b">
        <v>0</v>
      </c>
      <c r="H43" s="3" t="s">
        <v>107</v>
      </c>
      <c r="I43" s="3" t="s">
        <v>114</v>
      </c>
      <c r="J43" s="3">
        <v>0.36</v>
      </c>
      <c r="K43" s="3">
        <v>0.33329999999999999</v>
      </c>
      <c r="L43" s="3">
        <v>0.46</v>
      </c>
      <c r="M43" s="3">
        <v>0.32840000000000003</v>
      </c>
      <c r="N43" s="3">
        <v>10</v>
      </c>
      <c r="O43" s="3">
        <v>43</v>
      </c>
      <c r="P43" s="51">
        <v>53</v>
      </c>
    </row>
    <row r="44" spans="1:16" x14ac:dyDescent="0.35">
      <c r="A44" s="49">
        <v>43</v>
      </c>
      <c r="B44" s="50">
        <v>40545</v>
      </c>
      <c r="C44" s="3">
        <v>1</v>
      </c>
      <c r="D44" s="3">
        <v>0</v>
      </c>
      <c r="E44" s="3" t="s">
        <v>104</v>
      </c>
      <c r="F44" s="3">
        <v>19</v>
      </c>
      <c r="G44" s="3" t="b">
        <v>0</v>
      </c>
      <c r="H44" s="3" t="s">
        <v>107</v>
      </c>
      <c r="I44" s="3" t="s">
        <v>113</v>
      </c>
      <c r="J44" s="3">
        <v>0.32</v>
      </c>
      <c r="K44" s="3">
        <v>0.28789999999999999</v>
      </c>
      <c r="L44" s="3">
        <v>0.42</v>
      </c>
      <c r="M44" s="3">
        <v>0.44779999999999998</v>
      </c>
      <c r="N44" s="3">
        <v>1</v>
      </c>
      <c r="O44" s="3">
        <v>29</v>
      </c>
      <c r="P44" s="51">
        <v>30</v>
      </c>
    </row>
    <row r="45" spans="1:16" x14ac:dyDescent="0.35">
      <c r="A45" s="49">
        <v>44</v>
      </c>
      <c r="B45" s="50">
        <v>40545</v>
      </c>
      <c r="C45" s="3">
        <v>1</v>
      </c>
      <c r="D45" s="3">
        <v>0</v>
      </c>
      <c r="E45" s="3" t="s">
        <v>104</v>
      </c>
      <c r="F45" s="3">
        <v>20</v>
      </c>
      <c r="G45" s="3" t="b">
        <v>0</v>
      </c>
      <c r="H45" s="3" t="s">
        <v>107</v>
      </c>
      <c r="I45" s="3" t="s">
        <v>113</v>
      </c>
      <c r="J45" s="3">
        <v>0.3</v>
      </c>
      <c r="K45" s="3">
        <v>0</v>
      </c>
      <c r="L45" s="3">
        <v>0.39</v>
      </c>
      <c r="M45" s="3">
        <v>0.35820000000000002</v>
      </c>
      <c r="N45" s="3">
        <v>5</v>
      </c>
      <c r="O45" s="3">
        <v>17</v>
      </c>
      <c r="P45" s="51">
        <v>22</v>
      </c>
    </row>
    <row r="46" spans="1:16" x14ac:dyDescent="0.35">
      <c r="A46" s="49">
        <v>45</v>
      </c>
      <c r="B46" s="50">
        <v>40545</v>
      </c>
      <c r="C46" s="3">
        <v>1</v>
      </c>
      <c r="D46" s="3">
        <v>0</v>
      </c>
      <c r="E46" s="3" t="s">
        <v>104</v>
      </c>
      <c r="F46" s="3">
        <v>21</v>
      </c>
      <c r="G46" s="3" t="b">
        <v>0</v>
      </c>
      <c r="H46" s="3" t="s">
        <v>107</v>
      </c>
      <c r="I46" s="3" t="s">
        <v>113</v>
      </c>
      <c r="J46" s="3">
        <v>0.26</v>
      </c>
      <c r="K46" s="3">
        <v>0.2273</v>
      </c>
      <c r="L46" s="3">
        <v>0.44</v>
      </c>
      <c r="M46" s="3">
        <v>0.32840000000000003</v>
      </c>
      <c r="N46" s="3">
        <v>11</v>
      </c>
      <c r="O46" s="3">
        <v>20</v>
      </c>
      <c r="P46" s="51">
        <v>31</v>
      </c>
    </row>
    <row r="47" spans="1:16" x14ac:dyDescent="0.35">
      <c r="A47" s="49">
        <v>46</v>
      </c>
      <c r="B47" s="50">
        <v>40545</v>
      </c>
      <c r="C47" s="3">
        <v>1</v>
      </c>
      <c r="D47" s="3">
        <v>0</v>
      </c>
      <c r="E47" s="3" t="s">
        <v>104</v>
      </c>
      <c r="F47" s="3">
        <v>22</v>
      </c>
      <c r="G47" s="3" t="b">
        <v>0</v>
      </c>
      <c r="H47" s="3" t="s">
        <v>107</v>
      </c>
      <c r="I47" s="3" t="s">
        <v>113</v>
      </c>
      <c r="J47" s="3">
        <v>0.24</v>
      </c>
      <c r="K47" s="3">
        <v>0.21210000000000001</v>
      </c>
      <c r="L47" s="3">
        <v>0.44</v>
      </c>
      <c r="M47" s="3">
        <v>0.29849999999999999</v>
      </c>
      <c r="N47" s="3">
        <v>0</v>
      </c>
      <c r="O47" s="3">
        <v>9</v>
      </c>
      <c r="P47" s="51">
        <v>9</v>
      </c>
    </row>
    <row r="48" spans="1:16" x14ac:dyDescent="0.35">
      <c r="A48" s="49">
        <v>47</v>
      </c>
      <c r="B48" s="50">
        <v>40545</v>
      </c>
      <c r="C48" s="3">
        <v>1</v>
      </c>
      <c r="D48" s="3">
        <v>0</v>
      </c>
      <c r="E48" s="3" t="s">
        <v>104</v>
      </c>
      <c r="F48" s="3">
        <v>23</v>
      </c>
      <c r="G48" s="3" t="b">
        <v>0</v>
      </c>
      <c r="H48" s="3" t="s">
        <v>107</v>
      </c>
      <c r="I48" s="3" t="s">
        <v>113</v>
      </c>
      <c r="J48" s="3">
        <v>0.22</v>
      </c>
      <c r="K48" s="3">
        <v>0.2273</v>
      </c>
      <c r="L48" s="3">
        <v>0.47</v>
      </c>
      <c r="M48" s="3">
        <v>0.16420000000000001</v>
      </c>
      <c r="N48" s="3">
        <v>0</v>
      </c>
      <c r="O48" s="3">
        <v>8</v>
      </c>
      <c r="P48" s="51">
        <v>8</v>
      </c>
    </row>
    <row r="49" spans="1:16" x14ac:dyDescent="0.35">
      <c r="A49" s="49">
        <v>48</v>
      </c>
      <c r="B49" s="50">
        <v>40546</v>
      </c>
      <c r="C49" s="3">
        <v>1</v>
      </c>
      <c r="D49" s="3">
        <v>0</v>
      </c>
      <c r="E49" s="3" t="s">
        <v>104</v>
      </c>
      <c r="F49" s="3">
        <v>0</v>
      </c>
      <c r="G49" s="3" t="b">
        <v>0</v>
      </c>
      <c r="H49" s="3" t="s">
        <v>108</v>
      </c>
      <c r="I49" s="3" t="s">
        <v>113</v>
      </c>
      <c r="J49" s="3">
        <v>0.22</v>
      </c>
      <c r="K49" s="3">
        <v>0.19700000000000001</v>
      </c>
      <c r="L49" s="3">
        <v>0.44</v>
      </c>
      <c r="M49" s="3">
        <v>0.35820000000000002</v>
      </c>
      <c r="N49" s="3">
        <v>0</v>
      </c>
      <c r="O49" s="3">
        <v>5</v>
      </c>
      <c r="P49" s="51">
        <v>5</v>
      </c>
    </row>
    <row r="50" spans="1:16" x14ac:dyDescent="0.35">
      <c r="A50" s="49">
        <v>49</v>
      </c>
      <c r="B50" s="50">
        <v>40546</v>
      </c>
      <c r="C50" s="3">
        <v>1</v>
      </c>
      <c r="D50" s="3">
        <v>0</v>
      </c>
      <c r="E50" s="3" t="s">
        <v>104</v>
      </c>
      <c r="F50" s="3">
        <v>1</v>
      </c>
      <c r="G50" s="3" t="b">
        <v>0</v>
      </c>
      <c r="H50" s="3" t="s">
        <v>108</v>
      </c>
      <c r="I50" s="3" t="s">
        <v>113</v>
      </c>
      <c r="J50" s="3">
        <v>0.2</v>
      </c>
      <c r="K50" s="3">
        <v>0</v>
      </c>
      <c r="L50" s="3">
        <v>0.44</v>
      </c>
      <c r="M50" s="3">
        <v>0.41789999999999999</v>
      </c>
      <c r="N50" s="3">
        <v>0</v>
      </c>
      <c r="O50" s="3">
        <v>2</v>
      </c>
      <c r="P50" s="51">
        <v>2</v>
      </c>
    </row>
    <row r="51" spans="1:16" x14ac:dyDescent="0.35">
      <c r="A51" s="49">
        <v>50</v>
      </c>
      <c r="B51" s="50">
        <v>40546</v>
      </c>
      <c r="C51" s="3">
        <v>1</v>
      </c>
      <c r="D51" s="3">
        <v>0</v>
      </c>
      <c r="E51" s="3" t="s">
        <v>104</v>
      </c>
      <c r="F51" s="3">
        <v>4</v>
      </c>
      <c r="G51" s="3" t="b">
        <v>0</v>
      </c>
      <c r="H51" s="3" t="s">
        <v>108</v>
      </c>
      <c r="I51" s="3" t="s">
        <v>113</v>
      </c>
      <c r="J51" s="3">
        <v>0.16</v>
      </c>
      <c r="K51" s="3">
        <v>0.13639999999999999</v>
      </c>
      <c r="L51" s="3">
        <v>0.47</v>
      </c>
      <c r="M51" s="3">
        <v>0.3881</v>
      </c>
      <c r="N51" s="3">
        <v>0</v>
      </c>
      <c r="O51" s="3">
        <v>1</v>
      </c>
      <c r="P51" s="51">
        <v>1</v>
      </c>
    </row>
    <row r="52" spans="1:16" x14ac:dyDescent="0.35">
      <c r="A52" s="49">
        <v>51</v>
      </c>
      <c r="B52" s="50">
        <v>40546</v>
      </c>
      <c r="C52" s="3">
        <v>1</v>
      </c>
      <c r="D52" s="3">
        <v>0</v>
      </c>
      <c r="E52" s="3" t="s">
        <v>104</v>
      </c>
      <c r="F52" s="3">
        <v>5</v>
      </c>
      <c r="G52" s="3" t="b">
        <v>0</v>
      </c>
      <c r="H52" s="3" t="s">
        <v>108</v>
      </c>
      <c r="I52" s="3" t="s">
        <v>113</v>
      </c>
      <c r="J52" s="3">
        <v>0.16</v>
      </c>
      <c r="K52" s="3">
        <v>0.13639999999999999</v>
      </c>
      <c r="L52" s="3">
        <v>0.47</v>
      </c>
      <c r="M52" s="3">
        <v>0.28360000000000002</v>
      </c>
      <c r="N52" s="3">
        <v>0</v>
      </c>
      <c r="O52" s="3">
        <v>3</v>
      </c>
      <c r="P52" s="51">
        <v>3</v>
      </c>
    </row>
    <row r="53" spans="1:16" x14ac:dyDescent="0.35">
      <c r="A53" s="49">
        <v>52</v>
      </c>
      <c r="B53" s="50">
        <v>40546</v>
      </c>
      <c r="C53" s="3">
        <v>1</v>
      </c>
      <c r="D53" s="3">
        <v>0</v>
      </c>
      <c r="E53" s="3" t="s">
        <v>104</v>
      </c>
      <c r="F53" s="3">
        <v>6</v>
      </c>
      <c r="G53" s="3" t="b">
        <v>0</v>
      </c>
      <c r="H53" s="3" t="s">
        <v>108</v>
      </c>
      <c r="I53" s="3" t="s">
        <v>113</v>
      </c>
      <c r="J53" s="3">
        <v>0.14000000000000001</v>
      </c>
      <c r="K53" s="3">
        <v>0.1061</v>
      </c>
      <c r="L53" s="3">
        <v>0.5</v>
      </c>
      <c r="M53" s="3">
        <v>0.3881</v>
      </c>
      <c r="N53" s="3">
        <v>0</v>
      </c>
      <c r="O53" s="3">
        <v>30</v>
      </c>
      <c r="P53" s="51">
        <v>30</v>
      </c>
    </row>
    <row r="54" spans="1:16" x14ac:dyDescent="0.35">
      <c r="A54" s="49">
        <v>53</v>
      </c>
      <c r="B54" s="50">
        <v>40546</v>
      </c>
      <c r="C54" s="3">
        <v>1</v>
      </c>
      <c r="D54" s="3">
        <v>0</v>
      </c>
      <c r="E54" s="3" t="s">
        <v>104</v>
      </c>
      <c r="F54" s="3">
        <v>7</v>
      </c>
      <c r="G54" s="3" t="b">
        <v>0</v>
      </c>
      <c r="H54" s="3" t="s">
        <v>108</v>
      </c>
      <c r="I54" s="3" t="s">
        <v>113</v>
      </c>
      <c r="J54" s="3">
        <v>0.14000000000000001</v>
      </c>
      <c r="K54" s="3">
        <v>0.13639999999999999</v>
      </c>
      <c r="L54" s="3">
        <v>0.5</v>
      </c>
      <c r="M54" s="3">
        <v>0.19400000000000001</v>
      </c>
      <c r="N54" s="3">
        <v>1</v>
      </c>
      <c r="O54" s="3">
        <v>63</v>
      </c>
      <c r="P54" s="51">
        <v>64</v>
      </c>
    </row>
    <row r="55" spans="1:16" x14ac:dyDescent="0.35">
      <c r="A55" s="49">
        <v>54</v>
      </c>
      <c r="B55" s="50">
        <v>40546</v>
      </c>
      <c r="C55" s="3">
        <v>1</v>
      </c>
      <c r="D55" s="3">
        <v>0</v>
      </c>
      <c r="E55" s="3" t="s">
        <v>104</v>
      </c>
      <c r="F55" s="3">
        <v>8</v>
      </c>
      <c r="G55" s="3" t="b">
        <v>0</v>
      </c>
      <c r="H55" s="3" t="s">
        <v>108</v>
      </c>
      <c r="I55" s="3" t="s">
        <v>113</v>
      </c>
      <c r="J55" s="3">
        <v>0.14000000000000001</v>
      </c>
      <c r="K55" s="3">
        <v>0.1212</v>
      </c>
      <c r="L55" s="3">
        <v>0.5</v>
      </c>
      <c r="M55" s="3">
        <v>0.28360000000000002</v>
      </c>
      <c r="N55" s="3">
        <v>1</v>
      </c>
      <c r="O55" s="3">
        <v>153</v>
      </c>
      <c r="P55" s="51">
        <v>154</v>
      </c>
    </row>
    <row r="56" spans="1:16" x14ac:dyDescent="0.35">
      <c r="A56" s="49">
        <v>55</v>
      </c>
      <c r="B56" s="50">
        <v>40546</v>
      </c>
      <c r="C56" s="3">
        <v>1</v>
      </c>
      <c r="D56" s="3">
        <v>0</v>
      </c>
      <c r="E56" s="3" t="s">
        <v>104</v>
      </c>
      <c r="F56" s="3">
        <v>9</v>
      </c>
      <c r="G56" s="3" t="b">
        <v>0</v>
      </c>
      <c r="H56" s="3" t="s">
        <v>108</v>
      </c>
      <c r="I56" s="3" t="s">
        <v>113</v>
      </c>
      <c r="J56" s="3">
        <v>0.16</v>
      </c>
      <c r="K56" s="3">
        <v>0.13639999999999999</v>
      </c>
      <c r="L56" s="3">
        <v>0.43</v>
      </c>
      <c r="M56" s="3">
        <v>0.3881</v>
      </c>
      <c r="N56" s="3">
        <v>7</v>
      </c>
      <c r="O56" s="3">
        <v>81</v>
      </c>
      <c r="P56" s="51">
        <v>88</v>
      </c>
    </row>
    <row r="57" spans="1:16" x14ac:dyDescent="0.35">
      <c r="A57" s="49">
        <v>56</v>
      </c>
      <c r="B57" s="50">
        <v>40546</v>
      </c>
      <c r="C57" s="3">
        <v>1</v>
      </c>
      <c r="D57" s="3">
        <v>0</v>
      </c>
      <c r="E57" s="3" t="s">
        <v>104</v>
      </c>
      <c r="F57" s="3">
        <v>10</v>
      </c>
      <c r="G57" s="3" t="b">
        <v>0</v>
      </c>
      <c r="H57" s="3" t="s">
        <v>108</v>
      </c>
      <c r="I57" s="3" t="s">
        <v>113</v>
      </c>
      <c r="J57" s="3">
        <v>0.18</v>
      </c>
      <c r="K57" s="3">
        <v>0.16669999999999999</v>
      </c>
      <c r="L57" s="3">
        <v>0.43</v>
      </c>
      <c r="M57" s="3">
        <v>0.25369999999999998</v>
      </c>
      <c r="N57" s="3">
        <v>11</v>
      </c>
      <c r="O57" s="3">
        <v>33</v>
      </c>
      <c r="P57" s="51">
        <v>44</v>
      </c>
    </row>
    <row r="58" spans="1:16" x14ac:dyDescent="0.35">
      <c r="A58" s="49">
        <v>57</v>
      </c>
      <c r="B58" s="50">
        <v>40546</v>
      </c>
      <c r="C58" s="3">
        <v>1</v>
      </c>
      <c r="D58" s="3">
        <v>0</v>
      </c>
      <c r="E58" s="3" t="s">
        <v>104</v>
      </c>
      <c r="F58" s="3">
        <v>11</v>
      </c>
      <c r="G58" s="3" t="b">
        <v>0</v>
      </c>
      <c r="H58" s="3" t="s">
        <v>108</v>
      </c>
      <c r="I58" s="3" t="s">
        <v>113</v>
      </c>
      <c r="J58" s="3">
        <v>0.2</v>
      </c>
      <c r="K58" s="3">
        <v>0.18179999999999999</v>
      </c>
      <c r="L58" s="3">
        <v>0.4</v>
      </c>
      <c r="M58" s="3">
        <v>0.32840000000000003</v>
      </c>
      <c r="N58" s="3">
        <v>10</v>
      </c>
      <c r="O58" s="3">
        <v>41</v>
      </c>
      <c r="P58" s="51">
        <v>51</v>
      </c>
    </row>
    <row r="59" spans="1:16" x14ac:dyDescent="0.35">
      <c r="A59" s="49">
        <v>58</v>
      </c>
      <c r="B59" s="50">
        <v>40546</v>
      </c>
      <c r="C59" s="3">
        <v>1</v>
      </c>
      <c r="D59" s="3">
        <v>0</v>
      </c>
      <c r="E59" s="3" t="s">
        <v>104</v>
      </c>
      <c r="F59" s="3">
        <v>12</v>
      </c>
      <c r="G59" s="3" t="b">
        <v>0</v>
      </c>
      <c r="H59" s="3" t="s">
        <v>108</v>
      </c>
      <c r="I59" s="3" t="s">
        <v>113</v>
      </c>
      <c r="J59" s="3">
        <v>0.22</v>
      </c>
      <c r="K59" s="3">
        <v>0.21210000000000001</v>
      </c>
      <c r="L59" s="3">
        <v>0.35</v>
      </c>
      <c r="M59" s="3">
        <v>0.29849999999999999</v>
      </c>
      <c r="N59" s="3">
        <v>13</v>
      </c>
      <c r="O59" s="3">
        <v>48</v>
      </c>
      <c r="P59" s="51">
        <v>61</v>
      </c>
    </row>
    <row r="60" spans="1:16" x14ac:dyDescent="0.35">
      <c r="A60" s="49">
        <v>59</v>
      </c>
      <c r="B60" s="50">
        <v>40546</v>
      </c>
      <c r="C60" s="3">
        <v>1</v>
      </c>
      <c r="D60" s="3">
        <v>0</v>
      </c>
      <c r="E60" s="3" t="s">
        <v>104</v>
      </c>
      <c r="F60" s="3">
        <v>13</v>
      </c>
      <c r="G60" s="3" t="b">
        <v>0</v>
      </c>
      <c r="H60" s="3" t="s">
        <v>108</v>
      </c>
      <c r="I60" s="3" t="s">
        <v>113</v>
      </c>
      <c r="J60" s="3">
        <v>0.24</v>
      </c>
      <c r="K60" s="3">
        <v>0</v>
      </c>
      <c r="L60" s="3">
        <v>0.35</v>
      </c>
      <c r="M60" s="3">
        <v>0.28360000000000002</v>
      </c>
      <c r="N60" s="3">
        <v>8</v>
      </c>
      <c r="O60" s="3">
        <v>53</v>
      </c>
      <c r="P60" s="51">
        <v>61</v>
      </c>
    </row>
    <row r="61" spans="1:16" x14ac:dyDescent="0.35">
      <c r="A61" s="49">
        <v>60</v>
      </c>
      <c r="B61" s="50">
        <v>40546</v>
      </c>
      <c r="C61" s="3">
        <v>1</v>
      </c>
      <c r="D61" s="3">
        <v>0</v>
      </c>
      <c r="E61" s="3" t="s">
        <v>104</v>
      </c>
      <c r="F61" s="3">
        <v>14</v>
      </c>
      <c r="G61" s="3" t="b">
        <v>0</v>
      </c>
      <c r="H61" s="3" t="s">
        <v>108</v>
      </c>
      <c r="I61" s="3" t="s">
        <v>113</v>
      </c>
      <c r="J61" s="3">
        <v>0.26</v>
      </c>
      <c r="K61" s="3">
        <v>0.2424</v>
      </c>
      <c r="L61" s="3">
        <v>0.3</v>
      </c>
      <c r="M61" s="3">
        <v>0.28360000000000002</v>
      </c>
      <c r="N61" s="3">
        <v>11</v>
      </c>
      <c r="O61" s="3">
        <v>66</v>
      </c>
      <c r="P61" s="51">
        <v>77</v>
      </c>
    </row>
    <row r="62" spans="1:16" x14ac:dyDescent="0.35">
      <c r="A62" s="49">
        <v>61</v>
      </c>
      <c r="B62" s="50">
        <v>40546</v>
      </c>
      <c r="C62" s="3">
        <v>1</v>
      </c>
      <c r="D62" s="3">
        <v>0</v>
      </c>
      <c r="E62" s="3" t="s">
        <v>104</v>
      </c>
      <c r="F62" s="3">
        <v>15</v>
      </c>
      <c r="G62" s="3" t="b">
        <v>0</v>
      </c>
      <c r="H62" s="3" t="s">
        <v>108</v>
      </c>
      <c r="I62" s="3" t="s">
        <v>113</v>
      </c>
      <c r="J62" s="3">
        <v>0.26</v>
      </c>
      <c r="K62" s="3">
        <v>0.2424</v>
      </c>
      <c r="L62" s="3">
        <v>0.3</v>
      </c>
      <c r="M62" s="3">
        <v>0.25369999999999998</v>
      </c>
      <c r="N62" s="3">
        <v>14</v>
      </c>
      <c r="O62" s="3">
        <v>58</v>
      </c>
      <c r="P62" s="51">
        <v>72</v>
      </c>
    </row>
    <row r="63" spans="1:16" x14ac:dyDescent="0.35">
      <c r="A63" s="49">
        <v>62</v>
      </c>
      <c r="B63" s="50">
        <v>40546</v>
      </c>
      <c r="C63" s="3">
        <v>1</v>
      </c>
      <c r="D63" s="3">
        <v>0</v>
      </c>
      <c r="E63" s="3" t="s">
        <v>104</v>
      </c>
      <c r="F63" s="3">
        <v>16</v>
      </c>
      <c r="G63" s="3" t="b">
        <v>0</v>
      </c>
      <c r="H63" s="3" t="s">
        <v>108</v>
      </c>
      <c r="I63" s="3" t="s">
        <v>113</v>
      </c>
      <c r="J63" s="3">
        <v>0.26</v>
      </c>
      <c r="K63" s="3">
        <v>0.2424</v>
      </c>
      <c r="L63" s="3">
        <v>0.3</v>
      </c>
      <c r="M63" s="3">
        <v>0.25369999999999998</v>
      </c>
      <c r="N63" s="3">
        <v>9</v>
      </c>
      <c r="O63" s="3">
        <v>67</v>
      </c>
      <c r="P63" s="51">
        <v>76</v>
      </c>
    </row>
    <row r="64" spans="1:16" x14ac:dyDescent="0.35">
      <c r="A64" s="49">
        <v>63</v>
      </c>
      <c r="B64" s="50">
        <v>40546</v>
      </c>
      <c r="C64" s="3">
        <v>1</v>
      </c>
      <c r="D64" s="3">
        <v>0</v>
      </c>
      <c r="E64" s="3" t="s">
        <v>104</v>
      </c>
      <c r="F64" s="3">
        <v>17</v>
      </c>
      <c r="G64" s="3" t="b">
        <v>0</v>
      </c>
      <c r="H64" s="3" t="s">
        <v>108</v>
      </c>
      <c r="I64" s="3" t="s">
        <v>113</v>
      </c>
      <c r="J64" s="3">
        <v>0.24</v>
      </c>
      <c r="K64" s="3">
        <v>0.2273</v>
      </c>
      <c r="L64" s="3">
        <v>0.3</v>
      </c>
      <c r="M64" s="3">
        <v>0.22389999999999999</v>
      </c>
      <c r="N64" s="3">
        <v>11</v>
      </c>
      <c r="O64" s="3">
        <v>146</v>
      </c>
      <c r="P64" s="51">
        <v>157</v>
      </c>
    </row>
    <row r="65" spans="1:16" x14ac:dyDescent="0.35">
      <c r="A65" s="49">
        <v>64</v>
      </c>
      <c r="B65" s="50">
        <v>40546</v>
      </c>
      <c r="C65" s="3">
        <v>1</v>
      </c>
      <c r="D65" s="3">
        <v>0</v>
      </c>
      <c r="E65" s="3" t="s">
        <v>104</v>
      </c>
      <c r="F65" s="3">
        <v>18</v>
      </c>
      <c r="G65" s="3" t="b">
        <v>0</v>
      </c>
      <c r="H65" s="3" t="s">
        <v>108</v>
      </c>
      <c r="I65" s="3" t="s">
        <v>113</v>
      </c>
      <c r="J65" s="3">
        <v>0.24</v>
      </c>
      <c r="K65" s="3">
        <v>0.2576</v>
      </c>
      <c r="L65" s="3">
        <v>0.32</v>
      </c>
      <c r="M65" s="3">
        <v>0.1045</v>
      </c>
      <c r="N65" s="3">
        <v>9</v>
      </c>
      <c r="O65" s="3">
        <v>148</v>
      </c>
      <c r="P65" s="51">
        <v>157</v>
      </c>
    </row>
    <row r="66" spans="1:16" x14ac:dyDescent="0.35">
      <c r="A66" s="49">
        <v>65</v>
      </c>
      <c r="B66" s="50">
        <v>40546</v>
      </c>
      <c r="C66" s="3">
        <v>1</v>
      </c>
      <c r="D66" s="3">
        <v>0</v>
      </c>
      <c r="E66" s="3" t="s">
        <v>104</v>
      </c>
      <c r="F66" s="3">
        <v>19</v>
      </c>
      <c r="G66" s="3" t="b">
        <v>0</v>
      </c>
      <c r="H66" s="3" t="s">
        <v>108</v>
      </c>
      <c r="I66" s="3" t="s">
        <v>113</v>
      </c>
      <c r="J66" s="3">
        <v>0.2</v>
      </c>
      <c r="K66" s="3">
        <v>0.2576</v>
      </c>
      <c r="L66" s="3">
        <v>0.47</v>
      </c>
      <c r="M66" s="3">
        <v>0</v>
      </c>
      <c r="N66" s="3">
        <v>8</v>
      </c>
      <c r="O66" s="3">
        <v>102</v>
      </c>
      <c r="P66" s="51">
        <v>110</v>
      </c>
    </row>
    <row r="67" spans="1:16" x14ac:dyDescent="0.35">
      <c r="A67" s="49">
        <v>66</v>
      </c>
      <c r="B67" s="50">
        <v>40546</v>
      </c>
      <c r="C67" s="3">
        <v>1</v>
      </c>
      <c r="D67" s="3">
        <v>0</v>
      </c>
      <c r="E67" s="3" t="s">
        <v>104</v>
      </c>
      <c r="F67" s="3">
        <v>20</v>
      </c>
      <c r="G67" s="3" t="b">
        <v>0</v>
      </c>
      <c r="H67" s="3" t="s">
        <v>108</v>
      </c>
      <c r="I67" s="3" t="s">
        <v>113</v>
      </c>
      <c r="J67" s="3">
        <v>0.2</v>
      </c>
      <c r="K67" s="3">
        <v>0</v>
      </c>
      <c r="L67" s="3">
        <v>0.47</v>
      </c>
      <c r="M67" s="3">
        <v>0.1045</v>
      </c>
      <c r="N67" s="3">
        <v>3</v>
      </c>
      <c r="O67" s="3">
        <v>49</v>
      </c>
      <c r="P67" s="51">
        <v>52</v>
      </c>
    </row>
    <row r="68" spans="1:16" x14ac:dyDescent="0.35">
      <c r="A68" s="49">
        <v>67</v>
      </c>
      <c r="B68" s="50">
        <v>40546</v>
      </c>
      <c r="C68" s="3">
        <v>1</v>
      </c>
      <c r="D68" s="3">
        <v>0</v>
      </c>
      <c r="E68" s="3" t="s">
        <v>104</v>
      </c>
      <c r="F68" s="3">
        <v>21</v>
      </c>
      <c r="G68" s="3" t="b">
        <v>0</v>
      </c>
      <c r="H68" s="3" t="s">
        <v>108</v>
      </c>
      <c r="I68" s="3" t="s">
        <v>113</v>
      </c>
      <c r="J68" s="3">
        <v>0.18</v>
      </c>
      <c r="K68" s="3">
        <v>0.19700000000000001</v>
      </c>
      <c r="L68" s="3">
        <v>0.64</v>
      </c>
      <c r="M68" s="3">
        <v>0.1343</v>
      </c>
      <c r="N68" s="3">
        <v>3</v>
      </c>
      <c r="O68" s="3">
        <v>49</v>
      </c>
      <c r="P68" s="51">
        <v>52</v>
      </c>
    </row>
    <row r="69" spans="1:16" x14ac:dyDescent="0.35">
      <c r="A69" s="49">
        <v>68</v>
      </c>
      <c r="B69" s="50">
        <v>40546</v>
      </c>
      <c r="C69" s="3">
        <v>1</v>
      </c>
      <c r="D69" s="3">
        <v>0</v>
      </c>
      <c r="E69" s="3" t="s">
        <v>104</v>
      </c>
      <c r="F69" s="3">
        <v>22</v>
      </c>
      <c r="G69" s="3" t="b">
        <v>0</v>
      </c>
      <c r="H69" s="3" t="s">
        <v>108</v>
      </c>
      <c r="I69" s="3" t="s">
        <v>113</v>
      </c>
      <c r="J69" s="3">
        <v>0.14000000000000001</v>
      </c>
      <c r="K69" s="3">
        <v>0.1515</v>
      </c>
      <c r="L69" s="3">
        <v>0.69</v>
      </c>
      <c r="M69" s="3">
        <v>0.1343</v>
      </c>
      <c r="N69" s="3">
        <v>0</v>
      </c>
      <c r="O69" s="3">
        <v>20</v>
      </c>
      <c r="P69" s="51">
        <v>20</v>
      </c>
    </row>
    <row r="70" spans="1:16" x14ac:dyDescent="0.35">
      <c r="A70" s="49">
        <v>69</v>
      </c>
      <c r="B70" s="50">
        <v>40546</v>
      </c>
      <c r="C70" s="3">
        <v>1</v>
      </c>
      <c r="D70" s="3">
        <v>0</v>
      </c>
      <c r="E70" s="3" t="s">
        <v>104</v>
      </c>
      <c r="F70" s="3">
        <v>23</v>
      </c>
      <c r="G70" s="3" t="b">
        <v>0</v>
      </c>
      <c r="H70" s="3" t="s">
        <v>108</v>
      </c>
      <c r="I70" s="3" t="s">
        <v>113</v>
      </c>
      <c r="J70" s="3">
        <v>0.18</v>
      </c>
      <c r="K70" s="3">
        <v>0.21210000000000001</v>
      </c>
      <c r="L70" s="3">
        <v>0.55000000000000004</v>
      </c>
      <c r="M70" s="3">
        <v>0.1045</v>
      </c>
      <c r="N70" s="3">
        <v>1</v>
      </c>
      <c r="O70" s="3">
        <v>11</v>
      </c>
      <c r="P70" s="51">
        <v>12</v>
      </c>
    </row>
    <row r="71" spans="1:16" x14ac:dyDescent="0.35">
      <c r="A71" s="49">
        <v>70</v>
      </c>
      <c r="B71" s="50">
        <v>40547</v>
      </c>
      <c r="C71" s="3">
        <v>1</v>
      </c>
      <c r="D71" s="3">
        <v>0</v>
      </c>
      <c r="E71" s="3" t="s">
        <v>104</v>
      </c>
      <c r="F71" s="3">
        <v>0</v>
      </c>
      <c r="G71" s="3" t="b">
        <v>0</v>
      </c>
      <c r="H71" s="3" t="s">
        <v>109</v>
      </c>
      <c r="I71" s="3" t="s">
        <v>113</v>
      </c>
      <c r="J71" s="3">
        <v>0.16</v>
      </c>
      <c r="K71" s="3">
        <v>0</v>
      </c>
      <c r="L71" s="3">
        <v>0.55000000000000004</v>
      </c>
      <c r="M71" s="3">
        <v>0.1045</v>
      </c>
      <c r="N71" s="3">
        <v>0</v>
      </c>
      <c r="O71" s="3">
        <v>5</v>
      </c>
      <c r="P71" s="51">
        <v>5</v>
      </c>
    </row>
    <row r="72" spans="1:16" x14ac:dyDescent="0.35">
      <c r="A72" s="49">
        <v>71</v>
      </c>
      <c r="B72" s="50">
        <v>40547</v>
      </c>
      <c r="C72" s="3">
        <v>1</v>
      </c>
      <c r="D72" s="3">
        <v>0</v>
      </c>
      <c r="E72" s="3" t="s">
        <v>104</v>
      </c>
      <c r="F72" s="3">
        <v>1</v>
      </c>
      <c r="G72" s="3" t="b">
        <v>0</v>
      </c>
      <c r="H72" s="3" t="s">
        <v>109</v>
      </c>
      <c r="I72" s="3" t="s">
        <v>113</v>
      </c>
      <c r="J72" s="3">
        <v>0.16</v>
      </c>
      <c r="K72" s="3">
        <v>0.18179999999999999</v>
      </c>
      <c r="L72" s="3">
        <v>0.59</v>
      </c>
      <c r="M72" s="3">
        <v>0.1045</v>
      </c>
      <c r="N72" s="3">
        <v>0</v>
      </c>
      <c r="O72" s="3">
        <v>2</v>
      </c>
      <c r="P72" s="51">
        <v>2</v>
      </c>
    </row>
    <row r="73" spans="1:16" x14ac:dyDescent="0.35">
      <c r="A73" s="49">
        <v>72</v>
      </c>
      <c r="B73" s="50">
        <v>40547</v>
      </c>
      <c r="C73" s="3">
        <v>1</v>
      </c>
      <c r="D73" s="3">
        <v>0</v>
      </c>
      <c r="E73" s="3" t="s">
        <v>104</v>
      </c>
      <c r="F73" s="3">
        <v>2</v>
      </c>
      <c r="G73" s="3" t="b">
        <v>0</v>
      </c>
      <c r="H73" s="3" t="s">
        <v>109</v>
      </c>
      <c r="I73" s="3" t="s">
        <v>113</v>
      </c>
      <c r="J73" s="3">
        <v>0.14000000000000001</v>
      </c>
      <c r="K73" s="3">
        <v>0.1515</v>
      </c>
      <c r="L73" s="3">
        <v>0.63</v>
      </c>
      <c r="M73" s="3">
        <v>0.1343</v>
      </c>
      <c r="N73" s="3">
        <v>0</v>
      </c>
      <c r="O73" s="3">
        <v>1</v>
      </c>
      <c r="P73" s="51">
        <v>1</v>
      </c>
    </row>
    <row r="74" spans="1:16" x14ac:dyDescent="0.35">
      <c r="A74" s="49">
        <v>73</v>
      </c>
      <c r="B74" s="50">
        <v>40547</v>
      </c>
      <c r="C74" s="3">
        <v>1</v>
      </c>
      <c r="D74" s="3">
        <v>0</v>
      </c>
      <c r="E74" s="3" t="s">
        <v>104</v>
      </c>
      <c r="F74" s="3">
        <v>4</v>
      </c>
      <c r="G74" s="3" t="b">
        <v>0</v>
      </c>
      <c r="H74" s="3" t="s">
        <v>109</v>
      </c>
      <c r="I74" s="3" t="s">
        <v>113</v>
      </c>
      <c r="J74" s="3">
        <v>0.14000000000000001</v>
      </c>
      <c r="K74" s="3">
        <v>0.18179999999999999</v>
      </c>
      <c r="L74" s="3">
        <v>0.63</v>
      </c>
      <c r="M74" s="3">
        <v>8.9599999999999999E-2</v>
      </c>
      <c r="N74" s="3">
        <v>0</v>
      </c>
      <c r="O74" s="3">
        <v>2</v>
      </c>
      <c r="P74" s="51">
        <v>2</v>
      </c>
    </row>
    <row r="75" spans="1:16" x14ac:dyDescent="0.35">
      <c r="A75" s="49">
        <v>74</v>
      </c>
      <c r="B75" s="50">
        <v>40547</v>
      </c>
      <c r="C75" s="3">
        <v>1</v>
      </c>
      <c r="D75" s="3">
        <v>0</v>
      </c>
      <c r="E75" s="3" t="s">
        <v>104</v>
      </c>
      <c r="F75" s="3">
        <v>5</v>
      </c>
      <c r="G75" s="3" t="b">
        <v>0</v>
      </c>
      <c r="H75" s="3" t="s">
        <v>109</v>
      </c>
      <c r="I75" s="3" t="s">
        <v>113</v>
      </c>
      <c r="J75" s="3">
        <v>0.12</v>
      </c>
      <c r="K75" s="3">
        <v>0.1515</v>
      </c>
      <c r="L75" s="3">
        <v>0.68</v>
      </c>
      <c r="M75" s="3">
        <v>0.1045</v>
      </c>
      <c r="N75" s="3">
        <v>0</v>
      </c>
      <c r="O75" s="3">
        <v>4</v>
      </c>
      <c r="P75" s="51">
        <v>4</v>
      </c>
    </row>
    <row r="76" spans="1:16" x14ac:dyDescent="0.35">
      <c r="A76" s="49">
        <v>75</v>
      </c>
      <c r="B76" s="50">
        <v>40547</v>
      </c>
      <c r="C76" s="3">
        <v>1</v>
      </c>
      <c r="D76" s="3">
        <v>0</v>
      </c>
      <c r="E76" s="3" t="s">
        <v>104</v>
      </c>
      <c r="F76" s="3">
        <v>6</v>
      </c>
      <c r="G76" s="3" t="b">
        <v>0</v>
      </c>
      <c r="H76" s="3" t="s">
        <v>109</v>
      </c>
      <c r="I76" s="3" t="s">
        <v>113</v>
      </c>
      <c r="J76" s="3">
        <v>0.12</v>
      </c>
      <c r="K76" s="3">
        <v>0.1515</v>
      </c>
      <c r="L76" s="3">
        <v>0.74</v>
      </c>
      <c r="M76" s="3">
        <v>0.1045</v>
      </c>
      <c r="N76" s="3">
        <v>0</v>
      </c>
      <c r="O76" s="3">
        <v>36</v>
      </c>
      <c r="P76" s="51">
        <v>36</v>
      </c>
    </row>
    <row r="77" spans="1:16" x14ac:dyDescent="0.35">
      <c r="A77" s="49">
        <v>76</v>
      </c>
      <c r="B77" s="50">
        <v>40547</v>
      </c>
      <c r="C77" s="3">
        <v>1</v>
      </c>
      <c r="D77" s="3">
        <v>0</v>
      </c>
      <c r="E77" s="3" t="s">
        <v>104</v>
      </c>
      <c r="F77" s="3">
        <v>7</v>
      </c>
      <c r="G77" s="3" t="b">
        <v>0</v>
      </c>
      <c r="H77" s="3" t="s">
        <v>109</v>
      </c>
      <c r="I77" s="3" t="s">
        <v>113</v>
      </c>
      <c r="J77" s="3">
        <v>0.12</v>
      </c>
      <c r="K77" s="3">
        <v>0.1515</v>
      </c>
      <c r="L77" s="3">
        <v>0.74</v>
      </c>
      <c r="M77" s="3">
        <v>0.1343</v>
      </c>
      <c r="N77" s="3">
        <v>2</v>
      </c>
      <c r="O77" s="3">
        <v>92</v>
      </c>
      <c r="P77" s="51">
        <v>94</v>
      </c>
    </row>
    <row r="78" spans="1:16" x14ac:dyDescent="0.35">
      <c r="A78" s="49">
        <v>77</v>
      </c>
      <c r="B78" s="50">
        <v>40547</v>
      </c>
      <c r="C78" s="3">
        <v>1</v>
      </c>
      <c r="D78" s="3">
        <v>0</v>
      </c>
      <c r="E78" s="3" t="s">
        <v>104</v>
      </c>
      <c r="F78" s="3">
        <v>8</v>
      </c>
      <c r="G78" s="3" t="b">
        <v>0</v>
      </c>
      <c r="H78" s="3" t="s">
        <v>109</v>
      </c>
      <c r="I78" s="3" t="s">
        <v>113</v>
      </c>
      <c r="J78" s="3">
        <v>0.14000000000000001</v>
      </c>
      <c r="K78" s="3">
        <v>0.1515</v>
      </c>
      <c r="L78" s="3">
        <v>0.69</v>
      </c>
      <c r="M78" s="3">
        <v>0.16420000000000001</v>
      </c>
      <c r="N78" s="3">
        <v>2</v>
      </c>
      <c r="O78" s="3">
        <v>177</v>
      </c>
      <c r="P78" s="51">
        <v>179</v>
      </c>
    </row>
    <row r="79" spans="1:16" x14ac:dyDescent="0.35">
      <c r="A79" s="49">
        <v>78</v>
      </c>
      <c r="B79" s="50">
        <v>40547</v>
      </c>
      <c r="C79" s="3">
        <v>1</v>
      </c>
      <c r="D79" s="3">
        <v>0</v>
      </c>
      <c r="E79" s="3" t="s">
        <v>104</v>
      </c>
      <c r="F79" s="3">
        <v>9</v>
      </c>
      <c r="G79" s="3" t="b">
        <v>0</v>
      </c>
      <c r="H79" s="3" t="s">
        <v>109</v>
      </c>
      <c r="I79" s="3" t="s">
        <v>113</v>
      </c>
      <c r="J79" s="3">
        <v>0.16</v>
      </c>
      <c r="K79" s="3">
        <v>0.1515</v>
      </c>
      <c r="L79" s="3">
        <v>0.64</v>
      </c>
      <c r="M79" s="3">
        <v>0.22389999999999999</v>
      </c>
      <c r="N79" s="3">
        <v>2</v>
      </c>
      <c r="O79" s="3">
        <v>98</v>
      </c>
      <c r="P79" s="51">
        <v>100</v>
      </c>
    </row>
    <row r="80" spans="1:16" x14ac:dyDescent="0.35">
      <c r="A80" s="49">
        <v>79</v>
      </c>
      <c r="B80" s="50">
        <v>40547</v>
      </c>
      <c r="C80" s="3">
        <v>1</v>
      </c>
      <c r="D80" s="3">
        <v>0</v>
      </c>
      <c r="E80" s="3" t="s">
        <v>104</v>
      </c>
      <c r="F80" s="3">
        <v>10</v>
      </c>
      <c r="G80" s="3" t="b">
        <v>0</v>
      </c>
      <c r="H80" s="3" t="s">
        <v>109</v>
      </c>
      <c r="I80" s="3" t="s">
        <v>114</v>
      </c>
      <c r="J80" s="3">
        <v>0.16</v>
      </c>
      <c r="K80" s="3">
        <v>0.13639999999999999</v>
      </c>
      <c r="L80" s="3">
        <v>0.69</v>
      </c>
      <c r="M80" s="3">
        <v>0.32840000000000003</v>
      </c>
      <c r="N80" s="3">
        <v>5</v>
      </c>
      <c r="O80" s="3">
        <v>37</v>
      </c>
      <c r="P80" s="51">
        <v>42</v>
      </c>
    </row>
    <row r="81" spans="1:16" x14ac:dyDescent="0.35">
      <c r="A81" s="49">
        <v>80</v>
      </c>
      <c r="B81" s="50">
        <v>40547</v>
      </c>
      <c r="C81" s="3">
        <v>1</v>
      </c>
      <c r="D81" s="3">
        <v>0</v>
      </c>
      <c r="E81" s="3" t="s">
        <v>104</v>
      </c>
      <c r="F81" s="3">
        <v>11</v>
      </c>
      <c r="G81" s="3" t="b">
        <v>0</v>
      </c>
      <c r="H81" s="3" t="s">
        <v>109</v>
      </c>
      <c r="I81" s="3" t="s">
        <v>113</v>
      </c>
      <c r="J81" s="3">
        <v>0.22</v>
      </c>
      <c r="K81" s="3">
        <v>0.21210000000000001</v>
      </c>
      <c r="L81" s="3">
        <v>0.51</v>
      </c>
      <c r="M81" s="3">
        <v>0.29849999999999999</v>
      </c>
      <c r="N81" s="3">
        <v>7</v>
      </c>
      <c r="O81" s="3">
        <v>50</v>
      </c>
      <c r="P81" s="51">
        <v>57</v>
      </c>
    </row>
    <row r="82" spans="1:16" x14ac:dyDescent="0.35">
      <c r="A82" s="49">
        <v>81</v>
      </c>
      <c r="B82" s="50">
        <v>40547</v>
      </c>
      <c r="C82" s="3">
        <v>1</v>
      </c>
      <c r="D82" s="3">
        <v>0</v>
      </c>
      <c r="E82" s="3" t="s">
        <v>104</v>
      </c>
      <c r="F82" s="3">
        <v>12</v>
      </c>
      <c r="G82" s="3" t="b">
        <v>0</v>
      </c>
      <c r="H82" s="3" t="s">
        <v>109</v>
      </c>
      <c r="I82" s="3" t="s">
        <v>113</v>
      </c>
      <c r="J82" s="3">
        <v>0.22</v>
      </c>
      <c r="K82" s="3">
        <v>0.2273</v>
      </c>
      <c r="L82" s="3">
        <v>0.51</v>
      </c>
      <c r="M82" s="3">
        <v>0.16420000000000001</v>
      </c>
      <c r="N82" s="3">
        <v>12</v>
      </c>
      <c r="O82" s="3">
        <v>66</v>
      </c>
      <c r="P82" s="51">
        <v>78</v>
      </c>
    </row>
    <row r="83" spans="1:16" x14ac:dyDescent="0.35">
      <c r="A83" s="49">
        <v>82</v>
      </c>
      <c r="B83" s="50">
        <v>40547</v>
      </c>
      <c r="C83" s="3">
        <v>1</v>
      </c>
      <c r="D83" s="3">
        <v>0</v>
      </c>
      <c r="E83" s="3" t="s">
        <v>104</v>
      </c>
      <c r="F83" s="3">
        <v>13</v>
      </c>
      <c r="G83" s="3" t="b">
        <v>0</v>
      </c>
      <c r="H83" s="3" t="s">
        <v>109</v>
      </c>
      <c r="I83" s="3" t="s">
        <v>113</v>
      </c>
      <c r="J83" s="3">
        <v>0.24</v>
      </c>
      <c r="K83" s="3">
        <v>0.2273</v>
      </c>
      <c r="L83" s="3">
        <v>0.56000000000000005</v>
      </c>
      <c r="M83" s="3">
        <v>0.19400000000000001</v>
      </c>
      <c r="N83" s="3">
        <v>18</v>
      </c>
      <c r="O83" s="3">
        <v>79</v>
      </c>
      <c r="P83" s="51">
        <v>97</v>
      </c>
    </row>
    <row r="84" spans="1:16" x14ac:dyDescent="0.35">
      <c r="A84" s="49">
        <v>83</v>
      </c>
      <c r="B84" s="50">
        <v>40547</v>
      </c>
      <c r="C84" s="3">
        <v>1</v>
      </c>
      <c r="D84" s="3">
        <v>0</v>
      </c>
      <c r="E84" s="3" t="s">
        <v>104</v>
      </c>
      <c r="F84" s="3">
        <v>14</v>
      </c>
      <c r="G84" s="3" t="b">
        <v>0</v>
      </c>
      <c r="H84" s="3" t="s">
        <v>109</v>
      </c>
      <c r="I84" s="3" t="s">
        <v>113</v>
      </c>
      <c r="J84" s="3">
        <v>0.26</v>
      </c>
      <c r="K84" s="3">
        <v>0.2576</v>
      </c>
      <c r="L84" s="3">
        <v>0.52</v>
      </c>
      <c r="M84" s="3">
        <v>0.22389999999999999</v>
      </c>
      <c r="N84" s="3">
        <v>9</v>
      </c>
      <c r="O84" s="3">
        <v>54</v>
      </c>
      <c r="P84" s="51">
        <v>63</v>
      </c>
    </row>
    <row r="85" spans="1:16" x14ac:dyDescent="0.35">
      <c r="A85" s="49">
        <v>84</v>
      </c>
      <c r="B85" s="50">
        <v>40547</v>
      </c>
      <c r="C85" s="3">
        <v>1</v>
      </c>
      <c r="D85" s="3">
        <v>0</v>
      </c>
      <c r="E85" s="3" t="s">
        <v>104</v>
      </c>
      <c r="F85" s="3">
        <v>15</v>
      </c>
      <c r="G85" s="3" t="b">
        <v>0</v>
      </c>
      <c r="H85" s="3" t="s">
        <v>109</v>
      </c>
      <c r="I85" s="3" t="s">
        <v>113</v>
      </c>
      <c r="J85" s="3">
        <v>0.28000000000000003</v>
      </c>
      <c r="K85" s="3">
        <v>0.2727</v>
      </c>
      <c r="L85" s="3">
        <v>0.52</v>
      </c>
      <c r="M85" s="3">
        <v>0.25369999999999998</v>
      </c>
      <c r="N85" s="3">
        <v>17</v>
      </c>
      <c r="O85" s="3">
        <v>48</v>
      </c>
      <c r="P85" s="51">
        <v>65</v>
      </c>
    </row>
    <row r="86" spans="1:16" x14ac:dyDescent="0.35">
      <c r="A86" s="49">
        <v>85</v>
      </c>
      <c r="B86" s="50">
        <v>40547</v>
      </c>
      <c r="C86" s="3">
        <v>1</v>
      </c>
      <c r="D86" s="3">
        <v>0</v>
      </c>
      <c r="E86" s="3" t="s">
        <v>104</v>
      </c>
      <c r="F86" s="3">
        <v>16</v>
      </c>
      <c r="G86" s="3" t="b">
        <v>0</v>
      </c>
      <c r="H86" s="3" t="s">
        <v>109</v>
      </c>
      <c r="I86" s="3" t="s">
        <v>113</v>
      </c>
      <c r="J86" s="3">
        <v>0.3</v>
      </c>
      <c r="K86" s="3">
        <v>0.28789999999999999</v>
      </c>
      <c r="L86" s="3">
        <v>0.49</v>
      </c>
      <c r="M86" s="3">
        <v>0.25369999999999998</v>
      </c>
      <c r="N86" s="3">
        <v>15</v>
      </c>
      <c r="O86" s="3">
        <v>68</v>
      </c>
      <c r="P86" s="51">
        <v>83</v>
      </c>
    </row>
    <row r="87" spans="1:16" x14ac:dyDescent="0.35">
      <c r="A87" s="49">
        <v>86</v>
      </c>
      <c r="B87" s="50">
        <v>40547</v>
      </c>
      <c r="C87" s="3">
        <v>1</v>
      </c>
      <c r="D87" s="3">
        <v>0</v>
      </c>
      <c r="E87" s="3" t="s">
        <v>104</v>
      </c>
      <c r="F87" s="3">
        <v>17</v>
      </c>
      <c r="G87" s="3" t="b">
        <v>0</v>
      </c>
      <c r="H87" s="3" t="s">
        <v>109</v>
      </c>
      <c r="I87" s="3" t="s">
        <v>113</v>
      </c>
      <c r="J87" s="3">
        <v>0.28000000000000003</v>
      </c>
      <c r="K87" s="3">
        <v>0.2727</v>
      </c>
      <c r="L87" s="3">
        <v>0.48</v>
      </c>
      <c r="M87" s="3">
        <v>0.22389999999999999</v>
      </c>
      <c r="N87" s="3">
        <v>10</v>
      </c>
      <c r="O87" s="3">
        <v>202</v>
      </c>
      <c r="P87" s="51">
        <v>212</v>
      </c>
    </row>
    <row r="88" spans="1:16" x14ac:dyDescent="0.35">
      <c r="A88" s="49">
        <v>87</v>
      </c>
      <c r="B88" s="50">
        <v>40547</v>
      </c>
      <c r="C88" s="3">
        <v>1</v>
      </c>
      <c r="D88" s="3">
        <v>0</v>
      </c>
      <c r="E88" s="3" t="s">
        <v>104</v>
      </c>
      <c r="F88" s="3">
        <v>18</v>
      </c>
      <c r="G88" s="3" t="b">
        <v>0</v>
      </c>
      <c r="H88" s="3" t="s">
        <v>109</v>
      </c>
      <c r="I88" s="3" t="s">
        <v>113</v>
      </c>
      <c r="J88" s="3">
        <v>0.26</v>
      </c>
      <c r="K88" s="3">
        <v>0.2576</v>
      </c>
      <c r="L88" s="3">
        <v>0.48</v>
      </c>
      <c r="M88" s="3">
        <v>0.19400000000000001</v>
      </c>
      <c r="N88" s="3">
        <v>3</v>
      </c>
      <c r="O88" s="3">
        <v>179</v>
      </c>
      <c r="P88" s="51">
        <v>182</v>
      </c>
    </row>
    <row r="89" spans="1:16" x14ac:dyDescent="0.35">
      <c r="A89" s="49">
        <v>88</v>
      </c>
      <c r="B89" s="50">
        <v>40547</v>
      </c>
      <c r="C89" s="3">
        <v>1</v>
      </c>
      <c r="D89" s="3">
        <v>0</v>
      </c>
      <c r="E89" s="3" t="s">
        <v>104</v>
      </c>
      <c r="F89" s="3">
        <v>19</v>
      </c>
      <c r="G89" s="3" t="b">
        <v>0</v>
      </c>
      <c r="H89" s="3" t="s">
        <v>109</v>
      </c>
      <c r="I89" s="3" t="s">
        <v>113</v>
      </c>
      <c r="J89" s="3">
        <v>0.24</v>
      </c>
      <c r="K89" s="3">
        <v>0.2576</v>
      </c>
      <c r="L89" s="3">
        <v>0.48</v>
      </c>
      <c r="M89" s="3">
        <v>0.1045</v>
      </c>
      <c r="N89" s="3">
        <v>2</v>
      </c>
      <c r="O89" s="3">
        <v>110</v>
      </c>
      <c r="P89" s="51">
        <v>112</v>
      </c>
    </row>
    <row r="90" spans="1:16" x14ac:dyDescent="0.35">
      <c r="A90" s="49">
        <v>89</v>
      </c>
      <c r="B90" s="50">
        <v>40547</v>
      </c>
      <c r="C90" s="3">
        <v>1</v>
      </c>
      <c r="D90" s="3">
        <v>0</v>
      </c>
      <c r="E90" s="3" t="s">
        <v>104</v>
      </c>
      <c r="F90" s="3">
        <v>20</v>
      </c>
      <c r="G90" s="3" t="b">
        <v>0</v>
      </c>
      <c r="H90" s="3" t="s">
        <v>109</v>
      </c>
      <c r="I90" s="3" t="s">
        <v>113</v>
      </c>
      <c r="J90" s="3">
        <v>0.24</v>
      </c>
      <c r="K90" s="3">
        <v>0.2576</v>
      </c>
      <c r="L90" s="3">
        <v>0.48</v>
      </c>
      <c r="M90" s="3">
        <v>0.1045</v>
      </c>
      <c r="N90" s="3">
        <v>1</v>
      </c>
      <c r="O90" s="3">
        <v>53</v>
      </c>
      <c r="P90" s="51">
        <v>54</v>
      </c>
    </row>
    <row r="91" spans="1:16" x14ac:dyDescent="0.35">
      <c r="A91" s="49">
        <v>90</v>
      </c>
      <c r="B91" s="50">
        <v>40547</v>
      </c>
      <c r="C91" s="3">
        <v>1</v>
      </c>
      <c r="D91" s="3">
        <v>0</v>
      </c>
      <c r="E91" s="3" t="s">
        <v>104</v>
      </c>
      <c r="F91" s="3">
        <v>21</v>
      </c>
      <c r="G91" s="3" t="b">
        <v>0</v>
      </c>
      <c r="H91" s="3" t="s">
        <v>109</v>
      </c>
      <c r="I91" s="3" t="s">
        <v>113</v>
      </c>
      <c r="J91" s="3">
        <v>0.22</v>
      </c>
      <c r="K91" s="3">
        <v>0.2727</v>
      </c>
      <c r="L91" s="3">
        <v>0.64</v>
      </c>
      <c r="M91" s="3">
        <v>0</v>
      </c>
      <c r="N91" s="3">
        <v>0</v>
      </c>
      <c r="O91" s="3">
        <v>48</v>
      </c>
      <c r="P91" s="51">
        <v>48</v>
      </c>
    </row>
    <row r="92" spans="1:16" x14ac:dyDescent="0.35">
      <c r="A92" s="49">
        <v>91</v>
      </c>
      <c r="B92" s="50">
        <v>40547</v>
      </c>
      <c r="C92" s="3">
        <v>1</v>
      </c>
      <c r="D92" s="3">
        <v>0</v>
      </c>
      <c r="E92" s="3" t="s">
        <v>104</v>
      </c>
      <c r="F92" s="3">
        <v>22</v>
      </c>
      <c r="G92" s="3" t="b">
        <v>0</v>
      </c>
      <c r="H92" s="3" t="s">
        <v>109</v>
      </c>
      <c r="I92" s="3" t="s">
        <v>113</v>
      </c>
      <c r="J92" s="3">
        <v>0.22</v>
      </c>
      <c r="K92" s="3">
        <v>0.2576</v>
      </c>
      <c r="L92" s="3">
        <v>0.64</v>
      </c>
      <c r="M92" s="3">
        <v>8.9599999999999999E-2</v>
      </c>
      <c r="N92" s="3">
        <v>1</v>
      </c>
      <c r="O92" s="3">
        <v>34</v>
      </c>
      <c r="P92" s="51">
        <v>35</v>
      </c>
    </row>
    <row r="93" spans="1:16" x14ac:dyDescent="0.35">
      <c r="A93" s="49">
        <v>92</v>
      </c>
      <c r="B93" s="50">
        <v>40547</v>
      </c>
      <c r="C93" s="3">
        <v>1</v>
      </c>
      <c r="D93" s="3">
        <v>0</v>
      </c>
      <c r="E93" s="3" t="s">
        <v>104</v>
      </c>
      <c r="F93" s="3">
        <v>23</v>
      </c>
      <c r="G93" s="3" t="b">
        <v>0</v>
      </c>
      <c r="H93" s="3" t="s">
        <v>109</v>
      </c>
      <c r="I93" s="3" t="s">
        <v>113</v>
      </c>
      <c r="J93" s="3">
        <v>0.2</v>
      </c>
      <c r="K93" s="3">
        <v>0.2273</v>
      </c>
      <c r="L93" s="3">
        <v>0.69</v>
      </c>
      <c r="M93" s="3">
        <v>8.9599999999999999E-2</v>
      </c>
      <c r="N93" s="3">
        <v>2</v>
      </c>
      <c r="O93" s="3">
        <v>9</v>
      </c>
      <c r="P93" s="51">
        <v>11</v>
      </c>
    </row>
    <row r="94" spans="1:16" x14ac:dyDescent="0.35">
      <c r="A94" s="49">
        <v>93</v>
      </c>
      <c r="B94" s="50">
        <v>40548</v>
      </c>
      <c r="C94" s="3">
        <v>1</v>
      </c>
      <c r="D94" s="3">
        <v>0</v>
      </c>
      <c r="E94" s="3" t="s">
        <v>104</v>
      </c>
      <c r="F94" s="3">
        <v>0</v>
      </c>
      <c r="G94" s="3" t="b">
        <v>0</v>
      </c>
      <c r="H94" s="3" t="s">
        <v>110</v>
      </c>
      <c r="I94" s="3" t="s">
        <v>113</v>
      </c>
      <c r="J94" s="3">
        <v>0.2</v>
      </c>
      <c r="K94" s="3">
        <v>0.2576</v>
      </c>
      <c r="L94" s="3">
        <v>0.64</v>
      </c>
      <c r="M94" s="3">
        <v>0</v>
      </c>
      <c r="N94" s="3">
        <v>0</v>
      </c>
      <c r="O94" s="3">
        <v>6</v>
      </c>
      <c r="P94" s="51">
        <v>6</v>
      </c>
    </row>
    <row r="95" spans="1:16" x14ac:dyDescent="0.35">
      <c r="A95" s="49">
        <v>94</v>
      </c>
      <c r="B95" s="50">
        <v>40548</v>
      </c>
      <c r="C95" s="3">
        <v>1</v>
      </c>
      <c r="D95" s="3">
        <v>0</v>
      </c>
      <c r="E95" s="3" t="s">
        <v>104</v>
      </c>
      <c r="F95" s="3">
        <v>1</v>
      </c>
      <c r="G95" s="3" t="b">
        <v>0</v>
      </c>
      <c r="H95" s="3" t="s">
        <v>110</v>
      </c>
      <c r="I95" s="3" t="s">
        <v>113</v>
      </c>
      <c r="J95" s="3">
        <v>0.16</v>
      </c>
      <c r="K95" s="3">
        <v>0.19700000000000001</v>
      </c>
      <c r="L95" s="3">
        <v>0.74</v>
      </c>
      <c r="M95" s="3">
        <v>8.9599999999999999E-2</v>
      </c>
      <c r="N95" s="3">
        <v>0</v>
      </c>
      <c r="O95" s="3">
        <v>6</v>
      </c>
      <c r="P95" s="51">
        <v>6</v>
      </c>
    </row>
    <row r="96" spans="1:16" x14ac:dyDescent="0.35">
      <c r="A96" s="49">
        <v>95</v>
      </c>
      <c r="B96" s="50">
        <v>40548</v>
      </c>
      <c r="C96" s="3">
        <v>1</v>
      </c>
      <c r="D96" s="3">
        <v>0</v>
      </c>
      <c r="E96" s="3" t="s">
        <v>104</v>
      </c>
      <c r="F96" s="3">
        <v>2</v>
      </c>
      <c r="G96" s="3" t="b">
        <v>0</v>
      </c>
      <c r="H96" s="3" t="s">
        <v>110</v>
      </c>
      <c r="I96" s="3" t="s">
        <v>113</v>
      </c>
      <c r="J96" s="3">
        <v>0.16</v>
      </c>
      <c r="K96" s="3">
        <v>0.19700000000000001</v>
      </c>
      <c r="L96" s="3">
        <v>0.74</v>
      </c>
      <c r="M96" s="3">
        <v>8.9599999999999999E-2</v>
      </c>
      <c r="N96" s="3">
        <v>0</v>
      </c>
      <c r="O96" s="3">
        <v>2</v>
      </c>
      <c r="P96" s="51">
        <v>2</v>
      </c>
    </row>
    <row r="97" spans="1:16" x14ac:dyDescent="0.35">
      <c r="A97" s="49">
        <v>96</v>
      </c>
      <c r="B97" s="50">
        <v>40548</v>
      </c>
      <c r="C97" s="3">
        <v>1</v>
      </c>
      <c r="D97" s="3">
        <v>0</v>
      </c>
      <c r="E97" s="3" t="s">
        <v>104</v>
      </c>
      <c r="F97" s="3">
        <v>4</v>
      </c>
      <c r="G97" s="3" t="b">
        <v>0</v>
      </c>
      <c r="H97" s="3" t="s">
        <v>110</v>
      </c>
      <c r="I97" s="3" t="s">
        <v>113</v>
      </c>
      <c r="J97" s="3">
        <v>0.24</v>
      </c>
      <c r="K97" s="3">
        <v>0.2273</v>
      </c>
      <c r="L97" s="3">
        <v>0.48</v>
      </c>
      <c r="M97" s="3">
        <v>0.22389999999999999</v>
      </c>
      <c r="N97" s="3">
        <v>0</v>
      </c>
      <c r="O97" s="3">
        <v>2</v>
      </c>
      <c r="P97" s="51">
        <v>2</v>
      </c>
    </row>
    <row r="98" spans="1:16" x14ac:dyDescent="0.35">
      <c r="A98" s="49">
        <v>97</v>
      </c>
      <c r="B98" s="50">
        <v>40548</v>
      </c>
      <c r="C98" s="3">
        <v>1</v>
      </c>
      <c r="D98" s="3">
        <v>0</v>
      </c>
      <c r="E98" s="3" t="s">
        <v>104</v>
      </c>
      <c r="F98" s="3">
        <v>5</v>
      </c>
      <c r="G98" s="3" t="b">
        <v>0</v>
      </c>
      <c r="H98" s="3" t="s">
        <v>110</v>
      </c>
      <c r="I98" s="3" t="s">
        <v>113</v>
      </c>
      <c r="J98" s="3">
        <v>0.22</v>
      </c>
      <c r="K98" s="3">
        <v>0.2273</v>
      </c>
      <c r="L98" s="3">
        <v>0.47</v>
      </c>
      <c r="M98" s="3">
        <v>0.16420000000000001</v>
      </c>
      <c r="N98" s="3">
        <v>0</v>
      </c>
      <c r="O98" s="3">
        <v>3</v>
      </c>
      <c r="P98" s="51">
        <v>3</v>
      </c>
    </row>
    <row r="99" spans="1:16" x14ac:dyDescent="0.35">
      <c r="A99" s="49">
        <v>98</v>
      </c>
      <c r="B99" s="50">
        <v>40548</v>
      </c>
      <c r="C99" s="3">
        <v>1</v>
      </c>
      <c r="D99" s="3">
        <v>0</v>
      </c>
      <c r="E99" s="3" t="s">
        <v>104</v>
      </c>
      <c r="F99" s="3">
        <v>6</v>
      </c>
      <c r="G99" s="3" t="b">
        <v>0</v>
      </c>
      <c r="H99" s="3" t="s">
        <v>110</v>
      </c>
      <c r="I99" s="3" t="s">
        <v>113</v>
      </c>
      <c r="J99" s="3">
        <v>0.2</v>
      </c>
      <c r="K99" s="3">
        <v>0.19700000000000001</v>
      </c>
      <c r="L99" s="3">
        <v>0.47</v>
      </c>
      <c r="M99" s="3">
        <v>0.22389999999999999</v>
      </c>
      <c r="N99" s="3">
        <v>0</v>
      </c>
      <c r="O99" s="3">
        <v>33</v>
      </c>
      <c r="P99" s="51">
        <v>33</v>
      </c>
    </row>
    <row r="100" spans="1:16" x14ac:dyDescent="0.35">
      <c r="A100" s="49">
        <v>99</v>
      </c>
      <c r="B100" s="50">
        <v>40548</v>
      </c>
      <c r="C100" s="3">
        <v>1</v>
      </c>
      <c r="D100" s="3">
        <v>0</v>
      </c>
      <c r="E100" s="3" t="s">
        <v>104</v>
      </c>
      <c r="F100" s="3">
        <v>7</v>
      </c>
      <c r="G100" s="3" t="b">
        <v>0</v>
      </c>
      <c r="H100" s="3" t="s">
        <v>110</v>
      </c>
      <c r="I100" s="3" t="s">
        <v>113</v>
      </c>
      <c r="J100" s="3">
        <v>0.18</v>
      </c>
      <c r="K100" s="3">
        <v>0.18179999999999999</v>
      </c>
      <c r="L100" s="3">
        <v>0.43</v>
      </c>
      <c r="M100" s="3">
        <v>0.19400000000000001</v>
      </c>
      <c r="N100" s="3">
        <v>1</v>
      </c>
      <c r="O100" s="3">
        <v>87</v>
      </c>
      <c r="P100" s="51">
        <v>88</v>
      </c>
    </row>
    <row r="101" spans="1:16" x14ac:dyDescent="0.35">
      <c r="A101" s="49">
        <v>100</v>
      </c>
      <c r="B101" s="50">
        <v>40548</v>
      </c>
      <c r="C101" s="3">
        <v>1</v>
      </c>
      <c r="D101" s="3">
        <v>0</v>
      </c>
      <c r="E101" s="3" t="s">
        <v>104</v>
      </c>
      <c r="F101" s="3">
        <v>8</v>
      </c>
      <c r="G101" s="3" t="b">
        <v>0</v>
      </c>
      <c r="H101" s="3" t="s">
        <v>110</v>
      </c>
      <c r="I101" s="3" t="s">
        <v>113</v>
      </c>
      <c r="J101" s="3">
        <v>0.2</v>
      </c>
      <c r="K101" s="3">
        <v>0.18179999999999999</v>
      </c>
      <c r="L101" s="3">
        <v>0.4</v>
      </c>
      <c r="M101" s="3">
        <v>0.29849999999999999</v>
      </c>
      <c r="N101" s="3">
        <v>3</v>
      </c>
      <c r="O101" s="3">
        <v>192</v>
      </c>
      <c r="P101" s="51">
        <v>195</v>
      </c>
    </row>
    <row r="102" spans="1:16" x14ac:dyDescent="0.35">
      <c r="A102" s="49">
        <v>101</v>
      </c>
      <c r="B102" s="50">
        <v>40548</v>
      </c>
      <c r="C102" s="3">
        <v>1</v>
      </c>
      <c r="D102" s="3">
        <v>0</v>
      </c>
      <c r="E102" s="3" t="s">
        <v>104</v>
      </c>
      <c r="F102" s="3">
        <v>9</v>
      </c>
      <c r="G102" s="3" t="b">
        <v>0</v>
      </c>
      <c r="H102" s="3" t="s">
        <v>110</v>
      </c>
      <c r="I102" s="3" t="s">
        <v>113</v>
      </c>
      <c r="J102" s="3">
        <v>0.22</v>
      </c>
      <c r="K102" s="3">
        <v>0.19700000000000001</v>
      </c>
      <c r="L102" s="3">
        <v>0.37</v>
      </c>
      <c r="M102" s="3">
        <v>0.32840000000000003</v>
      </c>
      <c r="N102" s="3">
        <v>6</v>
      </c>
      <c r="O102" s="3">
        <v>109</v>
      </c>
      <c r="P102" s="51">
        <v>115</v>
      </c>
    </row>
    <row r="103" spans="1:16" x14ac:dyDescent="0.35">
      <c r="A103" s="49">
        <v>102</v>
      </c>
      <c r="B103" s="50">
        <v>40548</v>
      </c>
      <c r="C103" s="3">
        <v>1</v>
      </c>
      <c r="D103" s="3">
        <v>0</v>
      </c>
      <c r="E103" s="3" t="s">
        <v>104</v>
      </c>
      <c r="F103" s="3">
        <v>10</v>
      </c>
      <c r="G103" s="3" t="b">
        <v>0</v>
      </c>
      <c r="H103" s="3" t="s">
        <v>110</v>
      </c>
      <c r="I103" s="3" t="s">
        <v>113</v>
      </c>
      <c r="J103" s="3">
        <v>0.22</v>
      </c>
      <c r="K103" s="3">
        <v>0.19700000000000001</v>
      </c>
      <c r="L103" s="3">
        <v>0.37</v>
      </c>
      <c r="M103" s="3">
        <v>0.32840000000000003</v>
      </c>
      <c r="N103" s="3">
        <v>4</v>
      </c>
      <c r="O103" s="3">
        <v>53</v>
      </c>
      <c r="P103" s="51">
        <v>57</v>
      </c>
    </row>
    <row r="104" spans="1:16" x14ac:dyDescent="0.35">
      <c r="A104" s="49">
        <v>103</v>
      </c>
      <c r="B104" s="50">
        <v>40548</v>
      </c>
      <c r="C104" s="3">
        <v>1</v>
      </c>
      <c r="D104" s="3">
        <v>0</v>
      </c>
      <c r="E104" s="3" t="s">
        <v>104</v>
      </c>
      <c r="F104" s="3">
        <v>11</v>
      </c>
      <c r="G104" s="3" t="b">
        <v>0</v>
      </c>
      <c r="H104" s="3" t="s">
        <v>110</v>
      </c>
      <c r="I104" s="3" t="s">
        <v>113</v>
      </c>
      <c r="J104" s="3">
        <v>0.26</v>
      </c>
      <c r="K104" s="3">
        <v>0.2273</v>
      </c>
      <c r="L104" s="3">
        <v>0.33</v>
      </c>
      <c r="M104" s="3">
        <v>0.32840000000000003</v>
      </c>
      <c r="N104" s="3">
        <v>12</v>
      </c>
      <c r="O104" s="3">
        <v>34</v>
      </c>
      <c r="P104" s="51">
        <v>46</v>
      </c>
    </row>
    <row r="105" spans="1:16" x14ac:dyDescent="0.35">
      <c r="A105" s="49">
        <v>104</v>
      </c>
      <c r="B105" s="50">
        <v>40548</v>
      </c>
      <c r="C105" s="3">
        <v>1</v>
      </c>
      <c r="D105" s="3">
        <v>0</v>
      </c>
      <c r="E105" s="3" t="s">
        <v>104</v>
      </c>
      <c r="F105" s="3">
        <v>12</v>
      </c>
      <c r="G105" s="3" t="b">
        <v>0</v>
      </c>
      <c r="H105" s="3" t="s">
        <v>110</v>
      </c>
      <c r="I105" s="3" t="s">
        <v>113</v>
      </c>
      <c r="J105" s="3">
        <v>0.26</v>
      </c>
      <c r="K105" s="3">
        <v>0.2273</v>
      </c>
      <c r="L105" s="3">
        <v>0.33</v>
      </c>
      <c r="M105" s="3">
        <v>0.32840000000000003</v>
      </c>
      <c r="N105" s="3">
        <v>5</v>
      </c>
      <c r="O105" s="3">
        <v>74</v>
      </c>
      <c r="P105" s="51">
        <v>79</v>
      </c>
    </row>
    <row r="106" spans="1:16" x14ac:dyDescent="0.35">
      <c r="A106" s="49">
        <v>105</v>
      </c>
      <c r="B106" s="50">
        <v>40548</v>
      </c>
      <c r="C106" s="3">
        <v>1</v>
      </c>
      <c r="D106" s="3">
        <v>0</v>
      </c>
      <c r="E106" s="3" t="s">
        <v>104</v>
      </c>
      <c r="F106" s="3">
        <v>13</v>
      </c>
      <c r="G106" s="3" t="b">
        <v>0</v>
      </c>
      <c r="H106" s="3" t="s">
        <v>110</v>
      </c>
      <c r="I106" s="3" t="s">
        <v>113</v>
      </c>
      <c r="J106" s="3">
        <v>0.28000000000000003</v>
      </c>
      <c r="K106" s="3">
        <v>0.2576</v>
      </c>
      <c r="L106" s="3">
        <v>0.3</v>
      </c>
      <c r="M106" s="3">
        <v>0.29849999999999999</v>
      </c>
      <c r="N106" s="3">
        <v>6</v>
      </c>
      <c r="O106" s="3">
        <v>65</v>
      </c>
      <c r="P106" s="51">
        <v>71</v>
      </c>
    </row>
    <row r="107" spans="1:16" x14ac:dyDescent="0.35">
      <c r="A107" s="49">
        <v>106</v>
      </c>
      <c r="B107" s="50">
        <v>40548</v>
      </c>
      <c r="C107" s="3">
        <v>1</v>
      </c>
      <c r="D107" s="3">
        <v>0</v>
      </c>
      <c r="E107" s="3" t="s">
        <v>104</v>
      </c>
      <c r="F107" s="3">
        <v>14</v>
      </c>
      <c r="G107" s="3" t="b">
        <v>0</v>
      </c>
      <c r="H107" s="3" t="s">
        <v>110</v>
      </c>
      <c r="I107" s="3" t="s">
        <v>113</v>
      </c>
      <c r="J107" s="3">
        <v>0.3</v>
      </c>
      <c r="K107" s="3">
        <v>0.28789999999999999</v>
      </c>
      <c r="L107" s="3">
        <v>0.28000000000000003</v>
      </c>
      <c r="M107" s="3">
        <v>0.19400000000000001</v>
      </c>
      <c r="N107" s="3">
        <v>10</v>
      </c>
      <c r="O107" s="3">
        <v>52</v>
      </c>
      <c r="P107" s="51">
        <v>62</v>
      </c>
    </row>
    <row r="108" spans="1:16" x14ac:dyDescent="0.35">
      <c r="A108" s="49">
        <v>107</v>
      </c>
      <c r="B108" s="50">
        <v>40548</v>
      </c>
      <c r="C108" s="3">
        <v>1</v>
      </c>
      <c r="D108" s="3">
        <v>0</v>
      </c>
      <c r="E108" s="3" t="s">
        <v>104</v>
      </c>
      <c r="F108" s="3">
        <v>15</v>
      </c>
      <c r="G108" s="3" t="b">
        <v>0</v>
      </c>
      <c r="H108" s="3" t="s">
        <v>110</v>
      </c>
      <c r="I108" s="3" t="s">
        <v>113</v>
      </c>
      <c r="J108" s="3">
        <v>0.3</v>
      </c>
      <c r="K108" s="3">
        <v>0.28789999999999999</v>
      </c>
      <c r="L108" s="3">
        <v>0.28000000000000003</v>
      </c>
      <c r="M108" s="3">
        <v>0.19400000000000001</v>
      </c>
      <c r="N108" s="3">
        <v>7</v>
      </c>
      <c r="O108" s="3">
        <v>55</v>
      </c>
      <c r="P108" s="51">
        <v>62</v>
      </c>
    </row>
    <row r="109" spans="1:16" x14ac:dyDescent="0.35">
      <c r="A109" s="49">
        <v>108</v>
      </c>
      <c r="B109" s="50">
        <v>40548</v>
      </c>
      <c r="C109" s="3">
        <v>1</v>
      </c>
      <c r="D109" s="3">
        <v>0</v>
      </c>
      <c r="E109" s="3" t="s">
        <v>104</v>
      </c>
      <c r="F109" s="3">
        <v>16</v>
      </c>
      <c r="G109" s="3" t="b">
        <v>0</v>
      </c>
      <c r="H109" s="3" t="s">
        <v>110</v>
      </c>
      <c r="I109" s="3" t="s">
        <v>113</v>
      </c>
      <c r="J109" s="3">
        <v>0.3</v>
      </c>
      <c r="K109" s="3">
        <v>0.31819999999999998</v>
      </c>
      <c r="L109" s="3">
        <v>0.28000000000000003</v>
      </c>
      <c r="M109" s="3">
        <v>8.9599999999999999E-2</v>
      </c>
      <c r="N109" s="3">
        <v>4</v>
      </c>
      <c r="O109" s="3">
        <v>85</v>
      </c>
      <c r="P109" s="51">
        <v>89</v>
      </c>
    </row>
    <row r="110" spans="1:16" x14ac:dyDescent="0.35">
      <c r="A110" s="49">
        <v>109</v>
      </c>
      <c r="B110" s="50">
        <v>40548</v>
      </c>
      <c r="C110" s="3">
        <v>1</v>
      </c>
      <c r="D110" s="3">
        <v>0</v>
      </c>
      <c r="E110" s="3" t="s">
        <v>104</v>
      </c>
      <c r="F110" s="3">
        <v>17</v>
      </c>
      <c r="G110" s="3" t="b">
        <v>0</v>
      </c>
      <c r="H110" s="3" t="s">
        <v>110</v>
      </c>
      <c r="I110" s="3" t="s">
        <v>113</v>
      </c>
      <c r="J110" s="3">
        <v>0.24</v>
      </c>
      <c r="K110" s="3">
        <v>0.2273</v>
      </c>
      <c r="L110" s="3">
        <v>0.38</v>
      </c>
      <c r="M110" s="3">
        <v>0.19400000000000001</v>
      </c>
      <c r="N110" s="3">
        <v>4</v>
      </c>
      <c r="O110" s="3">
        <v>186</v>
      </c>
      <c r="P110" s="51">
        <v>190</v>
      </c>
    </row>
    <row r="111" spans="1:16" x14ac:dyDescent="0.35">
      <c r="A111" s="49">
        <v>110</v>
      </c>
      <c r="B111" s="50">
        <v>40548</v>
      </c>
      <c r="C111" s="3">
        <v>1</v>
      </c>
      <c r="D111" s="3">
        <v>0</v>
      </c>
      <c r="E111" s="3" t="s">
        <v>104</v>
      </c>
      <c r="F111" s="3">
        <v>18</v>
      </c>
      <c r="G111" s="3" t="b">
        <v>0</v>
      </c>
      <c r="H111" s="3" t="s">
        <v>110</v>
      </c>
      <c r="I111" s="3" t="s">
        <v>113</v>
      </c>
      <c r="J111" s="3">
        <v>0.24</v>
      </c>
      <c r="K111" s="3">
        <v>0.2424</v>
      </c>
      <c r="L111" s="3">
        <v>0.38</v>
      </c>
      <c r="M111" s="3">
        <v>0.1343</v>
      </c>
      <c r="N111" s="3">
        <v>3</v>
      </c>
      <c r="O111" s="3">
        <v>166</v>
      </c>
      <c r="P111" s="51">
        <v>169</v>
      </c>
    </row>
    <row r="112" spans="1:16" x14ac:dyDescent="0.35">
      <c r="A112" s="49">
        <v>111</v>
      </c>
      <c r="B112" s="50">
        <v>40548</v>
      </c>
      <c r="C112" s="3">
        <v>1</v>
      </c>
      <c r="D112" s="3">
        <v>0</v>
      </c>
      <c r="E112" s="3" t="s">
        <v>104</v>
      </c>
      <c r="F112" s="3">
        <v>19</v>
      </c>
      <c r="G112" s="3" t="b">
        <v>0</v>
      </c>
      <c r="H112" s="3" t="s">
        <v>110</v>
      </c>
      <c r="I112" s="3" t="s">
        <v>113</v>
      </c>
      <c r="J112" s="3">
        <v>0.24</v>
      </c>
      <c r="K112" s="3">
        <v>0.2576</v>
      </c>
      <c r="L112" s="3">
        <v>0.38</v>
      </c>
      <c r="M112" s="3">
        <v>0.1045</v>
      </c>
      <c r="N112" s="3">
        <v>5</v>
      </c>
      <c r="O112" s="3">
        <v>127</v>
      </c>
      <c r="P112" s="51">
        <v>132</v>
      </c>
    </row>
    <row r="113" spans="1:16" x14ac:dyDescent="0.35">
      <c r="A113" s="49">
        <v>112</v>
      </c>
      <c r="B113" s="50">
        <v>40548</v>
      </c>
      <c r="C113" s="3">
        <v>1</v>
      </c>
      <c r="D113" s="3">
        <v>0</v>
      </c>
      <c r="E113" s="3" t="s">
        <v>104</v>
      </c>
      <c r="F113" s="3">
        <v>20</v>
      </c>
      <c r="G113" s="3" t="b">
        <v>0</v>
      </c>
      <c r="H113" s="3" t="s">
        <v>110</v>
      </c>
      <c r="I113" s="3" t="s">
        <v>113</v>
      </c>
      <c r="J113" s="3">
        <v>0.22</v>
      </c>
      <c r="K113" s="3">
        <v>0.2273</v>
      </c>
      <c r="L113" s="3">
        <v>0.47</v>
      </c>
      <c r="M113" s="3">
        <v>0.16420000000000001</v>
      </c>
      <c r="N113" s="3">
        <v>7</v>
      </c>
      <c r="O113" s="3">
        <v>82</v>
      </c>
      <c r="P113" s="51">
        <v>89</v>
      </c>
    </row>
    <row r="114" spans="1:16" x14ac:dyDescent="0.35">
      <c r="A114" s="49">
        <v>113</v>
      </c>
      <c r="B114" s="50">
        <v>40548</v>
      </c>
      <c r="C114" s="3">
        <v>1</v>
      </c>
      <c r="D114" s="3">
        <v>0</v>
      </c>
      <c r="E114" s="3" t="s">
        <v>104</v>
      </c>
      <c r="F114" s="3">
        <v>21</v>
      </c>
      <c r="G114" s="3" t="b">
        <v>0</v>
      </c>
      <c r="H114" s="3" t="s">
        <v>110</v>
      </c>
      <c r="I114" s="3" t="s">
        <v>113</v>
      </c>
      <c r="J114" s="3">
        <v>0.2</v>
      </c>
      <c r="K114" s="3">
        <v>0.19700000000000001</v>
      </c>
      <c r="L114" s="3">
        <v>0.51</v>
      </c>
      <c r="M114" s="3">
        <v>0.19400000000000001</v>
      </c>
      <c r="N114" s="3">
        <v>3</v>
      </c>
      <c r="O114" s="3">
        <v>40</v>
      </c>
      <c r="P114" s="51">
        <v>43</v>
      </c>
    </row>
    <row r="115" spans="1:16" x14ac:dyDescent="0.35">
      <c r="A115" s="49">
        <v>114</v>
      </c>
      <c r="B115" s="50">
        <v>40548</v>
      </c>
      <c r="C115" s="3">
        <v>1</v>
      </c>
      <c r="D115" s="3">
        <v>0</v>
      </c>
      <c r="E115" s="3" t="s">
        <v>104</v>
      </c>
      <c r="F115" s="3">
        <v>22</v>
      </c>
      <c r="G115" s="3" t="b">
        <v>0</v>
      </c>
      <c r="H115" s="3" t="s">
        <v>110</v>
      </c>
      <c r="I115" s="3" t="s">
        <v>113</v>
      </c>
      <c r="J115" s="3">
        <v>0.18</v>
      </c>
      <c r="K115" s="3">
        <v>0.19700000000000001</v>
      </c>
      <c r="L115" s="3">
        <v>0.55000000000000004</v>
      </c>
      <c r="M115" s="3">
        <v>0.1343</v>
      </c>
      <c r="N115" s="3">
        <v>1</v>
      </c>
      <c r="O115" s="3">
        <v>41</v>
      </c>
      <c r="P115" s="51">
        <v>42</v>
      </c>
    </row>
    <row r="116" spans="1:16" x14ac:dyDescent="0.35">
      <c r="A116" s="49">
        <v>115</v>
      </c>
      <c r="B116" s="50">
        <v>40548</v>
      </c>
      <c r="C116" s="3">
        <v>1</v>
      </c>
      <c r="D116" s="3">
        <v>0</v>
      </c>
      <c r="E116" s="3" t="s">
        <v>104</v>
      </c>
      <c r="F116" s="3">
        <v>23</v>
      </c>
      <c r="G116" s="3" t="b">
        <v>0</v>
      </c>
      <c r="H116" s="3" t="s">
        <v>110</v>
      </c>
      <c r="I116" s="3" t="s">
        <v>113</v>
      </c>
      <c r="J116" s="3">
        <v>0.2</v>
      </c>
      <c r="K116" s="3">
        <v>0.2576</v>
      </c>
      <c r="L116" s="3">
        <v>0.47</v>
      </c>
      <c r="M116" s="3">
        <v>0</v>
      </c>
      <c r="N116" s="3">
        <v>1</v>
      </c>
      <c r="O116" s="3">
        <v>18</v>
      </c>
      <c r="P116" s="51">
        <v>19</v>
      </c>
    </row>
    <row r="117" spans="1:16" x14ac:dyDescent="0.35">
      <c r="A117" s="49">
        <v>116</v>
      </c>
      <c r="B117" s="50">
        <v>40549</v>
      </c>
      <c r="C117" s="3">
        <v>1</v>
      </c>
      <c r="D117" s="3">
        <v>0</v>
      </c>
      <c r="E117" s="3" t="s">
        <v>104</v>
      </c>
      <c r="F117" s="3">
        <v>0</v>
      </c>
      <c r="G117" s="3" t="b">
        <v>0</v>
      </c>
      <c r="H117" s="3" t="s">
        <v>111</v>
      </c>
      <c r="I117" s="3" t="s">
        <v>113</v>
      </c>
      <c r="J117" s="3">
        <v>0.18</v>
      </c>
      <c r="K117" s="3">
        <v>0.2424</v>
      </c>
      <c r="L117" s="3">
        <v>0.55000000000000004</v>
      </c>
      <c r="M117" s="3">
        <v>0</v>
      </c>
      <c r="N117" s="3">
        <v>0</v>
      </c>
      <c r="O117" s="3">
        <v>11</v>
      </c>
      <c r="P117" s="51">
        <v>11</v>
      </c>
    </row>
    <row r="118" spans="1:16" x14ac:dyDescent="0.35">
      <c r="A118" s="49">
        <v>117</v>
      </c>
      <c r="B118" s="50">
        <v>40549</v>
      </c>
      <c r="C118" s="3">
        <v>1</v>
      </c>
      <c r="D118" s="3">
        <v>0</v>
      </c>
      <c r="E118" s="3" t="s">
        <v>104</v>
      </c>
      <c r="F118" s="3">
        <v>1</v>
      </c>
      <c r="G118" s="3" t="b">
        <v>0</v>
      </c>
      <c r="H118" s="3" t="s">
        <v>111</v>
      </c>
      <c r="I118" s="3" t="s">
        <v>113</v>
      </c>
      <c r="J118" s="3">
        <v>0.16</v>
      </c>
      <c r="K118" s="3">
        <v>0.2273</v>
      </c>
      <c r="L118" s="3">
        <v>0.64</v>
      </c>
      <c r="M118" s="3">
        <v>0</v>
      </c>
      <c r="N118" s="3">
        <v>0</v>
      </c>
      <c r="O118" s="3">
        <v>4</v>
      </c>
      <c r="P118" s="51">
        <v>4</v>
      </c>
    </row>
    <row r="119" spans="1:16" x14ac:dyDescent="0.35">
      <c r="A119" s="49">
        <v>118</v>
      </c>
      <c r="B119" s="50">
        <v>40549</v>
      </c>
      <c r="C119" s="3">
        <v>1</v>
      </c>
      <c r="D119" s="3">
        <v>0</v>
      </c>
      <c r="E119" s="3" t="s">
        <v>104</v>
      </c>
      <c r="F119" s="3">
        <v>2</v>
      </c>
      <c r="G119" s="3" t="b">
        <v>0</v>
      </c>
      <c r="H119" s="3" t="s">
        <v>111</v>
      </c>
      <c r="I119" s="3" t="s">
        <v>113</v>
      </c>
      <c r="J119" s="3">
        <v>0.16</v>
      </c>
      <c r="K119" s="3">
        <v>0.2273</v>
      </c>
      <c r="L119" s="3">
        <v>0.64</v>
      </c>
      <c r="M119" s="3">
        <v>0</v>
      </c>
      <c r="N119" s="3">
        <v>0</v>
      </c>
      <c r="O119" s="3">
        <v>2</v>
      </c>
      <c r="P119" s="51">
        <v>2</v>
      </c>
    </row>
    <row r="120" spans="1:16" x14ac:dyDescent="0.35">
      <c r="A120" s="49">
        <v>119</v>
      </c>
      <c r="B120" s="50">
        <v>40549</v>
      </c>
      <c r="C120" s="3">
        <v>1</v>
      </c>
      <c r="D120" s="3">
        <v>0</v>
      </c>
      <c r="E120" s="3" t="s">
        <v>104</v>
      </c>
      <c r="F120" s="3">
        <v>4</v>
      </c>
      <c r="G120" s="3" t="b">
        <v>0</v>
      </c>
      <c r="H120" s="3" t="s">
        <v>111</v>
      </c>
      <c r="I120" s="3" t="s">
        <v>114</v>
      </c>
      <c r="J120" s="3">
        <v>0.16</v>
      </c>
      <c r="K120" s="3">
        <v>0.19700000000000001</v>
      </c>
      <c r="L120" s="3">
        <v>0.64</v>
      </c>
      <c r="M120" s="3">
        <v>8.9599999999999999E-2</v>
      </c>
      <c r="N120" s="3">
        <v>0</v>
      </c>
      <c r="O120" s="3">
        <v>1</v>
      </c>
      <c r="P120" s="51">
        <v>1</v>
      </c>
    </row>
    <row r="121" spans="1:16" x14ac:dyDescent="0.35">
      <c r="A121" s="49">
        <v>120</v>
      </c>
      <c r="B121" s="50">
        <v>40549</v>
      </c>
      <c r="C121" s="3">
        <v>1</v>
      </c>
      <c r="D121" s="3">
        <v>0</v>
      </c>
      <c r="E121" s="3" t="s">
        <v>104</v>
      </c>
      <c r="F121" s="3">
        <v>5</v>
      </c>
      <c r="G121" s="3" t="b">
        <v>0</v>
      </c>
      <c r="H121" s="3" t="s">
        <v>111</v>
      </c>
      <c r="I121" s="3" t="s">
        <v>114</v>
      </c>
      <c r="J121" s="3">
        <v>0.14000000000000001</v>
      </c>
      <c r="K121" s="3">
        <v>0.18179999999999999</v>
      </c>
      <c r="L121" s="3">
        <v>0.69</v>
      </c>
      <c r="M121" s="3">
        <v>8.9599999999999999E-2</v>
      </c>
      <c r="N121" s="3">
        <v>0</v>
      </c>
      <c r="O121" s="3">
        <v>4</v>
      </c>
      <c r="P121" s="51">
        <v>4</v>
      </c>
    </row>
    <row r="122" spans="1:16" x14ac:dyDescent="0.35">
      <c r="A122" s="49">
        <v>121</v>
      </c>
      <c r="B122" s="50">
        <v>40549</v>
      </c>
      <c r="C122" s="3">
        <v>1</v>
      </c>
      <c r="D122" s="3">
        <v>0</v>
      </c>
      <c r="E122" s="3" t="s">
        <v>104</v>
      </c>
      <c r="F122" s="3">
        <v>6</v>
      </c>
      <c r="G122" s="3" t="b">
        <v>0</v>
      </c>
      <c r="H122" s="3" t="s">
        <v>111</v>
      </c>
      <c r="I122" s="3" t="s">
        <v>114</v>
      </c>
      <c r="J122" s="3">
        <v>0.14000000000000001</v>
      </c>
      <c r="K122" s="3">
        <v>0.16669999999999999</v>
      </c>
      <c r="L122" s="3">
        <v>0.63</v>
      </c>
      <c r="M122" s="3">
        <v>0.1045</v>
      </c>
      <c r="N122" s="3">
        <v>0</v>
      </c>
      <c r="O122" s="3">
        <v>36</v>
      </c>
      <c r="P122" s="51">
        <v>36</v>
      </c>
    </row>
    <row r="123" spans="1:16" x14ac:dyDescent="0.35">
      <c r="A123" s="49">
        <v>122</v>
      </c>
      <c r="B123" s="50">
        <v>40549</v>
      </c>
      <c r="C123" s="3">
        <v>1</v>
      </c>
      <c r="D123" s="3">
        <v>0</v>
      </c>
      <c r="E123" s="3" t="s">
        <v>104</v>
      </c>
      <c r="F123" s="3">
        <v>7</v>
      </c>
      <c r="G123" s="3" t="b">
        <v>0</v>
      </c>
      <c r="H123" s="3" t="s">
        <v>111</v>
      </c>
      <c r="I123" s="3" t="s">
        <v>114</v>
      </c>
      <c r="J123" s="3">
        <v>0.16</v>
      </c>
      <c r="K123" s="3">
        <v>0.2273</v>
      </c>
      <c r="L123" s="3">
        <v>0.59</v>
      </c>
      <c r="M123" s="3">
        <v>0</v>
      </c>
      <c r="N123" s="3">
        <v>0</v>
      </c>
      <c r="O123" s="3">
        <v>95</v>
      </c>
      <c r="P123" s="51">
        <v>95</v>
      </c>
    </row>
    <row r="124" spans="1:16" x14ac:dyDescent="0.35">
      <c r="A124" s="49">
        <v>123</v>
      </c>
      <c r="B124" s="50">
        <v>40549</v>
      </c>
      <c r="C124" s="3">
        <v>1</v>
      </c>
      <c r="D124" s="3">
        <v>0</v>
      </c>
      <c r="E124" s="3" t="s">
        <v>104</v>
      </c>
      <c r="F124" s="3">
        <v>8</v>
      </c>
      <c r="G124" s="3" t="b">
        <v>0</v>
      </c>
      <c r="H124" s="3" t="s">
        <v>111</v>
      </c>
      <c r="I124" s="3" t="s">
        <v>113</v>
      </c>
      <c r="J124" s="3">
        <v>0.16</v>
      </c>
      <c r="K124" s="3">
        <v>0.2273</v>
      </c>
      <c r="L124" s="3">
        <v>0.59</v>
      </c>
      <c r="M124" s="3">
        <v>0</v>
      </c>
      <c r="N124" s="3">
        <v>3</v>
      </c>
      <c r="O124" s="3">
        <v>216</v>
      </c>
      <c r="P124" s="51">
        <v>219</v>
      </c>
    </row>
    <row r="125" spans="1:16" x14ac:dyDescent="0.35">
      <c r="A125" s="49">
        <v>124</v>
      </c>
      <c r="B125" s="50">
        <v>40549</v>
      </c>
      <c r="C125" s="3">
        <v>1</v>
      </c>
      <c r="D125" s="3">
        <v>0</v>
      </c>
      <c r="E125" s="3" t="s">
        <v>104</v>
      </c>
      <c r="F125" s="3">
        <v>9</v>
      </c>
      <c r="G125" s="3" t="b">
        <v>0</v>
      </c>
      <c r="H125" s="3" t="s">
        <v>111</v>
      </c>
      <c r="I125" s="3" t="s">
        <v>114</v>
      </c>
      <c r="J125" s="3">
        <v>0.18</v>
      </c>
      <c r="K125" s="3">
        <v>0.2424</v>
      </c>
      <c r="L125" s="3">
        <v>0.51</v>
      </c>
      <c r="M125" s="3">
        <v>0</v>
      </c>
      <c r="N125" s="3">
        <v>6</v>
      </c>
      <c r="O125" s="3">
        <v>116</v>
      </c>
      <c r="P125" s="51">
        <v>122</v>
      </c>
    </row>
    <row r="126" spans="1:16" x14ac:dyDescent="0.35">
      <c r="A126" s="49">
        <v>125</v>
      </c>
      <c r="B126" s="50">
        <v>40549</v>
      </c>
      <c r="C126" s="3">
        <v>1</v>
      </c>
      <c r="D126" s="3">
        <v>0</v>
      </c>
      <c r="E126" s="3" t="s">
        <v>104</v>
      </c>
      <c r="F126" s="3">
        <v>10</v>
      </c>
      <c r="G126" s="3" t="b">
        <v>0</v>
      </c>
      <c r="H126" s="3" t="s">
        <v>111</v>
      </c>
      <c r="I126" s="3" t="s">
        <v>113</v>
      </c>
      <c r="J126" s="3">
        <v>0.2</v>
      </c>
      <c r="K126" s="3">
        <v>0.2576</v>
      </c>
      <c r="L126" s="3">
        <v>0.47</v>
      </c>
      <c r="M126" s="3">
        <v>0</v>
      </c>
      <c r="N126" s="3">
        <v>3</v>
      </c>
      <c r="O126" s="3">
        <v>42</v>
      </c>
      <c r="P126" s="51">
        <v>45</v>
      </c>
    </row>
    <row r="127" spans="1:16" x14ac:dyDescent="0.35">
      <c r="A127" s="49">
        <v>126</v>
      </c>
      <c r="B127" s="50">
        <v>40549</v>
      </c>
      <c r="C127" s="3">
        <v>1</v>
      </c>
      <c r="D127" s="3">
        <v>0</v>
      </c>
      <c r="E127" s="3" t="s">
        <v>104</v>
      </c>
      <c r="F127" s="3">
        <v>11</v>
      </c>
      <c r="G127" s="3" t="b">
        <v>0</v>
      </c>
      <c r="H127" s="3" t="s">
        <v>111</v>
      </c>
      <c r="I127" s="3" t="s">
        <v>113</v>
      </c>
      <c r="J127" s="3">
        <v>0.22</v>
      </c>
      <c r="K127" s="3">
        <v>0.2576</v>
      </c>
      <c r="L127" s="3">
        <v>0.44</v>
      </c>
      <c r="M127" s="3">
        <v>8.9599999999999999E-2</v>
      </c>
      <c r="N127" s="3">
        <v>2</v>
      </c>
      <c r="O127" s="3">
        <v>57</v>
      </c>
      <c r="P127" s="51">
        <v>59</v>
      </c>
    </row>
    <row r="128" spans="1:16" x14ac:dyDescent="0.35">
      <c r="A128" s="49">
        <v>127</v>
      </c>
      <c r="B128" s="50">
        <v>40549</v>
      </c>
      <c r="C128" s="3">
        <v>1</v>
      </c>
      <c r="D128" s="3">
        <v>0</v>
      </c>
      <c r="E128" s="3" t="s">
        <v>104</v>
      </c>
      <c r="F128" s="3">
        <v>12</v>
      </c>
      <c r="G128" s="3" t="b">
        <v>0</v>
      </c>
      <c r="H128" s="3" t="s">
        <v>111</v>
      </c>
      <c r="I128" s="3" t="s">
        <v>113</v>
      </c>
      <c r="J128" s="3">
        <v>0.26</v>
      </c>
      <c r="K128" s="3">
        <v>0.28789999999999999</v>
      </c>
      <c r="L128" s="3">
        <v>0.35</v>
      </c>
      <c r="M128" s="3">
        <v>0</v>
      </c>
      <c r="N128" s="3">
        <v>6</v>
      </c>
      <c r="O128" s="3">
        <v>78</v>
      </c>
      <c r="P128" s="51">
        <v>84</v>
      </c>
    </row>
    <row r="129" spans="1:16" x14ac:dyDescent="0.35">
      <c r="A129" s="49">
        <v>128</v>
      </c>
      <c r="B129" s="50">
        <v>40549</v>
      </c>
      <c r="C129" s="3">
        <v>1</v>
      </c>
      <c r="D129" s="3">
        <v>0</v>
      </c>
      <c r="E129" s="3" t="s">
        <v>104</v>
      </c>
      <c r="F129" s="3">
        <v>13</v>
      </c>
      <c r="G129" s="3" t="b">
        <v>0</v>
      </c>
      <c r="H129" s="3" t="s">
        <v>111</v>
      </c>
      <c r="I129" s="3" t="s">
        <v>113</v>
      </c>
      <c r="J129" s="3">
        <v>0.26</v>
      </c>
      <c r="K129" s="3">
        <v>0.2727</v>
      </c>
      <c r="L129" s="3">
        <v>0.35</v>
      </c>
      <c r="M129" s="3">
        <v>0.1045</v>
      </c>
      <c r="N129" s="3">
        <v>12</v>
      </c>
      <c r="O129" s="3">
        <v>55</v>
      </c>
      <c r="P129" s="51">
        <v>67</v>
      </c>
    </row>
    <row r="130" spans="1:16" x14ac:dyDescent="0.35">
      <c r="A130" s="49">
        <v>129</v>
      </c>
      <c r="B130" s="50">
        <v>40549</v>
      </c>
      <c r="C130" s="3">
        <v>1</v>
      </c>
      <c r="D130" s="3">
        <v>0</v>
      </c>
      <c r="E130" s="3" t="s">
        <v>104</v>
      </c>
      <c r="F130" s="3">
        <v>14</v>
      </c>
      <c r="G130" s="3" t="b">
        <v>0</v>
      </c>
      <c r="H130" s="3" t="s">
        <v>111</v>
      </c>
      <c r="I130" s="3" t="s">
        <v>113</v>
      </c>
      <c r="J130" s="3">
        <v>0.28000000000000003</v>
      </c>
      <c r="K130" s="3">
        <v>0.2727</v>
      </c>
      <c r="L130" s="3">
        <v>0.36</v>
      </c>
      <c r="M130" s="3">
        <v>0.16420000000000001</v>
      </c>
      <c r="N130" s="3">
        <v>11</v>
      </c>
      <c r="O130" s="3">
        <v>59</v>
      </c>
      <c r="P130" s="51">
        <v>70</v>
      </c>
    </row>
    <row r="131" spans="1:16" x14ac:dyDescent="0.35">
      <c r="A131" s="49">
        <v>130</v>
      </c>
      <c r="B131" s="50">
        <v>40549</v>
      </c>
      <c r="C131" s="3">
        <v>1</v>
      </c>
      <c r="D131" s="3">
        <v>0</v>
      </c>
      <c r="E131" s="3" t="s">
        <v>104</v>
      </c>
      <c r="F131" s="3">
        <v>15</v>
      </c>
      <c r="G131" s="3" t="b">
        <v>0</v>
      </c>
      <c r="H131" s="3" t="s">
        <v>111</v>
      </c>
      <c r="I131" s="3" t="s">
        <v>113</v>
      </c>
      <c r="J131" s="3">
        <v>0.28000000000000003</v>
      </c>
      <c r="K131" s="3">
        <v>0.2727</v>
      </c>
      <c r="L131" s="3">
        <v>0.36</v>
      </c>
      <c r="M131" s="3">
        <v>0</v>
      </c>
      <c r="N131" s="3">
        <v>8</v>
      </c>
      <c r="O131" s="3">
        <v>54</v>
      </c>
      <c r="P131" s="51">
        <v>62</v>
      </c>
    </row>
    <row r="132" spans="1:16" x14ac:dyDescent="0.35">
      <c r="A132" s="49">
        <v>131</v>
      </c>
      <c r="B132" s="50">
        <v>40549</v>
      </c>
      <c r="C132" s="3">
        <v>1</v>
      </c>
      <c r="D132" s="3">
        <v>0</v>
      </c>
      <c r="E132" s="3" t="s">
        <v>104</v>
      </c>
      <c r="F132" s="3">
        <v>16</v>
      </c>
      <c r="G132" s="3" t="b">
        <v>0</v>
      </c>
      <c r="H132" s="3" t="s">
        <v>111</v>
      </c>
      <c r="I132" s="3" t="s">
        <v>113</v>
      </c>
      <c r="J132" s="3">
        <v>0.26</v>
      </c>
      <c r="K132" s="3">
        <v>0.2576</v>
      </c>
      <c r="L132" s="3">
        <v>0.38</v>
      </c>
      <c r="M132" s="3">
        <v>0.16420000000000001</v>
      </c>
      <c r="N132" s="3">
        <v>12</v>
      </c>
      <c r="O132" s="3">
        <v>74</v>
      </c>
      <c r="P132" s="51">
        <v>86</v>
      </c>
    </row>
    <row r="133" spans="1:16" x14ac:dyDescent="0.35">
      <c r="A133" s="49">
        <v>132</v>
      </c>
      <c r="B133" s="50">
        <v>40549</v>
      </c>
      <c r="C133" s="3">
        <v>1</v>
      </c>
      <c r="D133" s="3">
        <v>0</v>
      </c>
      <c r="E133" s="3" t="s">
        <v>104</v>
      </c>
      <c r="F133" s="3">
        <v>17</v>
      </c>
      <c r="G133" s="3" t="b">
        <v>0</v>
      </c>
      <c r="H133" s="3" t="s">
        <v>111</v>
      </c>
      <c r="I133" s="3" t="s">
        <v>113</v>
      </c>
      <c r="J133" s="3">
        <v>0.22</v>
      </c>
      <c r="K133" s="3">
        <v>0.2273</v>
      </c>
      <c r="L133" s="3">
        <v>0.51</v>
      </c>
      <c r="M133" s="3">
        <v>0.16420000000000001</v>
      </c>
      <c r="N133" s="3">
        <v>9</v>
      </c>
      <c r="O133" s="3">
        <v>163</v>
      </c>
      <c r="P133" s="51">
        <v>172</v>
      </c>
    </row>
    <row r="134" spans="1:16" x14ac:dyDescent="0.35">
      <c r="A134" s="49">
        <v>133</v>
      </c>
      <c r="B134" s="50">
        <v>40549</v>
      </c>
      <c r="C134" s="3">
        <v>1</v>
      </c>
      <c r="D134" s="3">
        <v>0</v>
      </c>
      <c r="E134" s="3" t="s">
        <v>104</v>
      </c>
      <c r="F134" s="3">
        <v>18</v>
      </c>
      <c r="G134" s="3" t="b">
        <v>0</v>
      </c>
      <c r="H134" s="3" t="s">
        <v>111</v>
      </c>
      <c r="I134" s="3" t="s">
        <v>113</v>
      </c>
      <c r="J134" s="3">
        <v>0.22</v>
      </c>
      <c r="K134" s="3">
        <v>0.2273</v>
      </c>
      <c r="L134" s="3">
        <v>0.51</v>
      </c>
      <c r="M134" s="3">
        <v>0.1343</v>
      </c>
      <c r="N134" s="3">
        <v>5</v>
      </c>
      <c r="O134" s="3">
        <v>158</v>
      </c>
      <c r="P134" s="51">
        <v>163</v>
      </c>
    </row>
    <row r="135" spans="1:16" x14ac:dyDescent="0.35">
      <c r="A135" s="49">
        <v>134</v>
      </c>
      <c r="B135" s="50">
        <v>40549</v>
      </c>
      <c r="C135" s="3">
        <v>1</v>
      </c>
      <c r="D135" s="3">
        <v>0</v>
      </c>
      <c r="E135" s="3" t="s">
        <v>104</v>
      </c>
      <c r="F135" s="3">
        <v>19</v>
      </c>
      <c r="G135" s="3" t="b">
        <v>0</v>
      </c>
      <c r="H135" s="3" t="s">
        <v>111</v>
      </c>
      <c r="I135" s="3" t="s">
        <v>113</v>
      </c>
      <c r="J135" s="3">
        <v>0.22</v>
      </c>
      <c r="K135" s="3">
        <v>0.2576</v>
      </c>
      <c r="L135" s="3">
        <v>0.55000000000000004</v>
      </c>
      <c r="M135" s="3">
        <v>8.9599999999999999E-2</v>
      </c>
      <c r="N135" s="3">
        <v>3</v>
      </c>
      <c r="O135" s="3">
        <v>109</v>
      </c>
      <c r="P135" s="51">
        <v>112</v>
      </c>
    </row>
    <row r="136" spans="1:16" x14ac:dyDescent="0.35">
      <c r="A136" s="49">
        <v>135</v>
      </c>
      <c r="B136" s="50">
        <v>40549</v>
      </c>
      <c r="C136" s="3">
        <v>1</v>
      </c>
      <c r="D136" s="3">
        <v>0</v>
      </c>
      <c r="E136" s="3" t="s">
        <v>104</v>
      </c>
      <c r="F136" s="3">
        <v>20</v>
      </c>
      <c r="G136" s="3" t="b">
        <v>0</v>
      </c>
      <c r="H136" s="3" t="s">
        <v>111</v>
      </c>
      <c r="I136" s="3" t="s">
        <v>113</v>
      </c>
      <c r="J136" s="3">
        <v>0.2</v>
      </c>
      <c r="K136" s="3">
        <v>0.21210000000000001</v>
      </c>
      <c r="L136" s="3">
        <v>0.51</v>
      </c>
      <c r="M136" s="3">
        <v>0.16420000000000001</v>
      </c>
      <c r="N136" s="3">
        <v>3</v>
      </c>
      <c r="O136" s="3">
        <v>66</v>
      </c>
      <c r="P136" s="51">
        <v>69</v>
      </c>
    </row>
    <row r="137" spans="1:16" x14ac:dyDescent="0.35">
      <c r="A137" s="49">
        <v>136</v>
      </c>
      <c r="B137" s="50">
        <v>40549</v>
      </c>
      <c r="C137" s="3">
        <v>1</v>
      </c>
      <c r="D137" s="3">
        <v>0</v>
      </c>
      <c r="E137" s="3" t="s">
        <v>104</v>
      </c>
      <c r="F137" s="3">
        <v>21</v>
      </c>
      <c r="G137" s="3" t="b">
        <v>0</v>
      </c>
      <c r="H137" s="3" t="s">
        <v>111</v>
      </c>
      <c r="I137" s="3" t="s">
        <v>114</v>
      </c>
      <c r="J137" s="3">
        <v>0.22</v>
      </c>
      <c r="K137" s="3">
        <v>0.21210000000000001</v>
      </c>
      <c r="L137" s="3">
        <v>0.55000000000000004</v>
      </c>
      <c r="M137" s="3">
        <v>0.22389999999999999</v>
      </c>
      <c r="N137" s="3">
        <v>0</v>
      </c>
      <c r="O137" s="3">
        <v>48</v>
      </c>
      <c r="P137" s="51">
        <v>48</v>
      </c>
    </row>
    <row r="138" spans="1:16" x14ac:dyDescent="0.35">
      <c r="A138" s="49">
        <v>137</v>
      </c>
      <c r="B138" s="50">
        <v>40549</v>
      </c>
      <c r="C138" s="3">
        <v>1</v>
      </c>
      <c r="D138" s="3">
        <v>0</v>
      </c>
      <c r="E138" s="3" t="s">
        <v>104</v>
      </c>
      <c r="F138" s="3">
        <v>22</v>
      </c>
      <c r="G138" s="3" t="b">
        <v>0</v>
      </c>
      <c r="H138" s="3" t="s">
        <v>111</v>
      </c>
      <c r="I138" s="3" t="s">
        <v>114</v>
      </c>
      <c r="J138" s="3">
        <v>0.22</v>
      </c>
      <c r="K138" s="3">
        <v>0.21210000000000001</v>
      </c>
      <c r="L138" s="3">
        <v>0.51</v>
      </c>
      <c r="M138" s="3">
        <v>0.28360000000000002</v>
      </c>
      <c r="N138" s="3">
        <v>1</v>
      </c>
      <c r="O138" s="3">
        <v>51</v>
      </c>
      <c r="P138" s="51">
        <v>52</v>
      </c>
    </row>
    <row r="139" spans="1:16" x14ac:dyDescent="0.35">
      <c r="A139" s="49">
        <v>138</v>
      </c>
      <c r="B139" s="50">
        <v>40549</v>
      </c>
      <c r="C139" s="3">
        <v>1</v>
      </c>
      <c r="D139" s="3">
        <v>0</v>
      </c>
      <c r="E139" s="3" t="s">
        <v>104</v>
      </c>
      <c r="F139" s="3">
        <v>23</v>
      </c>
      <c r="G139" s="3" t="b">
        <v>0</v>
      </c>
      <c r="H139" s="3" t="s">
        <v>111</v>
      </c>
      <c r="I139" s="3" t="s">
        <v>114</v>
      </c>
      <c r="J139" s="3">
        <v>0.2</v>
      </c>
      <c r="K139" s="3">
        <v>0.19700000000000001</v>
      </c>
      <c r="L139" s="3">
        <v>0.59</v>
      </c>
      <c r="M139" s="3">
        <v>0.19400000000000001</v>
      </c>
      <c r="N139" s="3">
        <v>4</v>
      </c>
      <c r="O139" s="3">
        <v>19</v>
      </c>
      <c r="P139" s="51">
        <v>23</v>
      </c>
    </row>
    <row r="140" spans="1:16" x14ac:dyDescent="0.35">
      <c r="A140" s="49">
        <v>139</v>
      </c>
      <c r="B140" s="50">
        <v>40550</v>
      </c>
      <c r="C140" s="3">
        <v>1</v>
      </c>
      <c r="D140" s="3">
        <v>0</v>
      </c>
      <c r="E140" s="3" t="s">
        <v>104</v>
      </c>
      <c r="F140" s="3">
        <v>0</v>
      </c>
      <c r="G140" s="3" t="b">
        <v>0</v>
      </c>
      <c r="H140" s="3" t="s">
        <v>112</v>
      </c>
      <c r="I140" s="3" t="s">
        <v>114</v>
      </c>
      <c r="J140" s="3">
        <v>0.2</v>
      </c>
      <c r="K140" s="3">
        <v>0.19700000000000001</v>
      </c>
      <c r="L140" s="3">
        <v>0.64</v>
      </c>
      <c r="M140" s="3">
        <v>0.19400000000000001</v>
      </c>
      <c r="N140" s="3">
        <v>4</v>
      </c>
      <c r="O140" s="3">
        <v>13</v>
      </c>
      <c r="P140" s="51">
        <v>17</v>
      </c>
    </row>
    <row r="141" spans="1:16" x14ac:dyDescent="0.35">
      <c r="A141" s="49">
        <v>140</v>
      </c>
      <c r="B141" s="50">
        <v>40550</v>
      </c>
      <c r="C141" s="3">
        <v>1</v>
      </c>
      <c r="D141" s="3">
        <v>0</v>
      </c>
      <c r="E141" s="3" t="s">
        <v>104</v>
      </c>
      <c r="F141" s="3">
        <v>1</v>
      </c>
      <c r="G141" s="3" t="b">
        <v>0</v>
      </c>
      <c r="H141" s="3" t="s">
        <v>112</v>
      </c>
      <c r="I141" s="3" t="s">
        <v>114</v>
      </c>
      <c r="J141" s="3">
        <v>0.2</v>
      </c>
      <c r="K141" s="3">
        <v>0.19700000000000001</v>
      </c>
      <c r="L141" s="3">
        <v>0.69</v>
      </c>
      <c r="M141" s="3">
        <v>0.22389999999999999</v>
      </c>
      <c r="N141" s="3">
        <v>2</v>
      </c>
      <c r="O141" s="3">
        <v>5</v>
      </c>
      <c r="P141" s="51">
        <v>7</v>
      </c>
    </row>
    <row r="142" spans="1:16" x14ac:dyDescent="0.35">
      <c r="A142" s="49">
        <v>141</v>
      </c>
      <c r="B142" s="50">
        <v>40550</v>
      </c>
      <c r="C142" s="3">
        <v>1</v>
      </c>
      <c r="D142" s="3">
        <v>0</v>
      </c>
      <c r="E142" s="3" t="s">
        <v>104</v>
      </c>
      <c r="F142" s="3">
        <v>2</v>
      </c>
      <c r="G142" s="3" t="b">
        <v>0</v>
      </c>
      <c r="H142" s="3" t="s">
        <v>112</v>
      </c>
      <c r="I142" s="3" t="s">
        <v>114</v>
      </c>
      <c r="J142" s="3">
        <v>0.2</v>
      </c>
      <c r="K142" s="3">
        <v>0.19700000000000001</v>
      </c>
      <c r="L142" s="3">
        <v>0.69</v>
      </c>
      <c r="M142" s="3">
        <v>0.22389999999999999</v>
      </c>
      <c r="N142" s="3">
        <v>0</v>
      </c>
      <c r="O142" s="3">
        <v>1</v>
      </c>
      <c r="P142" s="51">
        <v>1</v>
      </c>
    </row>
    <row r="143" spans="1:16" x14ac:dyDescent="0.35">
      <c r="A143" s="49">
        <v>142</v>
      </c>
      <c r="B143" s="50">
        <v>40550</v>
      </c>
      <c r="C143" s="3">
        <v>1</v>
      </c>
      <c r="D143" s="3">
        <v>0</v>
      </c>
      <c r="E143" s="3" t="s">
        <v>104</v>
      </c>
      <c r="F143" s="3">
        <v>4</v>
      </c>
      <c r="G143" s="3" t="b">
        <v>0</v>
      </c>
      <c r="H143" s="3" t="s">
        <v>112</v>
      </c>
      <c r="I143" s="3" t="s">
        <v>114</v>
      </c>
      <c r="J143" s="3">
        <v>0.2</v>
      </c>
      <c r="K143" s="3">
        <v>0.21210000000000001</v>
      </c>
      <c r="L143" s="3">
        <v>0.69</v>
      </c>
      <c r="M143" s="3">
        <v>0.1343</v>
      </c>
      <c r="N143" s="3">
        <v>0</v>
      </c>
      <c r="O143" s="3">
        <v>1</v>
      </c>
      <c r="P143" s="51">
        <v>1</v>
      </c>
    </row>
    <row r="144" spans="1:16" x14ac:dyDescent="0.35">
      <c r="A144" s="49">
        <v>143</v>
      </c>
      <c r="B144" s="50">
        <v>40550</v>
      </c>
      <c r="C144" s="3">
        <v>1</v>
      </c>
      <c r="D144" s="3">
        <v>0</v>
      </c>
      <c r="E144" s="3" t="s">
        <v>104</v>
      </c>
      <c r="F144" s="3">
        <v>5</v>
      </c>
      <c r="G144" s="3" t="b">
        <v>0</v>
      </c>
      <c r="H144" s="3" t="s">
        <v>112</v>
      </c>
      <c r="I144" s="3" t="s">
        <v>115</v>
      </c>
      <c r="J144" s="3">
        <v>0.22</v>
      </c>
      <c r="K144" s="3">
        <v>0.2727</v>
      </c>
      <c r="L144" s="3">
        <v>0.55000000000000004</v>
      </c>
      <c r="M144" s="3">
        <v>0</v>
      </c>
      <c r="N144" s="3">
        <v>0</v>
      </c>
      <c r="O144" s="3">
        <v>5</v>
      </c>
      <c r="P144" s="51">
        <v>5</v>
      </c>
    </row>
    <row r="145" spans="1:16" x14ac:dyDescent="0.35">
      <c r="A145" s="49">
        <v>144</v>
      </c>
      <c r="B145" s="50">
        <v>40550</v>
      </c>
      <c r="C145" s="3">
        <v>1</v>
      </c>
      <c r="D145" s="3">
        <v>0</v>
      </c>
      <c r="E145" s="3" t="s">
        <v>104</v>
      </c>
      <c r="F145" s="3">
        <v>6</v>
      </c>
      <c r="G145" s="3" t="b">
        <v>0</v>
      </c>
      <c r="H145" s="3" t="s">
        <v>112</v>
      </c>
      <c r="I145" s="3" t="s">
        <v>114</v>
      </c>
      <c r="J145" s="3">
        <v>0.2</v>
      </c>
      <c r="K145" s="3">
        <v>0.2576</v>
      </c>
      <c r="L145" s="3">
        <v>0.69</v>
      </c>
      <c r="M145" s="3">
        <v>0</v>
      </c>
      <c r="N145" s="3">
        <v>8</v>
      </c>
      <c r="O145" s="3">
        <v>26</v>
      </c>
      <c r="P145" s="51">
        <v>34</v>
      </c>
    </row>
    <row r="146" spans="1:16" x14ac:dyDescent="0.35">
      <c r="A146" s="49">
        <v>145</v>
      </c>
      <c r="B146" s="50">
        <v>40550</v>
      </c>
      <c r="C146" s="3">
        <v>1</v>
      </c>
      <c r="D146" s="3">
        <v>0</v>
      </c>
      <c r="E146" s="3" t="s">
        <v>104</v>
      </c>
      <c r="F146" s="3">
        <v>7</v>
      </c>
      <c r="G146" s="3" t="b">
        <v>0</v>
      </c>
      <c r="H146" s="3" t="s">
        <v>112</v>
      </c>
      <c r="I146" s="3" t="s">
        <v>113</v>
      </c>
      <c r="J146" s="3">
        <v>0.2</v>
      </c>
      <c r="K146" s="3">
        <v>0.21210000000000001</v>
      </c>
      <c r="L146" s="3">
        <v>0.69</v>
      </c>
      <c r="M146" s="3">
        <v>0.1343</v>
      </c>
      <c r="N146" s="3">
        <v>8</v>
      </c>
      <c r="O146" s="3">
        <v>76</v>
      </c>
      <c r="P146" s="51">
        <v>84</v>
      </c>
    </row>
    <row r="147" spans="1:16" x14ac:dyDescent="0.35">
      <c r="A147" s="49">
        <v>146</v>
      </c>
      <c r="B147" s="50">
        <v>40550</v>
      </c>
      <c r="C147" s="3">
        <v>1</v>
      </c>
      <c r="D147" s="3">
        <v>0</v>
      </c>
      <c r="E147" s="3" t="s">
        <v>104</v>
      </c>
      <c r="F147" s="3">
        <v>8</v>
      </c>
      <c r="G147" s="3" t="b">
        <v>0</v>
      </c>
      <c r="H147" s="3" t="s">
        <v>112</v>
      </c>
      <c r="I147" s="3" t="s">
        <v>113</v>
      </c>
      <c r="J147" s="3">
        <v>0.2</v>
      </c>
      <c r="K147" s="3">
        <v>0.19700000000000001</v>
      </c>
      <c r="L147" s="3">
        <v>0.51</v>
      </c>
      <c r="M147" s="3">
        <v>0.25369999999999998</v>
      </c>
      <c r="N147" s="3">
        <v>20</v>
      </c>
      <c r="O147" s="3">
        <v>190</v>
      </c>
      <c r="P147" s="51">
        <v>210</v>
      </c>
    </row>
    <row r="148" spans="1:16" x14ac:dyDescent="0.35">
      <c r="A148" s="49">
        <v>147</v>
      </c>
      <c r="B148" s="50">
        <v>40550</v>
      </c>
      <c r="C148" s="3">
        <v>1</v>
      </c>
      <c r="D148" s="3">
        <v>0</v>
      </c>
      <c r="E148" s="3" t="s">
        <v>104</v>
      </c>
      <c r="F148" s="3">
        <v>9</v>
      </c>
      <c r="G148" s="3" t="b">
        <v>0</v>
      </c>
      <c r="H148" s="3" t="s">
        <v>112</v>
      </c>
      <c r="I148" s="3" t="s">
        <v>113</v>
      </c>
      <c r="J148" s="3">
        <v>0.2</v>
      </c>
      <c r="K148" s="3">
        <v>0.18179999999999999</v>
      </c>
      <c r="L148" s="3">
        <v>0.47</v>
      </c>
      <c r="M148" s="3">
        <v>0.29849999999999999</v>
      </c>
      <c r="N148" s="3">
        <v>9</v>
      </c>
      <c r="O148" s="3">
        <v>125</v>
      </c>
      <c r="P148" s="51">
        <v>134</v>
      </c>
    </row>
    <row r="149" spans="1:16" x14ac:dyDescent="0.35">
      <c r="A149" s="49">
        <v>148</v>
      </c>
      <c r="B149" s="50">
        <v>40550</v>
      </c>
      <c r="C149" s="3">
        <v>1</v>
      </c>
      <c r="D149" s="3">
        <v>0</v>
      </c>
      <c r="E149" s="3" t="s">
        <v>104</v>
      </c>
      <c r="F149" s="3">
        <v>10</v>
      </c>
      <c r="G149" s="3" t="b">
        <v>0</v>
      </c>
      <c r="H149" s="3" t="s">
        <v>112</v>
      </c>
      <c r="I149" s="3" t="s">
        <v>113</v>
      </c>
      <c r="J149" s="3">
        <v>0.22</v>
      </c>
      <c r="K149" s="3">
        <v>0.19700000000000001</v>
      </c>
      <c r="L149" s="3">
        <v>0.37</v>
      </c>
      <c r="M149" s="3">
        <v>0.32840000000000003</v>
      </c>
      <c r="N149" s="3">
        <v>16</v>
      </c>
      <c r="O149" s="3">
        <v>47</v>
      </c>
      <c r="P149" s="51">
        <v>63</v>
      </c>
    </row>
    <row r="150" spans="1:16" x14ac:dyDescent="0.35">
      <c r="A150" s="49">
        <v>149</v>
      </c>
      <c r="B150" s="50">
        <v>40550</v>
      </c>
      <c r="C150" s="3">
        <v>1</v>
      </c>
      <c r="D150" s="3">
        <v>0</v>
      </c>
      <c r="E150" s="3" t="s">
        <v>104</v>
      </c>
      <c r="F150" s="3">
        <v>11</v>
      </c>
      <c r="G150" s="3" t="b">
        <v>0</v>
      </c>
      <c r="H150" s="3" t="s">
        <v>112</v>
      </c>
      <c r="I150" s="3" t="s">
        <v>114</v>
      </c>
      <c r="J150" s="3">
        <v>0.2</v>
      </c>
      <c r="K150" s="3">
        <v>0.19700000000000001</v>
      </c>
      <c r="L150" s="3">
        <v>0.4</v>
      </c>
      <c r="M150" s="3">
        <v>0.22389999999999999</v>
      </c>
      <c r="N150" s="3">
        <v>19</v>
      </c>
      <c r="O150" s="3">
        <v>48</v>
      </c>
      <c r="P150" s="51">
        <v>67</v>
      </c>
    </row>
    <row r="151" spans="1:16" x14ac:dyDescent="0.35">
      <c r="A151" s="49">
        <v>150</v>
      </c>
      <c r="B151" s="50">
        <v>40550</v>
      </c>
      <c r="C151" s="3">
        <v>1</v>
      </c>
      <c r="D151" s="3">
        <v>0</v>
      </c>
      <c r="E151" s="3" t="s">
        <v>104</v>
      </c>
      <c r="F151" s="3">
        <v>12</v>
      </c>
      <c r="G151" s="3" t="b">
        <v>0</v>
      </c>
      <c r="H151" s="3" t="s">
        <v>112</v>
      </c>
      <c r="I151" s="3" t="s">
        <v>114</v>
      </c>
      <c r="J151" s="3">
        <v>0.2</v>
      </c>
      <c r="K151" s="3">
        <v>0.19700000000000001</v>
      </c>
      <c r="L151" s="3">
        <v>0.37</v>
      </c>
      <c r="M151" s="3">
        <v>0.25369999999999998</v>
      </c>
      <c r="N151" s="3">
        <v>9</v>
      </c>
      <c r="O151" s="3">
        <v>50</v>
      </c>
      <c r="P151" s="51">
        <v>59</v>
      </c>
    </row>
    <row r="152" spans="1:16" x14ac:dyDescent="0.35">
      <c r="A152" s="49">
        <v>151</v>
      </c>
      <c r="B152" s="50">
        <v>40550</v>
      </c>
      <c r="C152" s="3">
        <v>1</v>
      </c>
      <c r="D152" s="3">
        <v>0</v>
      </c>
      <c r="E152" s="3" t="s">
        <v>104</v>
      </c>
      <c r="F152" s="3">
        <v>13</v>
      </c>
      <c r="G152" s="3" t="b">
        <v>0</v>
      </c>
      <c r="H152" s="3" t="s">
        <v>112</v>
      </c>
      <c r="I152" s="3" t="s">
        <v>114</v>
      </c>
      <c r="J152" s="3">
        <v>0.2</v>
      </c>
      <c r="K152" s="3">
        <v>0.18179999999999999</v>
      </c>
      <c r="L152" s="3">
        <v>0.37</v>
      </c>
      <c r="M152" s="3">
        <v>0.28360000000000002</v>
      </c>
      <c r="N152" s="3">
        <v>9</v>
      </c>
      <c r="O152" s="3">
        <v>64</v>
      </c>
      <c r="P152" s="51">
        <v>73</v>
      </c>
    </row>
    <row r="153" spans="1:16" x14ac:dyDescent="0.35">
      <c r="A153" s="49">
        <v>152</v>
      </c>
      <c r="B153" s="50">
        <v>40550</v>
      </c>
      <c r="C153" s="3">
        <v>1</v>
      </c>
      <c r="D153" s="3">
        <v>0</v>
      </c>
      <c r="E153" s="3" t="s">
        <v>104</v>
      </c>
      <c r="F153" s="3">
        <v>14</v>
      </c>
      <c r="G153" s="3" t="b">
        <v>0</v>
      </c>
      <c r="H153" s="3" t="s">
        <v>112</v>
      </c>
      <c r="I153" s="3" t="s">
        <v>114</v>
      </c>
      <c r="J153" s="3">
        <v>0.2</v>
      </c>
      <c r="K153" s="3">
        <v>0.19700000000000001</v>
      </c>
      <c r="L153" s="3">
        <v>0.4</v>
      </c>
      <c r="M153" s="3">
        <v>0.25369999999999998</v>
      </c>
      <c r="N153" s="3">
        <v>7</v>
      </c>
      <c r="O153" s="3">
        <v>43</v>
      </c>
      <c r="P153" s="51">
        <v>50</v>
      </c>
    </row>
    <row r="154" spans="1:16" x14ac:dyDescent="0.35">
      <c r="A154" s="49">
        <v>153</v>
      </c>
      <c r="B154" s="50">
        <v>40550</v>
      </c>
      <c r="C154" s="3">
        <v>1</v>
      </c>
      <c r="D154" s="3">
        <v>0</v>
      </c>
      <c r="E154" s="3" t="s">
        <v>104</v>
      </c>
      <c r="F154" s="3">
        <v>15</v>
      </c>
      <c r="G154" s="3" t="b">
        <v>0</v>
      </c>
      <c r="H154" s="3" t="s">
        <v>112</v>
      </c>
      <c r="I154" s="3" t="s">
        <v>114</v>
      </c>
      <c r="J154" s="3">
        <v>0.2</v>
      </c>
      <c r="K154" s="3">
        <v>0.21210000000000001</v>
      </c>
      <c r="L154" s="3">
        <v>0.37</v>
      </c>
      <c r="M154" s="3">
        <v>0.16420000000000001</v>
      </c>
      <c r="N154" s="3">
        <v>9</v>
      </c>
      <c r="O154" s="3">
        <v>63</v>
      </c>
      <c r="P154" s="51">
        <v>72</v>
      </c>
    </row>
    <row r="155" spans="1:16" x14ac:dyDescent="0.35">
      <c r="A155" s="49">
        <v>154</v>
      </c>
      <c r="B155" s="50">
        <v>40550</v>
      </c>
      <c r="C155" s="3">
        <v>1</v>
      </c>
      <c r="D155" s="3">
        <v>0</v>
      </c>
      <c r="E155" s="3" t="s">
        <v>104</v>
      </c>
      <c r="F155" s="3">
        <v>16</v>
      </c>
      <c r="G155" s="3" t="b">
        <v>0</v>
      </c>
      <c r="H155" s="3" t="s">
        <v>112</v>
      </c>
      <c r="I155" s="3" t="s">
        <v>114</v>
      </c>
      <c r="J155" s="3">
        <v>0.2</v>
      </c>
      <c r="K155" s="3">
        <v>0.21210000000000001</v>
      </c>
      <c r="L155" s="3">
        <v>0.37</v>
      </c>
      <c r="M155" s="3">
        <v>0.16420000000000001</v>
      </c>
      <c r="N155" s="3">
        <v>5</v>
      </c>
      <c r="O155" s="3">
        <v>82</v>
      </c>
      <c r="P155" s="51">
        <v>87</v>
      </c>
    </row>
    <row r="156" spans="1:16" x14ac:dyDescent="0.35">
      <c r="A156" s="49">
        <v>155</v>
      </c>
      <c r="B156" s="50">
        <v>40550</v>
      </c>
      <c r="C156" s="3">
        <v>1</v>
      </c>
      <c r="D156" s="3">
        <v>0</v>
      </c>
      <c r="E156" s="3" t="s">
        <v>104</v>
      </c>
      <c r="F156" s="3">
        <v>17</v>
      </c>
      <c r="G156" s="3" t="b">
        <v>0</v>
      </c>
      <c r="H156" s="3" t="s">
        <v>112</v>
      </c>
      <c r="I156" s="3" t="s">
        <v>114</v>
      </c>
      <c r="J156" s="3">
        <v>0.2</v>
      </c>
      <c r="K156" s="3">
        <v>0.2576</v>
      </c>
      <c r="L156" s="3">
        <v>0.37</v>
      </c>
      <c r="M156" s="3">
        <v>0</v>
      </c>
      <c r="N156" s="3">
        <v>9</v>
      </c>
      <c r="O156" s="3">
        <v>178</v>
      </c>
      <c r="P156" s="51">
        <v>187</v>
      </c>
    </row>
    <row r="157" spans="1:16" x14ac:dyDescent="0.35">
      <c r="A157" s="49">
        <v>156</v>
      </c>
      <c r="B157" s="50">
        <v>40550</v>
      </c>
      <c r="C157" s="3">
        <v>1</v>
      </c>
      <c r="D157" s="3">
        <v>0</v>
      </c>
      <c r="E157" s="3" t="s">
        <v>104</v>
      </c>
      <c r="F157" s="3">
        <v>18</v>
      </c>
      <c r="G157" s="3" t="b">
        <v>0</v>
      </c>
      <c r="H157" s="3" t="s">
        <v>112</v>
      </c>
      <c r="I157" s="3" t="s">
        <v>113</v>
      </c>
      <c r="J157" s="3">
        <v>0.2</v>
      </c>
      <c r="K157" s="3">
        <v>0.2273</v>
      </c>
      <c r="L157" s="3">
        <v>0.4</v>
      </c>
      <c r="M157" s="3">
        <v>8.9599999999999999E-2</v>
      </c>
      <c r="N157" s="3">
        <v>7</v>
      </c>
      <c r="O157" s="3">
        <v>116</v>
      </c>
      <c r="P157" s="51">
        <v>123</v>
      </c>
    </row>
    <row r="158" spans="1:16" x14ac:dyDescent="0.35">
      <c r="A158" s="49">
        <v>157</v>
      </c>
      <c r="B158" s="50">
        <v>40550</v>
      </c>
      <c r="C158" s="3">
        <v>1</v>
      </c>
      <c r="D158" s="3">
        <v>0</v>
      </c>
      <c r="E158" s="3" t="s">
        <v>104</v>
      </c>
      <c r="F158" s="3">
        <v>19</v>
      </c>
      <c r="G158" s="3" t="b">
        <v>0</v>
      </c>
      <c r="H158" s="3" t="s">
        <v>112</v>
      </c>
      <c r="I158" s="3" t="s">
        <v>113</v>
      </c>
      <c r="J158" s="3">
        <v>0.16</v>
      </c>
      <c r="K158" s="3">
        <v>0.19700000000000001</v>
      </c>
      <c r="L158" s="3">
        <v>0.55000000000000004</v>
      </c>
      <c r="M158" s="3">
        <v>8.9599999999999999E-2</v>
      </c>
      <c r="N158" s="3">
        <v>3</v>
      </c>
      <c r="O158" s="3">
        <v>92</v>
      </c>
      <c r="P158" s="51">
        <v>95</v>
      </c>
    </row>
    <row r="159" spans="1:16" x14ac:dyDescent="0.35">
      <c r="A159" s="49">
        <v>158</v>
      </c>
      <c r="B159" s="50">
        <v>40550</v>
      </c>
      <c r="C159" s="3">
        <v>1</v>
      </c>
      <c r="D159" s="3">
        <v>0</v>
      </c>
      <c r="E159" s="3" t="s">
        <v>104</v>
      </c>
      <c r="F159" s="3">
        <v>20</v>
      </c>
      <c r="G159" s="3" t="b">
        <v>0</v>
      </c>
      <c r="H159" s="3" t="s">
        <v>112</v>
      </c>
      <c r="I159" s="3" t="s">
        <v>113</v>
      </c>
      <c r="J159" s="3">
        <v>0.18</v>
      </c>
      <c r="K159" s="3">
        <v>0.21210000000000001</v>
      </c>
      <c r="L159" s="3">
        <v>0.47</v>
      </c>
      <c r="M159" s="3">
        <v>0.1045</v>
      </c>
      <c r="N159" s="3">
        <v>1</v>
      </c>
      <c r="O159" s="3">
        <v>50</v>
      </c>
      <c r="P159" s="51">
        <v>51</v>
      </c>
    </row>
    <row r="160" spans="1:16" x14ac:dyDescent="0.35">
      <c r="A160" s="49">
        <v>159</v>
      </c>
      <c r="B160" s="50">
        <v>40550</v>
      </c>
      <c r="C160" s="3">
        <v>1</v>
      </c>
      <c r="D160" s="3">
        <v>0</v>
      </c>
      <c r="E160" s="3" t="s">
        <v>104</v>
      </c>
      <c r="F160" s="3">
        <v>21</v>
      </c>
      <c r="G160" s="3" t="b">
        <v>0</v>
      </c>
      <c r="H160" s="3" t="s">
        <v>112</v>
      </c>
      <c r="I160" s="3" t="s">
        <v>113</v>
      </c>
      <c r="J160" s="3">
        <v>0.18</v>
      </c>
      <c r="K160" s="3">
        <v>0.19700000000000001</v>
      </c>
      <c r="L160" s="3">
        <v>0.47</v>
      </c>
      <c r="M160" s="3">
        <v>0.1343</v>
      </c>
      <c r="N160" s="3">
        <v>0</v>
      </c>
      <c r="O160" s="3">
        <v>39</v>
      </c>
      <c r="P160" s="51">
        <v>39</v>
      </c>
    </row>
    <row r="161" spans="1:16" x14ac:dyDescent="0.35">
      <c r="A161" s="49">
        <v>160</v>
      </c>
      <c r="B161" s="50">
        <v>40550</v>
      </c>
      <c r="C161" s="3">
        <v>1</v>
      </c>
      <c r="D161" s="3">
        <v>0</v>
      </c>
      <c r="E161" s="3" t="s">
        <v>104</v>
      </c>
      <c r="F161" s="3">
        <v>22</v>
      </c>
      <c r="G161" s="3" t="b">
        <v>0</v>
      </c>
      <c r="H161" s="3" t="s">
        <v>112</v>
      </c>
      <c r="I161" s="3" t="s">
        <v>114</v>
      </c>
      <c r="J161" s="3">
        <v>0.18</v>
      </c>
      <c r="K161" s="3">
        <v>0.19700000000000001</v>
      </c>
      <c r="L161" s="3">
        <v>0.43</v>
      </c>
      <c r="M161" s="3">
        <v>0.16420000000000001</v>
      </c>
      <c r="N161" s="3">
        <v>2</v>
      </c>
      <c r="O161" s="3">
        <v>34</v>
      </c>
      <c r="P161" s="51">
        <v>36</v>
      </c>
    </row>
    <row r="162" spans="1:16" x14ac:dyDescent="0.35">
      <c r="A162" s="49">
        <v>161</v>
      </c>
      <c r="B162" s="50">
        <v>40550</v>
      </c>
      <c r="C162" s="3">
        <v>1</v>
      </c>
      <c r="D162" s="3">
        <v>0</v>
      </c>
      <c r="E162" s="3" t="s">
        <v>104</v>
      </c>
      <c r="F162" s="3">
        <v>23</v>
      </c>
      <c r="G162" s="3" t="b">
        <v>0</v>
      </c>
      <c r="H162" s="3" t="s">
        <v>112</v>
      </c>
      <c r="I162" s="3" t="s">
        <v>114</v>
      </c>
      <c r="J162" s="3">
        <v>0.18</v>
      </c>
      <c r="K162" s="3">
        <v>0.19700000000000001</v>
      </c>
      <c r="L162" s="3">
        <v>0.51</v>
      </c>
      <c r="M162" s="3">
        <v>0.16420000000000001</v>
      </c>
      <c r="N162" s="3">
        <v>1</v>
      </c>
      <c r="O162" s="3">
        <v>14</v>
      </c>
      <c r="P162" s="51">
        <v>15</v>
      </c>
    </row>
    <row r="163" spans="1:16" x14ac:dyDescent="0.35">
      <c r="A163" s="49">
        <v>162</v>
      </c>
      <c r="B163" s="50">
        <v>40551</v>
      </c>
      <c r="C163" s="3">
        <v>1</v>
      </c>
      <c r="D163" s="3">
        <v>0</v>
      </c>
      <c r="E163" s="3" t="s">
        <v>104</v>
      </c>
      <c r="F163" s="3">
        <v>0</v>
      </c>
      <c r="G163" s="3" t="b">
        <v>0</v>
      </c>
      <c r="H163" s="3" t="s">
        <v>106</v>
      </c>
      <c r="I163" s="3" t="s">
        <v>114</v>
      </c>
      <c r="J163" s="3">
        <v>0.18</v>
      </c>
      <c r="K163" s="3">
        <v>0.19700000000000001</v>
      </c>
      <c r="L163" s="3">
        <v>0.51</v>
      </c>
      <c r="M163" s="3">
        <v>0.16420000000000001</v>
      </c>
      <c r="N163" s="3">
        <v>1</v>
      </c>
      <c r="O163" s="3">
        <v>24</v>
      </c>
      <c r="P163" s="51">
        <v>25</v>
      </c>
    </row>
    <row r="164" spans="1:16" x14ac:dyDescent="0.35">
      <c r="A164" s="49">
        <v>163</v>
      </c>
      <c r="B164" s="50">
        <v>40551</v>
      </c>
      <c r="C164" s="3">
        <v>1</v>
      </c>
      <c r="D164" s="3">
        <v>0</v>
      </c>
      <c r="E164" s="3" t="s">
        <v>104</v>
      </c>
      <c r="F164" s="3">
        <v>1</v>
      </c>
      <c r="G164" s="3" t="b">
        <v>0</v>
      </c>
      <c r="H164" s="3" t="s">
        <v>106</v>
      </c>
      <c r="I164" s="3" t="s">
        <v>114</v>
      </c>
      <c r="J164" s="3">
        <v>0.18</v>
      </c>
      <c r="K164" s="3">
        <v>0.21210000000000001</v>
      </c>
      <c r="L164" s="3">
        <v>0.55000000000000004</v>
      </c>
      <c r="M164" s="3">
        <v>8.9599999999999999E-2</v>
      </c>
      <c r="N164" s="3">
        <v>1</v>
      </c>
      <c r="O164" s="3">
        <v>15</v>
      </c>
      <c r="P164" s="51">
        <v>16</v>
      </c>
    </row>
    <row r="165" spans="1:16" x14ac:dyDescent="0.35">
      <c r="A165" s="49">
        <v>164</v>
      </c>
      <c r="B165" s="50">
        <v>40551</v>
      </c>
      <c r="C165" s="3">
        <v>1</v>
      </c>
      <c r="D165" s="3">
        <v>0</v>
      </c>
      <c r="E165" s="3" t="s">
        <v>104</v>
      </c>
      <c r="F165" s="3">
        <v>2</v>
      </c>
      <c r="G165" s="3" t="b">
        <v>0</v>
      </c>
      <c r="H165" s="3" t="s">
        <v>106</v>
      </c>
      <c r="I165" s="3" t="s">
        <v>114</v>
      </c>
      <c r="J165" s="3">
        <v>0.18</v>
      </c>
      <c r="K165" s="3">
        <v>0.2424</v>
      </c>
      <c r="L165" s="3">
        <v>0.55000000000000004</v>
      </c>
      <c r="M165" s="3">
        <v>0</v>
      </c>
      <c r="N165" s="3">
        <v>3</v>
      </c>
      <c r="O165" s="3">
        <v>13</v>
      </c>
      <c r="P165" s="51">
        <v>16</v>
      </c>
    </row>
    <row r="166" spans="1:16" x14ac:dyDescent="0.35">
      <c r="A166" s="49">
        <v>165</v>
      </c>
      <c r="B166" s="50">
        <v>40551</v>
      </c>
      <c r="C166" s="3">
        <v>1</v>
      </c>
      <c r="D166" s="3">
        <v>0</v>
      </c>
      <c r="E166" s="3" t="s">
        <v>104</v>
      </c>
      <c r="F166" s="3">
        <v>3</v>
      </c>
      <c r="G166" s="3" t="b">
        <v>0</v>
      </c>
      <c r="H166" s="3" t="s">
        <v>106</v>
      </c>
      <c r="I166" s="3" t="s">
        <v>115</v>
      </c>
      <c r="J166" s="3">
        <v>0.18</v>
      </c>
      <c r="K166" s="3">
        <v>0.19700000000000001</v>
      </c>
      <c r="L166" s="3">
        <v>0.55000000000000004</v>
      </c>
      <c r="M166" s="3">
        <v>0.16420000000000001</v>
      </c>
      <c r="N166" s="3">
        <v>0</v>
      </c>
      <c r="O166" s="3">
        <v>7</v>
      </c>
      <c r="P166" s="51">
        <v>7</v>
      </c>
    </row>
    <row r="167" spans="1:16" x14ac:dyDescent="0.35">
      <c r="A167" s="49">
        <v>166</v>
      </c>
      <c r="B167" s="50">
        <v>40551</v>
      </c>
      <c r="C167" s="3">
        <v>1</v>
      </c>
      <c r="D167" s="3">
        <v>0</v>
      </c>
      <c r="E167" s="3" t="s">
        <v>104</v>
      </c>
      <c r="F167" s="3">
        <v>4</v>
      </c>
      <c r="G167" s="3" t="b">
        <v>0</v>
      </c>
      <c r="H167" s="3" t="s">
        <v>106</v>
      </c>
      <c r="I167" s="3" t="s">
        <v>115</v>
      </c>
      <c r="J167" s="3">
        <v>0.18</v>
      </c>
      <c r="K167" s="3">
        <v>0.19700000000000001</v>
      </c>
      <c r="L167" s="3">
        <v>0.55000000000000004</v>
      </c>
      <c r="M167" s="3">
        <v>0.16420000000000001</v>
      </c>
      <c r="N167" s="3">
        <v>0</v>
      </c>
      <c r="O167" s="3">
        <v>1</v>
      </c>
      <c r="P167" s="51">
        <v>1</v>
      </c>
    </row>
    <row r="168" spans="1:16" x14ac:dyDescent="0.35">
      <c r="A168" s="49">
        <v>167</v>
      </c>
      <c r="B168" s="50">
        <v>40551</v>
      </c>
      <c r="C168" s="3">
        <v>1</v>
      </c>
      <c r="D168" s="3">
        <v>0</v>
      </c>
      <c r="E168" s="3" t="s">
        <v>104</v>
      </c>
      <c r="F168" s="3">
        <v>5</v>
      </c>
      <c r="G168" s="3" t="b">
        <v>0</v>
      </c>
      <c r="H168" s="3" t="s">
        <v>106</v>
      </c>
      <c r="I168" s="3" t="s">
        <v>114</v>
      </c>
      <c r="J168" s="3">
        <v>0.16</v>
      </c>
      <c r="K168" s="3">
        <v>0.16669999999999999</v>
      </c>
      <c r="L168" s="3">
        <v>0.74</v>
      </c>
      <c r="M168" s="3">
        <v>0.16420000000000001</v>
      </c>
      <c r="N168" s="3">
        <v>0</v>
      </c>
      <c r="O168" s="3">
        <v>5</v>
      </c>
      <c r="P168" s="51">
        <v>5</v>
      </c>
    </row>
    <row r="169" spans="1:16" x14ac:dyDescent="0.35">
      <c r="A169" s="49">
        <v>168</v>
      </c>
      <c r="B169" s="50">
        <v>40551</v>
      </c>
      <c r="C169" s="3">
        <v>1</v>
      </c>
      <c r="D169" s="3">
        <v>0</v>
      </c>
      <c r="E169" s="3" t="s">
        <v>104</v>
      </c>
      <c r="F169" s="3">
        <v>6</v>
      </c>
      <c r="G169" s="3" t="b">
        <v>0</v>
      </c>
      <c r="H169" s="3" t="s">
        <v>106</v>
      </c>
      <c r="I169" s="3" t="s">
        <v>114</v>
      </c>
      <c r="J169" s="3">
        <v>0.16</v>
      </c>
      <c r="K169" s="3">
        <v>0.16669999999999999</v>
      </c>
      <c r="L169" s="3">
        <v>0.74</v>
      </c>
      <c r="M169" s="3">
        <v>0.16420000000000001</v>
      </c>
      <c r="N169" s="3">
        <v>0</v>
      </c>
      <c r="O169" s="3">
        <v>2</v>
      </c>
      <c r="P169" s="51">
        <v>2</v>
      </c>
    </row>
    <row r="170" spans="1:16" x14ac:dyDescent="0.35">
      <c r="A170" s="49">
        <v>169</v>
      </c>
      <c r="B170" s="50">
        <v>40551</v>
      </c>
      <c r="C170" s="3">
        <v>1</v>
      </c>
      <c r="D170" s="3">
        <v>0</v>
      </c>
      <c r="E170" s="3" t="s">
        <v>104</v>
      </c>
      <c r="F170" s="3">
        <v>7</v>
      </c>
      <c r="G170" s="3" t="b">
        <v>0</v>
      </c>
      <c r="H170" s="3" t="s">
        <v>106</v>
      </c>
      <c r="I170" s="3" t="s">
        <v>114</v>
      </c>
      <c r="J170" s="3">
        <v>0.16</v>
      </c>
      <c r="K170" s="3">
        <v>0.18179999999999999</v>
      </c>
      <c r="L170" s="3">
        <v>0.74</v>
      </c>
      <c r="M170" s="3">
        <v>0.1045</v>
      </c>
      <c r="N170" s="3">
        <v>1</v>
      </c>
      <c r="O170" s="3">
        <v>8</v>
      </c>
      <c r="P170" s="51">
        <v>9</v>
      </c>
    </row>
    <row r="171" spans="1:16" x14ac:dyDescent="0.35">
      <c r="A171" s="49">
        <v>170</v>
      </c>
      <c r="B171" s="50">
        <v>40551</v>
      </c>
      <c r="C171" s="3">
        <v>1</v>
      </c>
      <c r="D171" s="3">
        <v>0</v>
      </c>
      <c r="E171" s="3" t="s">
        <v>104</v>
      </c>
      <c r="F171" s="3">
        <v>8</v>
      </c>
      <c r="G171" s="3" t="b">
        <v>0</v>
      </c>
      <c r="H171" s="3" t="s">
        <v>106</v>
      </c>
      <c r="I171" s="3" t="s">
        <v>115</v>
      </c>
      <c r="J171" s="3">
        <v>0.16</v>
      </c>
      <c r="K171" s="3">
        <v>0.18179999999999999</v>
      </c>
      <c r="L171" s="3">
        <v>0.93</v>
      </c>
      <c r="M171" s="3">
        <v>0.1045</v>
      </c>
      <c r="N171" s="3">
        <v>0</v>
      </c>
      <c r="O171" s="3">
        <v>15</v>
      </c>
      <c r="P171" s="51">
        <v>15</v>
      </c>
    </row>
    <row r="172" spans="1:16" x14ac:dyDescent="0.35">
      <c r="A172" s="49">
        <v>171</v>
      </c>
      <c r="B172" s="50">
        <v>40551</v>
      </c>
      <c r="C172" s="3">
        <v>1</v>
      </c>
      <c r="D172" s="3">
        <v>0</v>
      </c>
      <c r="E172" s="3" t="s">
        <v>104</v>
      </c>
      <c r="F172" s="3">
        <v>9</v>
      </c>
      <c r="G172" s="3" t="b">
        <v>0</v>
      </c>
      <c r="H172" s="3" t="s">
        <v>106</v>
      </c>
      <c r="I172" s="3" t="s">
        <v>115</v>
      </c>
      <c r="J172" s="3">
        <v>0.16</v>
      </c>
      <c r="K172" s="3">
        <v>0.18179999999999999</v>
      </c>
      <c r="L172" s="3">
        <v>0.93</v>
      </c>
      <c r="M172" s="3">
        <v>0.1045</v>
      </c>
      <c r="N172" s="3">
        <v>0</v>
      </c>
      <c r="O172" s="3">
        <v>20</v>
      </c>
      <c r="P172" s="51">
        <v>20</v>
      </c>
    </row>
    <row r="173" spans="1:16" x14ac:dyDescent="0.35">
      <c r="A173" s="49">
        <v>172</v>
      </c>
      <c r="B173" s="50">
        <v>40551</v>
      </c>
      <c r="C173" s="3">
        <v>1</v>
      </c>
      <c r="D173" s="3">
        <v>0</v>
      </c>
      <c r="E173" s="3" t="s">
        <v>104</v>
      </c>
      <c r="F173" s="3">
        <v>10</v>
      </c>
      <c r="G173" s="3" t="b">
        <v>0</v>
      </c>
      <c r="H173" s="3" t="s">
        <v>106</v>
      </c>
      <c r="I173" s="3" t="s">
        <v>114</v>
      </c>
      <c r="J173" s="3">
        <v>0.18</v>
      </c>
      <c r="K173" s="3">
        <v>0.19700000000000001</v>
      </c>
      <c r="L173" s="3">
        <v>0.8</v>
      </c>
      <c r="M173" s="3">
        <v>0.16420000000000001</v>
      </c>
      <c r="N173" s="3">
        <v>5</v>
      </c>
      <c r="O173" s="3">
        <v>56</v>
      </c>
      <c r="P173" s="51">
        <v>61</v>
      </c>
    </row>
    <row r="174" spans="1:16" x14ac:dyDescent="0.35">
      <c r="A174" s="49">
        <v>173</v>
      </c>
      <c r="B174" s="50">
        <v>40551</v>
      </c>
      <c r="C174" s="3">
        <v>1</v>
      </c>
      <c r="D174" s="3">
        <v>0</v>
      </c>
      <c r="E174" s="3" t="s">
        <v>104</v>
      </c>
      <c r="F174" s="3">
        <v>11</v>
      </c>
      <c r="G174" s="3" t="b">
        <v>0</v>
      </c>
      <c r="H174" s="3" t="s">
        <v>106</v>
      </c>
      <c r="I174" s="3" t="s">
        <v>114</v>
      </c>
      <c r="J174" s="3">
        <v>0.2</v>
      </c>
      <c r="K174" s="3">
        <v>0.18179999999999999</v>
      </c>
      <c r="L174" s="3">
        <v>0.69</v>
      </c>
      <c r="M174" s="3">
        <v>0.3881</v>
      </c>
      <c r="N174" s="3">
        <v>2</v>
      </c>
      <c r="O174" s="3">
        <v>60</v>
      </c>
      <c r="P174" s="51">
        <v>62</v>
      </c>
    </row>
    <row r="175" spans="1:16" x14ac:dyDescent="0.35">
      <c r="A175" s="49">
        <v>174</v>
      </c>
      <c r="B175" s="50">
        <v>40551</v>
      </c>
      <c r="C175" s="3">
        <v>1</v>
      </c>
      <c r="D175" s="3">
        <v>0</v>
      </c>
      <c r="E175" s="3" t="s">
        <v>104</v>
      </c>
      <c r="F175" s="3">
        <v>12</v>
      </c>
      <c r="G175" s="3" t="b">
        <v>0</v>
      </c>
      <c r="H175" s="3" t="s">
        <v>106</v>
      </c>
      <c r="I175" s="3" t="s">
        <v>114</v>
      </c>
      <c r="J175" s="3">
        <v>0.2</v>
      </c>
      <c r="K175" s="3">
        <v>0.18179999999999999</v>
      </c>
      <c r="L175" s="3">
        <v>0.59</v>
      </c>
      <c r="M175" s="3">
        <v>0.35820000000000002</v>
      </c>
      <c r="N175" s="3">
        <v>8</v>
      </c>
      <c r="O175" s="3">
        <v>90</v>
      </c>
      <c r="P175" s="51">
        <v>98</v>
      </c>
    </row>
    <row r="176" spans="1:16" x14ac:dyDescent="0.35">
      <c r="A176" s="49">
        <v>175</v>
      </c>
      <c r="B176" s="50">
        <v>40551</v>
      </c>
      <c r="C176" s="3">
        <v>1</v>
      </c>
      <c r="D176" s="3">
        <v>0</v>
      </c>
      <c r="E176" s="3" t="s">
        <v>104</v>
      </c>
      <c r="F176" s="3">
        <v>13</v>
      </c>
      <c r="G176" s="3" t="b">
        <v>0</v>
      </c>
      <c r="H176" s="3" t="s">
        <v>106</v>
      </c>
      <c r="I176" s="3" t="s">
        <v>113</v>
      </c>
      <c r="J176" s="3">
        <v>0.2</v>
      </c>
      <c r="K176" s="3">
        <v>0.18179999999999999</v>
      </c>
      <c r="L176" s="3">
        <v>0.44</v>
      </c>
      <c r="M176" s="3">
        <v>0.32840000000000003</v>
      </c>
      <c r="N176" s="3">
        <v>7</v>
      </c>
      <c r="O176" s="3">
        <v>95</v>
      </c>
      <c r="P176" s="51">
        <v>102</v>
      </c>
    </row>
    <row r="177" spans="1:16" x14ac:dyDescent="0.35">
      <c r="A177" s="49">
        <v>176</v>
      </c>
      <c r="B177" s="50">
        <v>40551</v>
      </c>
      <c r="C177" s="3">
        <v>1</v>
      </c>
      <c r="D177" s="3">
        <v>0</v>
      </c>
      <c r="E177" s="3" t="s">
        <v>104</v>
      </c>
      <c r="F177" s="3">
        <v>14</v>
      </c>
      <c r="G177" s="3" t="b">
        <v>0</v>
      </c>
      <c r="H177" s="3" t="s">
        <v>106</v>
      </c>
      <c r="I177" s="3" t="s">
        <v>113</v>
      </c>
      <c r="J177" s="3">
        <v>0.2</v>
      </c>
      <c r="K177" s="3">
        <v>0.16669999999999999</v>
      </c>
      <c r="L177" s="3">
        <v>0.32</v>
      </c>
      <c r="M177" s="3">
        <v>0.49249999999999999</v>
      </c>
      <c r="N177" s="3">
        <v>12</v>
      </c>
      <c r="O177" s="3">
        <v>83</v>
      </c>
      <c r="P177" s="51">
        <v>95</v>
      </c>
    </row>
    <row r="178" spans="1:16" x14ac:dyDescent="0.35">
      <c r="A178" s="49">
        <v>177</v>
      </c>
      <c r="B178" s="50">
        <v>40551</v>
      </c>
      <c r="C178" s="3">
        <v>1</v>
      </c>
      <c r="D178" s="3">
        <v>0</v>
      </c>
      <c r="E178" s="3" t="s">
        <v>104</v>
      </c>
      <c r="F178" s="3">
        <v>15</v>
      </c>
      <c r="G178" s="3" t="b">
        <v>0</v>
      </c>
      <c r="H178" s="3" t="s">
        <v>106</v>
      </c>
      <c r="I178" s="3" t="s">
        <v>113</v>
      </c>
      <c r="J178" s="3">
        <v>0.2</v>
      </c>
      <c r="K178" s="3">
        <v>0.16669999999999999</v>
      </c>
      <c r="L178" s="3">
        <v>0.32</v>
      </c>
      <c r="M178" s="3">
        <v>0.44779999999999998</v>
      </c>
      <c r="N178" s="3">
        <v>5</v>
      </c>
      <c r="O178" s="3">
        <v>69</v>
      </c>
      <c r="P178" s="51">
        <v>74</v>
      </c>
    </row>
    <row r="179" spans="1:16" x14ac:dyDescent="0.35">
      <c r="A179" s="49">
        <v>178</v>
      </c>
      <c r="B179" s="50">
        <v>40551</v>
      </c>
      <c r="C179" s="3">
        <v>1</v>
      </c>
      <c r="D179" s="3">
        <v>0</v>
      </c>
      <c r="E179" s="3" t="s">
        <v>104</v>
      </c>
      <c r="F179" s="3">
        <v>16</v>
      </c>
      <c r="G179" s="3" t="b">
        <v>0</v>
      </c>
      <c r="H179" s="3" t="s">
        <v>106</v>
      </c>
      <c r="I179" s="3" t="s">
        <v>113</v>
      </c>
      <c r="J179" s="3">
        <v>0.18</v>
      </c>
      <c r="K179" s="3">
        <v>0.13639999999999999</v>
      </c>
      <c r="L179" s="3">
        <v>0.28999999999999998</v>
      </c>
      <c r="M179" s="3">
        <v>0.44779999999999998</v>
      </c>
      <c r="N179" s="3">
        <v>8</v>
      </c>
      <c r="O179" s="3">
        <v>68</v>
      </c>
      <c r="P179" s="51">
        <v>76</v>
      </c>
    </row>
    <row r="180" spans="1:16" x14ac:dyDescent="0.35">
      <c r="A180" s="49">
        <v>179</v>
      </c>
      <c r="B180" s="50">
        <v>40551</v>
      </c>
      <c r="C180" s="3">
        <v>1</v>
      </c>
      <c r="D180" s="3">
        <v>0</v>
      </c>
      <c r="E180" s="3" t="s">
        <v>104</v>
      </c>
      <c r="F180" s="3">
        <v>17</v>
      </c>
      <c r="G180" s="3" t="b">
        <v>0</v>
      </c>
      <c r="H180" s="3" t="s">
        <v>106</v>
      </c>
      <c r="I180" s="3" t="s">
        <v>113</v>
      </c>
      <c r="J180" s="3">
        <v>0.16</v>
      </c>
      <c r="K180" s="3">
        <v>0.1212</v>
      </c>
      <c r="L180" s="3">
        <v>0.37</v>
      </c>
      <c r="M180" s="3">
        <v>0.55220000000000002</v>
      </c>
      <c r="N180" s="3">
        <v>5</v>
      </c>
      <c r="O180" s="3">
        <v>64</v>
      </c>
      <c r="P180" s="51">
        <v>69</v>
      </c>
    </row>
    <row r="181" spans="1:16" x14ac:dyDescent="0.35">
      <c r="A181" s="49">
        <v>180</v>
      </c>
      <c r="B181" s="50">
        <v>40551</v>
      </c>
      <c r="C181" s="3">
        <v>1</v>
      </c>
      <c r="D181" s="3">
        <v>0</v>
      </c>
      <c r="E181" s="3" t="s">
        <v>104</v>
      </c>
      <c r="F181" s="3">
        <v>18</v>
      </c>
      <c r="G181" s="3" t="b">
        <v>0</v>
      </c>
      <c r="H181" s="3" t="s">
        <v>106</v>
      </c>
      <c r="I181" s="3" t="s">
        <v>113</v>
      </c>
      <c r="J181" s="3">
        <v>0.14000000000000001</v>
      </c>
      <c r="K181" s="3">
        <v>0.1212</v>
      </c>
      <c r="L181" s="3">
        <v>0.39</v>
      </c>
      <c r="M181" s="3">
        <v>0.29849999999999999</v>
      </c>
      <c r="N181" s="3">
        <v>3</v>
      </c>
      <c r="O181" s="3">
        <v>52</v>
      </c>
      <c r="P181" s="51">
        <v>55</v>
      </c>
    </row>
    <row r="182" spans="1:16" x14ac:dyDescent="0.35">
      <c r="A182" s="49">
        <v>181</v>
      </c>
      <c r="B182" s="50">
        <v>40551</v>
      </c>
      <c r="C182" s="3">
        <v>1</v>
      </c>
      <c r="D182" s="3">
        <v>0</v>
      </c>
      <c r="E182" s="3" t="s">
        <v>104</v>
      </c>
      <c r="F182" s="3">
        <v>19</v>
      </c>
      <c r="G182" s="3" t="b">
        <v>0</v>
      </c>
      <c r="H182" s="3" t="s">
        <v>106</v>
      </c>
      <c r="I182" s="3" t="s">
        <v>113</v>
      </c>
      <c r="J182" s="3">
        <v>0.14000000000000001</v>
      </c>
      <c r="K182" s="3">
        <v>0.1212</v>
      </c>
      <c r="L182" s="3">
        <v>0.36</v>
      </c>
      <c r="M182" s="3">
        <v>0.25369999999999998</v>
      </c>
      <c r="N182" s="3">
        <v>4</v>
      </c>
      <c r="O182" s="3">
        <v>26</v>
      </c>
      <c r="P182" s="51">
        <v>30</v>
      </c>
    </row>
    <row r="183" spans="1:16" x14ac:dyDescent="0.35">
      <c r="A183" s="49">
        <v>182</v>
      </c>
      <c r="B183" s="50">
        <v>40551</v>
      </c>
      <c r="C183" s="3">
        <v>1</v>
      </c>
      <c r="D183" s="3">
        <v>0</v>
      </c>
      <c r="E183" s="3" t="s">
        <v>104</v>
      </c>
      <c r="F183" s="3">
        <v>20</v>
      </c>
      <c r="G183" s="3" t="b">
        <v>0</v>
      </c>
      <c r="H183" s="3" t="s">
        <v>106</v>
      </c>
      <c r="I183" s="3" t="s">
        <v>113</v>
      </c>
      <c r="J183" s="3">
        <v>0.12</v>
      </c>
      <c r="K183" s="3">
        <v>0.1212</v>
      </c>
      <c r="L183" s="3">
        <v>0.36</v>
      </c>
      <c r="M183" s="3">
        <v>0.25369999999999998</v>
      </c>
      <c r="N183" s="3">
        <v>0</v>
      </c>
      <c r="O183" s="3">
        <v>28</v>
      </c>
      <c r="P183" s="51">
        <v>28</v>
      </c>
    </row>
    <row r="184" spans="1:16" x14ac:dyDescent="0.35">
      <c r="A184" s="49">
        <v>183</v>
      </c>
      <c r="B184" s="50">
        <v>40551</v>
      </c>
      <c r="C184" s="3">
        <v>1</v>
      </c>
      <c r="D184" s="3">
        <v>0</v>
      </c>
      <c r="E184" s="3" t="s">
        <v>104</v>
      </c>
      <c r="F184" s="3">
        <v>21</v>
      </c>
      <c r="G184" s="3" t="b">
        <v>0</v>
      </c>
      <c r="H184" s="3" t="s">
        <v>106</v>
      </c>
      <c r="I184" s="3" t="s">
        <v>113</v>
      </c>
      <c r="J184" s="3">
        <v>0.12</v>
      </c>
      <c r="K184" s="3">
        <v>0.1061</v>
      </c>
      <c r="L184" s="3">
        <v>0.39</v>
      </c>
      <c r="M184" s="3">
        <v>0.35820000000000002</v>
      </c>
      <c r="N184" s="3">
        <v>2</v>
      </c>
      <c r="O184" s="3">
        <v>35</v>
      </c>
      <c r="P184" s="51">
        <v>37</v>
      </c>
    </row>
    <row r="185" spans="1:16" x14ac:dyDescent="0.35">
      <c r="A185" s="49">
        <v>184</v>
      </c>
      <c r="B185" s="50">
        <v>40551</v>
      </c>
      <c r="C185" s="3">
        <v>1</v>
      </c>
      <c r="D185" s="3">
        <v>0</v>
      </c>
      <c r="E185" s="3" t="s">
        <v>104</v>
      </c>
      <c r="F185" s="3">
        <v>22</v>
      </c>
      <c r="G185" s="3" t="b">
        <v>0</v>
      </c>
      <c r="H185" s="3" t="s">
        <v>106</v>
      </c>
      <c r="I185" s="3" t="s">
        <v>113</v>
      </c>
      <c r="J185" s="3">
        <v>0.12</v>
      </c>
      <c r="K185" s="3">
        <v>0.1061</v>
      </c>
      <c r="L185" s="3">
        <v>0.36</v>
      </c>
      <c r="M185" s="3">
        <v>0.3881</v>
      </c>
      <c r="N185" s="3">
        <v>1</v>
      </c>
      <c r="O185" s="3">
        <v>33</v>
      </c>
      <c r="P185" s="51">
        <v>34</v>
      </c>
    </row>
    <row r="186" spans="1:16" x14ac:dyDescent="0.35">
      <c r="A186" s="49">
        <v>185</v>
      </c>
      <c r="B186" s="50">
        <v>40551</v>
      </c>
      <c r="C186" s="3">
        <v>1</v>
      </c>
      <c r="D186" s="3">
        <v>0</v>
      </c>
      <c r="E186" s="3" t="s">
        <v>104</v>
      </c>
      <c r="F186" s="3">
        <v>23</v>
      </c>
      <c r="G186" s="3" t="b">
        <v>0</v>
      </c>
      <c r="H186" s="3" t="s">
        <v>106</v>
      </c>
      <c r="I186" s="3" t="s">
        <v>113</v>
      </c>
      <c r="J186" s="3">
        <v>0.1</v>
      </c>
      <c r="K186" s="3">
        <v>6.0600000000000001E-2</v>
      </c>
      <c r="L186" s="3">
        <v>0.39</v>
      </c>
      <c r="M186" s="3">
        <v>0.44779999999999998</v>
      </c>
      <c r="N186" s="3">
        <v>0</v>
      </c>
      <c r="O186" s="3">
        <v>22</v>
      </c>
      <c r="P186" s="51">
        <v>22</v>
      </c>
    </row>
    <row r="187" spans="1:16" x14ac:dyDescent="0.35">
      <c r="A187" s="49">
        <v>186</v>
      </c>
      <c r="B187" s="50">
        <v>40552</v>
      </c>
      <c r="C187" s="3">
        <v>1</v>
      </c>
      <c r="D187" s="3">
        <v>0</v>
      </c>
      <c r="E187" s="3" t="s">
        <v>104</v>
      </c>
      <c r="F187" s="3">
        <v>0</v>
      </c>
      <c r="G187" s="3" t="b">
        <v>0</v>
      </c>
      <c r="H187" s="3" t="s">
        <v>107</v>
      </c>
      <c r="I187" s="3" t="s">
        <v>113</v>
      </c>
      <c r="J187" s="3">
        <v>0.1</v>
      </c>
      <c r="K187" s="3">
        <v>7.5800000000000006E-2</v>
      </c>
      <c r="L187" s="3">
        <v>0.42</v>
      </c>
      <c r="M187" s="3">
        <v>0.3881</v>
      </c>
      <c r="N187" s="3">
        <v>1</v>
      </c>
      <c r="O187" s="3">
        <v>24</v>
      </c>
      <c r="P187" s="51">
        <v>25</v>
      </c>
    </row>
    <row r="188" spans="1:16" x14ac:dyDescent="0.35">
      <c r="A188" s="49">
        <v>187</v>
      </c>
      <c r="B188" s="50">
        <v>40552</v>
      </c>
      <c r="C188" s="3">
        <v>1</v>
      </c>
      <c r="D188" s="3">
        <v>0</v>
      </c>
      <c r="E188" s="3" t="s">
        <v>104</v>
      </c>
      <c r="F188" s="3">
        <v>1</v>
      </c>
      <c r="G188" s="3" t="b">
        <v>0</v>
      </c>
      <c r="H188" s="3" t="s">
        <v>107</v>
      </c>
      <c r="I188" s="3" t="s">
        <v>113</v>
      </c>
      <c r="J188" s="3">
        <v>0.1</v>
      </c>
      <c r="K188" s="3">
        <v>6.0600000000000001E-2</v>
      </c>
      <c r="L188" s="3">
        <v>0.42</v>
      </c>
      <c r="M188" s="3">
        <v>0.4627</v>
      </c>
      <c r="N188" s="3">
        <v>0</v>
      </c>
      <c r="O188" s="3">
        <v>12</v>
      </c>
      <c r="P188" s="51">
        <v>12</v>
      </c>
    </row>
    <row r="189" spans="1:16" x14ac:dyDescent="0.35">
      <c r="A189" s="49">
        <v>188</v>
      </c>
      <c r="B189" s="50">
        <v>40552</v>
      </c>
      <c r="C189" s="3">
        <v>1</v>
      </c>
      <c r="D189" s="3">
        <v>0</v>
      </c>
      <c r="E189" s="3" t="s">
        <v>104</v>
      </c>
      <c r="F189" s="3">
        <v>2</v>
      </c>
      <c r="G189" s="3" t="b">
        <v>0</v>
      </c>
      <c r="H189" s="3" t="s">
        <v>107</v>
      </c>
      <c r="I189" s="3" t="s">
        <v>113</v>
      </c>
      <c r="J189" s="3">
        <v>0.1</v>
      </c>
      <c r="K189" s="3">
        <v>6.0600000000000001E-2</v>
      </c>
      <c r="L189" s="3">
        <v>0.46</v>
      </c>
      <c r="M189" s="3">
        <v>0.4627</v>
      </c>
      <c r="N189" s="3">
        <v>0</v>
      </c>
      <c r="O189" s="3">
        <v>11</v>
      </c>
      <c r="P189" s="51">
        <v>11</v>
      </c>
    </row>
    <row r="190" spans="1:16" x14ac:dyDescent="0.35">
      <c r="A190" s="49">
        <v>189</v>
      </c>
      <c r="B190" s="50">
        <v>40552</v>
      </c>
      <c r="C190" s="3">
        <v>1</v>
      </c>
      <c r="D190" s="3">
        <v>0</v>
      </c>
      <c r="E190" s="3" t="s">
        <v>104</v>
      </c>
      <c r="F190" s="3">
        <v>3</v>
      </c>
      <c r="G190" s="3" t="b">
        <v>0</v>
      </c>
      <c r="H190" s="3" t="s">
        <v>107</v>
      </c>
      <c r="I190" s="3" t="s">
        <v>113</v>
      </c>
      <c r="J190" s="3">
        <v>0.1</v>
      </c>
      <c r="K190" s="3">
        <v>7.5800000000000006E-2</v>
      </c>
      <c r="L190" s="3">
        <v>0.46</v>
      </c>
      <c r="M190" s="3">
        <v>0.41789999999999999</v>
      </c>
      <c r="N190" s="3">
        <v>0</v>
      </c>
      <c r="O190" s="3">
        <v>4</v>
      </c>
      <c r="P190" s="51">
        <v>4</v>
      </c>
    </row>
    <row r="191" spans="1:16" x14ac:dyDescent="0.35">
      <c r="A191" s="49">
        <v>190</v>
      </c>
      <c r="B191" s="50">
        <v>40552</v>
      </c>
      <c r="C191" s="3">
        <v>1</v>
      </c>
      <c r="D191" s="3">
        <v>0</v>
      </c>
      <c r="E191" s="3" t="s">
        <v>104</v>
      </c>
      <c r="F191" s="3">
        <v>4</v>
      </c>
      <c r="G191" s="3" t="b">
        <v>0</v>
      </c>
      <c r="H191" s="3" t="s">
        <v>107</v>
      </c>
      <c r="I191" s="3" t="s">
        <v>113</v>
      </c>
      <c r="J191" s="3">
        <v>0.08</v>
      </c>
      <c r="K191" s="3">
        <v>9.0899999999999995E-2</v>
      </c>
      <c r="L191" s="3">
        <v>0.53</v>
      </c>
      <c r="M191" s="3">
        <v>0.19400000000000001</v>
      </c>
      <c r="N191" s="3">
        <v>0</v>
      </c>
      <c r="O191" s="3">
        <v>1</v>
      </c>
      <c r="P191" s="51">
        <v>1</v>
      </c>
    </row>
    <row r="192" spans="1:16" x14ac:dyDescent="0.35">
      <c r="A192" s="49">
        <v>191</v>
      </c>
      <c r="B192" s="50">
        <v>40552</v>
      </c>
      <c r="C192" s="3">
        <v>1</v>
      </c>
      <c r="D192" s="3">
        <v>0</v>
      </c>
      <c r="E192" s="3" t="s">
        <v>104</v>
      </c>
      <c r="F192" s="3">
        <v>5</v>
      </c>
      <c r="G192" s="3" t="b">
        <v>0</v>
      </c>
      <c r="H192" s="3" t="s">
        <v>107</v>
      </c>
      <c r="I192" s="3" t="s">
        <v>113</v>
      </c>
      <c r="J192" s="3">
        <v>0.08</v>
      </c>
      <c r="K192" s="3">
        <v>9.0899999999999995E-2</v>
      </c>
      <c r="L192" s="3">
        <v>0.53</v>
      </c>
      <c r="M192" s="3">
        <v>0.19400000000000001</v>
      </c>
      <c r="N192" s="3">
        <v>0</v>
      </c>
      <c r="O192" s="3">
        <v>1</v>
      </c>
      <c r="P192" s="51">
        <v>1</v>
      </c>
    </row>
    <row r="193" spans="1:16" x14ac:dyDescent="0.35">
      <c r="A193" s="49">
        <v>192</v>
      </c>
      <c r="B193" s="50">
        <v>40552</v>
      </c>
      <c r="C193" s="3">
        <v>1</v>
      </c>
      <c r="D193" s="3">
        <v>0</v>
      </c>
      <c r="E193" s="3" t="s">
        <v>104</v>
      </c>
      <c r="F193" s="3">
        <v>6</v>
      </c>
      <c r="G193" s="3" t="b">
        <v>0</v>
      </c>
      <c r="H193" s="3" t="s">
        <v>107</v>
      </c>
      <c r="I193" s="3" t="s">
        <v>113</v>
      </c>
      <c r="J193" s="3">
        <v>0.1</v>
      </c>
      <c r="K193" s="3">
        <v>9.0899999999999995E-2</v>
      </c>
      <c r="L193" s="3">
        <v>0.49</v>
      </c>
      <c r="M193" s="3">
        <v>0.28360000000000002</v>
      </c>
      <c r="N193" s="3">
        <v>0</v>
      </c>
      <c r="O193" s="3">
        <v>1</v>
      </c>
      <c r="P193" s="51">
        <v>1</v>
      </c>
    </row>
    <row r="194" spans="1:16" x14ac:dyDescent="0.35">
      <c r="A194" s="49">
        <v>193</v>
      </c>
      <c r="B194" s="50">
        <v>40552</v>
      </c>
      <c r="C194" s="3">
        <v>1</v>
      </c>
      <c r="D194" s="3">
        <v>0</v>
      </c>
      <c r="E194" s="3" t="s">
        <v>104</v>
      </c>
      <c r="F194" s="3">
        <v>7</v>
      </c>
      <c r="G194" s="3" t="b">
        <v>0</v>
      </c>
      <c r="H194" s="3" t="s">
        <v>107</v>
      </c>
      <c r="I194" s="3" t="s">
        <v>113</v>
      </c>
      <c r="J194" s="3">
        <v>0.08</v>
      </c>
      <c r="K194" s="3">
        <v>9.0899999999999995E-2</v>
      </c>
      <c r="L194" s="3">
        <v>0.53</v>
      </c>
      <c r="M194" s="3">
        <v>0.19400000000000001</v>
      </c>
      <c r="N194" s="3">
        <v>1</v>
      </c>
      <c r="O194" s="3">
        <v>5</v>
      </c>
      <c r="P194" s="51">
        <v>6</v>
      </c>
    </row>
    <row r="195" spans="1:16" x14ac:dyDescent="0.35">
      <c r="A195" s="49">
        <v>194</v>
      </c>
      <c r="B195" s="50">
        <v>40552</v>
      </c>
      <c r="C195" s="3">
        <v>1</v>
      </c>
      <c r="D195" s="3">
        <v>0</v>
      </c>
      <c r="E195" s="3" t="s">
        <v>104</v>
      </c>
      <c r="F195" s="3">
        <v>8</v>
      </c>
      <c r="G195" s="3" t="b">
        <v>0</v>
      </c>
      <c r="H195" s="3" t="s">
        <v>107</v>
      </c>
      <c r="I195" s="3" t="s">
        <v>113</v>
      </c>
      <c r="J195" s="3">
        <v>0.1</v>
      </c>
      <c r="K195" s="3">
        <v>9.0899999999999995E-2</v>
      </c>
      <c r="L195" s="3">
        <v>0.49</v>
      </c>
      <c r="M195" s="3">
        <v>0.28360000000000002</v>
      </c>
      <c r="N195" s="3">
        <v>0</v>
      </c>
      <c r="O195" s="3">
        <v>10</v>
      </c>
      <c r="P195" s="51">
        <v>10</v>
      </c>
    </row>
    <row r="196" spans="1:16" x14ac:dyDescent="0.35">
      <c r="A196" s="49">
        <v>195</v>
      </c>
      <c r="B196" s="50">
        <v>40552</v>
      </c>
      <c r="C196" s="3">
        <v>1</v>
      </c>
      <c r="D196" s="3">
        <v>0</v>
      </c>
      <c r="E196" s="3" t="s">
        <v>104</v>
      </c>
      <c r="F196" s="3">
        <v>9</v>
      </c>
      <c r="G196" s="3" t="b">
        <v>0</v>
      </c>
      <c r="H196" s="3" t="s">
        <v>107</v>
      </c>
      <c r="I196" s="3" t="s">
        <v>113</v>
      </c>
      <c r="J196" s="3">
        <v>0.12</v>
      </c>
      <c r="K196" s="3">
        <v>7.5800000000000006E-2</v>
      </c>
      <c r="L196" s="3">
        <v>0.46</v>
      </c>
      <c r="M196" s="3">
        <v>0.52239999999999998</v>
      </c>
      <c r="N196" s="3">
        <v>0</v>
      </c>
      <c r="O196" s="3">
        <v>19</v>
      </c>
      <c r="P196" s="51">
        <v>19</v>
      </c>
    </row>
    <row r="197" spans="1:16" x14ac:dyDescent="0.35">
      <c r="A197" s="49">
        <v>196</v>
      </c>
      <c r="B197" s="50">
        <v>40552</v>
      </c>
      <c r="C197" s="3">
        <v>1</v>
      </c>
      <c r="D197" s="3">
        <v>0</v>
      </c>
      <c r="E197" s="3" t="s">
        <v>104</v>
      </c>
      <c r="F197" s="3">
        <v>10</v>
      </c>
      <c r="G197" s="3" t="b">
        <v>0</v>
      </c>
      <c r="H197" s="3" t="s">
        <v>107</v>
      </c>
      <c r="I197" s="3" t="s">
        <v>113</v>
      </c>
      <c r="J197" s="3">
        <v>0.14000000000000001</v>
      </c>
      <c r="K197" s="3">
        <v>0.1061</v>
      </c>
      <c r="L197" s="3">
        <v>0.43</v>
      </c>
      <c r="M197" s="3">
        <v>0.3881</v>
      </c>
      <c r="N197" s="3">
        <v>0</v>
      </c>
      <c r="O197" s="3">
        <v>49</v>
      </c>
      <c r="P197" s="51">
        <v>49</v>
      </c>
    </row>
    <row r="198" spans="1:16" x14ac:dyDescent="0.35">
      <c r="A198" s="49">
        <v>197</v>
      </c>
      <c r="B198" s="50">
        <v>40552</v>
      </c>
      <c r="C198" s="3">
        <v>1</v>
      </c>
      <c r="D198" s="3">
        <v>0</v>
      </c>
      <c r="E198" s="3" t="s">
        <v>104</v>
      </c>
      <c r="F198" s="3">
        <v>11</v>
      </c>
      <c r="G198" s="3" t="b">
        <v>0</v>
      </c>
      <c r="H198" s="3" t="s">
        <v>107</v>
      </c>
      <c r="I198" s="3" t="s">
        <v>113</v>
      </c>
      <c r="J198" s="3">
        <v>0.16</v>
      </c>
      <c r="K198" s="3">
        <v>0.1212</v>
      </c>
      <c r="L198" s="3">
        <v>0.4</v>
      </c>
      <c r="M198" s="3">
        <v>0.52239999999999998</v>
      </c>
      <c r="N198" s="3">
        <v>2</v>
      </c>
      <c r="O198" s="3">
        <v>47</v>
      </c>
      <c r="P198" s="51">
        <v>49</v>
      </c>
    </row>
    <row r="199" spans="1:16" x14ac:dyDescent="0.35">
      <c r="A199" s="49">
        <v>198</v>
      </c>
      <c r="B199" s="50">
        <v>40552</v>
      </c>
      <c r="C199" s="3">
        <v>1</v>
      </c>
      <c r="D199" s="3">
        <v>0</v>
      </c>
      <c r="E199" s="3" t="s">
        <v>104</v>
      </c>
      <c r="F199" s="3">
        <v>12</v>
      </c>
      <c r="G199" s="3" t="b">
        <v>0</v>
      </c>
      <c r="H199" s="3" t="s">
        <v>107</v>
      </c>
      <c r="I199" s="3" t="s">
        <v>113</v>
      </c>
      <c r="J199" s="3">
        <v>0.18</v>
      </c>
      <c r="K199" s="3">
        <v>0.13639999999999999</v>
      </c>
      <c r="L199" s="3">
        <v>0.37</v>
      </c>
      <c r="M199" s="3">
        <v>0.44779999999999998</v>
      </c>
      <c r="N199" s="3">
        <v>4</v>
      </c>
      <c r="O199" s="3">
        <v>79</v>
      </c>
      <c r="P199" s="51">
        <v>83</v>
      </c>
    </row>
    <row r="200" spans="1:16" x14ac:dyDescent="0.35">
      <c r="A200" s="49">
        <v>199</v>
      </c>
      <c r="B200" s="50">
        <v>40552</v>
      </c>
      <c r="C200" s="3">
        <v>1</v>
      </c>
      <c r="D200" s="3">
        <v>0</v>
      </c>
      <c r="E200" s="3" t="s">
        <v>104</v>
      </c>
      <c r="F200" s="3">
        <v>13</v>
      </c>
      <c r="G200" s="3" t="b">
        <v>0</v>
      </c>
      <c r="H200" s="3" t="s">
        <v>107</v>
      </c>
      <c r="I200" s="3" t="s">
        <v>113</v>
      </c>
      <c r="J200" s="3">
        <v>0.2</v>
      </c>
      <c r="K200" s="3">
        <v>0.16669999999999999</v>
      </c>
      <c r="L200" s="3">
        <v>0.34</v>
      </c>
      <c r="M200" s="3">
        <v>0.44779999999999998</v>
      </c>
      <c r="N200" s="3">
        <v>6</v>
      </c>
      <c r="O200" s="3">
        <v>69</v>
      </c>
      <c r="P200" s="51">
        <v>75</v>
      </c>
    </row>
    <row r="201" spans="1:16" x14ac:dyDescent="0.35">
      <c r="A201" s="49">
        <v>200</v>
      </c>
      <c r="B201" s="50">
        <v>40552</v>
      </c>
      <c r="C201" s="3">
        <v>1</v>
      </c>
      <c r="D201" s="3">
        <v>0</v>
      </c>
      <c r="E201" s="3" t="s">
        <v>104</v>
      </c>
      <c r="F201" s="3">
        <v>14</v>
      </c>
      <c r="G201" s="3" t="b">
        <v>0</v>
      </c>
      <c r="H201" s="3" t="s">
        <v>107</v>
      </c>
      <c r="I201" s="3" t="s">
        <v>113</v>
      </c>
      <c r="J201" s="3">
        <v>0.22</v>
      </c>
      <c r="K201" s="3">
        <v>0.18179999999999999</v>
      </c>
      <c r="L201" s="3">
        <v>0.32</v>
      </c>
      <c r="M201" s="3">
        <v>0.4627</v>
      </c>
      <c r="N201" s="3">
        <v>8</v>
      </c>
      <c r="O201" s="3">
        <v>64</v>
      </c>
      <c r="P201" s="51">
        <v>72</v>
      </c>
    </row>
    <row r="202" spans="1:16" x14ac:dyDescent="0.35">
      <c r="A202" s="49">
        <v>201</v>
      </c>
      <c r="B202" s="50">
        <v>40552</v>
      </c>
      <c r="C202" s="3">
        <v>1</v>
      </c>
      <c r="D202" s="3">
        <v>0</v>
      </c>
      <c r="E202" s="3" t="s">
        <v>104</v>
      </c>
      <c r="F202" s="3">
        <v>15</v>
      </c>
      <c r="G202" s="3" t="b">
        <v>0</v>
      </c>
      <c r="H202" s="3" t="s">
        <v>107</v>
      </c>
      <c r="I202" s="3" t="s">
        <v>113</v>
      </c>
      <c r="J202" s="3">
        <v>0.22</v>
      </c>
      <c r="K202" s="3">
        <v>0.19700000000000001</v>
      </c>
      <c r="L202" s="3">
        <v>0.35</v>
      </c>
      <c r="M202" s="3">
        <v>0.35820000000000002</v>
      </c>
      <c r="N202" s="3">
        <v>5</v>
      </c>
      <c r="O202" s="3">
        <v>77</v>
      </c>
      <c r="P202" s="51">
        <v>82</v>
      </c>
    </row>
    <row r="203" spans="1:16" x14ac:dyDescent="0.35">
      <c r="A203" s="49">
        <v>202</v>
      </c>
      <c r="B203" s="50">
        <v>40552</v>
      </c>
      <c r="C203" s="3">
        <v>1</v>
      </c>
      <c r="D203" s="3">
        <v>0</v>
      </c>
      <c r="E203" s="3" t="s">
        <v>104</v>
      </c>
      <c r="F203" s="3">
        <v>16</v>
      </c>
      <c r="G203" s="3" t="b">
        <v>0</v>
      </c>
      <c r="H203" s="3" t="s">
        <v>107</v>
      </c>
      <c r="I203" s="3" t="s">
        <v>113</v>
      </c>
      <c r="J203" s="3">
        <v>0.2</v>
      </c>
      <c r="K203" s="3">
        <v>0.16669999999999999</v>
      </c>
      <c r="L203" s="3">
        <v>0.34</v>
      </c>
      <c r="M203" s="3">
        <v>0.44779999999999998</v>
      </c>
      <c r="N203" s="3">
        <v>13</v>
      </c>
      <c r="O203" s="3">
        <v>79</v>
      </c>
      <c r="P203" s="51">
        <v>92</v>
      </c>
    </row>
    <row r="204" spans="1:16" x14ac:dyDescent="0.35">
      <c r="A204" s="49">
        <v>203</v>
      </c>
      <c r="B204" s="50">
        <v>40552</v>
      </c>
      <c r="C204" s="3">
        <v>1</v>
      </c>
      <c r="D204" s="3">
        <v>0</v>
      </c>
      <c r="E204" s="3" t="s">
        <v>104</v>
      </c>
      <c r="F204" s="3">
        <v>17</v>
      </c>
      <c r="G204" s="3" t="b">
        <v>0</v>
      </c>
      <c r="H204" s="3" t="s">
        <v>107</v>
      </c>
      <c r="I204" s="3" t="s">
        <v>113</v>
      </c>
      <c r="J204" s="3">
        <v>0.18</v>
      </c>
      <c r="K204" s="3">
        <v>0.1515</v>
      </c>
      <c r="L204" s="3">
        <v>0.37</v>
      </c>
      <c r="M204" s="3">
        <v>0.3881</v>
      </c>
      <c r="N204" s="3">
        <v>3</v>
      </c>
      <c r="O204" s="3">
        <v>59</v>
      </c>
      <c r="P204" s="51">
        <v>62</v>
      </c>
    </row>
    <row r="205" spans="1:16" x14ac:dyDescent="0.35">
      <c r="A205" s="49">
        <v>204</v>
      </c>
      <c r="B205" s="50">
        <v>40552</v>
      </c>
      <c r="C205" s="3">
        <v>1</v>
      </c>
      <c r="D205" s="3">
        <v>0</v>
      </c>
      <c r="E205" s="3" t="s">
        <v>104</v>
      </c>
      <c r="F205" s="3">
        <v>18</v>
      </c>
      <c r="G205" s="3" t="b">
        <v>0</v>
      </c>
      <c r="H205" s="3" t="s">
        <v>107</v>
      </c>
      <c r="I205" s="3" t="s">
        <v>113</v>
      </c>
      <c r="J205" s="3">
        <v>0.16</v>
      </c>
      <c r="K205" s="3">
        <v>0.13639999999999999</v>
      </c>
      <c r="L205" s="3">
        <v>0.4</v>
      </c>
      <c r="M205" s="3">
        <v>0.32840000000000003</v>
      </c>
      <c r="N205" s="3">
        <v>4</v>
      </c>
      <c r="O205" s="3">
        <v>44</v>
      </c>
      <c r="P205" s="51">
        <v>48</v>
      </c>
    </row>
    <row r="206" spans="1:16" x14ac:dyDescent="0.35">
      <c r="A206" s="49">
        <v>205</v>
      </c>
      <c r="B206" s="50">
        <v>40552</v>
      </c>
      <c r="C206" s="3">
        <v>1</v>
      </c>
      <c r="D206" s="3">
        <v>0</v>
      </c>
      <c r="E206" s="3" t="s">
        <v>104</v>
      </c>
      <c r="F206" s="3">
        <v>19</v>
      </c>
      <c r="G206" s="3" t="b">
        <v>0</v>
      </c>
      <c r="H206" s="3" t="s">
        <v>107</v>
      </c>
      <c r="I206" s="3" t="s">
        <v>113</v>
      </c>
      <c r="J206" s="3">
        <v>0.16</v>
      </c>
      <c r="K206" s="3">
        <v>0.13639999999999999</v>
      </c>
      <c r="L206" s="3">
        <v>0.43</v>
      </c>
      <c r="M206" s="3">
        <v>0.32840000000000003</v>
      </c>
      <c r="N206" s="3">
        <v>1</v>
      </c>
      <c r="O206" s="3">
        <v>40</v>
      </c>
      <c r="P206" s="51">
        <v>41</v>
      </c>
    </row>
    <row r="207" spans="1:16" x14ac:dyDescent="0.35">
      <c r="A207" s="49">
        <v>206</v>
      </c>
      <c r="B207" s="50">
        <v>40552</v>
      </c>
      <c r="C207" s="3">
        <v>1</v>
      </c>
      <c r="D207" s="3">
        <v>0</v>
      </c>
      <c r="E207" s="3" t="s">
        <v>104</v>
      </c>
      <c r="F207" s="3">
        <v>20</v>
      </c>
      <c r="G207" s="3" t="b">
        <v>0</v>
      </c>
      <c r="H207" s="3" t="s">
        <v>107</v>
      </c>
      <c r="I207" s="3" t="s">
        <v>113</v>
      </c>
      <c r="J207" s="3">
        <v>0.14000000000000001</v>
      </c>
      <c r="K207" s="3">
        <v>0.1212</v>
      </c>
      <c r="L207" s="3">
        <v>0.46</v>
      </c>
      <c r="M207" s="3">
        <v>0.25369999999999998</v>
      </c>
      <c r="N207" s="3">
        <v>0</v>
      </c>
      <c r="O207" s="3">
        <v>38</v>
      </c>
      <c r="P207" s="51">
        <v>38</v>
      </c>
    </row>
    <row r="208" spans="1:16" x14ac:dyDescent="0.35">
      <c r="A208" s="49">
        <v>207</v>
      </c>
      <c r="B208" s="50">
        <v>40552</v>
      </c>
      <c r="C208" s="3">
        <v>1</v>
      </c>
      <c r="D208" s="3">
        <v>0</v>
      </c>
      <c r="E208" s="3" t="s">
        <v>104</v>
      </c>
      <c r="F208" s="3">
        <v>21</v>
      </c>
      <c r="G208" s="3" t="b">
        <v>0</v>
      </c>
      <c r="H208" s="3" t="s">
        <v>107</v>
      </c>
      <c r="I208" s="3" t="s">
        <v>113</v>
      </c>
      <c r="J208" s="3">
        <v>0.14000000000000001</v>
      </c>
      <c r="K208" s="3">
        <v>0.1061</v>
      </c>
      <c r="L208" s="3">
        <v>0.46</v>
      </c>
      <c r="M208" s="3">
        <v>0.41789999999999999</v>
      </c>
      <c r="N208" s="3">
        <v>1</v>
      </c>
      <c r="O208" s="3">
        <v>19</v>
      </c>
      <c r="P208" s="51">
        <v>20</v>
      </c>
    </row>
    <row r="209" spans="1:16" x14ac:dyDescent="0.35">
      <c r="A209" s="49">
        <v>208</v>
      </c>
      <c r="B209" s="50">
        <v>40552</v>
      </c>
      <c r="C209" s="3">
        <v>1</v>
      </c>
      <c r="D209" s="3">
        <v>0</v>
      </c>
      <c r="E209" s="3" t="s">
        <v>104</v>
      </c>
      <c r="F209" s="3">
        <v>22</v>
      </c>
      <c r="G209" s="3" t="b">
        <v>0</v>
      </c>
      <c r="H209" s="3" t="s">
        <v>107</v>
      </c>
      <c r="I209" s="3" t="s">
        <v>113</v>
      </c>
      <c r="J209" s="3">
        <v>0.14000000000000001</v>
      </c>
      <c r="K209" s="3">
        <v>0.1212</v>
      </c>
      <c r="L209" s="3">
        <v>0.46</v>
      </c>
      <c r="M209" s="3">
        <v>0.29849999999999999</v>
      </c>
      <c r="N209" s="3">
        <v>5</v>
      </c>
      <c r="O209" s="3">
        <v>10</v>
      </c>
      <c r="P209" s="51">
        <v>15</v>
      </c>
    </row>
    <row r="210" spans="1:16" x14ac:dyDescent="0.35">
      <c r="A210" s="49">
        <v>209</v>
      </c>
      <c r="B210" s="50">
        <v>40552</v>
      </c>
      <c r="C210" s="3">
        <v>1</v>
      </c>
      <c r="D210" s="3">
        <v>0</v>
      </c>
      <c r="E210" s="3" t="s">
        <v>104</v>
      </c>
      <c r="F210" s="3">
        <v>23</v>
      </c>
      <c r="G210" s="3" t="b">
        <v>0</v>
      </c>
      <c r="H210" s="3" t="s">
        <v>107</v>
      </c>
      <c r="I210" s="3" t="s">
        <v>113</v>
      </c>
      <c r="J210" s="3">
        <v>0.12</v>
      </c>
      <c r="K210" s="3">
        <v>0.13639999999999999</v>
      </c>
      <c r="L210" s="3">
        <v>0.5</v>
      </c>
      <c r="M210" s="3">
        <v>0.19400000000000001</v>
      </c>
      <c r="N210" s="3">
        <v>0</v>
      </c>
      <c r="O210" s="3">
        <v>6</v>
      </c>
      <c r="P210" s="51">
        <v>6</v>
      </c>
    </row>
    <row r="211" spans="1:16" x14ac:dyDescent="0.35">
      <c r="A211" s="49">
        <v>210</v>
      </c>
      <c r="B211" s="50">
        <v>40553</v>
      </c>
      <c r="C211" s="3">
        <v>1</v>
      </c>
      <c r="D211" s="3">
        <v>0</v>
      </c>
      <c r="E211" s="3" t="s">
        <v>104</v>
      </c>
      <c r="F211" s="3">
        <v>0</v>
      </c>
      <c r="G211" s="3" t="b">
        <v>0</v>
      </c>
      <c r="H211" s="3" t="s">
        <v>108</v>
      </c>
      <c r="I211" s="3" t="s">
        <v>113</v>
      </c>
      <c r="J211" s="3">
        <v>0.12</v>
      </c>
      <c r="K211" s="3">
        <v>0.1212</v>
      </c>
      <c r="L211" s="3">
        <v>0.5</v>
      </c>
      <c r="M211" s="3">
        <v>0.28360000000000002</v>
      </c>
      <c r="N211" s="3">
        <v>2</v>
      </c>
      <c r="O211" s="3">
        <v>3</v>
      </c>
      <c r="P211" s="51">
        <v>5</v>
      </c>
    </row>
    <row r="212" spans="1:16" x14ac:dyDescent="0.35">
      <c r="A212" s="49">
        <v>211</v>
      </c>
      <c r="B212" s="50">
        <v>40553</v>
      </c>
      <c r="C212" s="3">
        <v>1</v>
      </c>
      <c r="D212" s="3">
        <v>0</v>
      </c>
      <c r="E212" s="3" t="s">
        <v>104</v>
      </c>
      <c r="F212" s="3">
        <v>1</v>
      </c>
      <c r="G212" s="3" t="b">
        <v>0</v>
      </c>
      <c r="H212" s="3" t="s">
        <v>108</v>
      </c>
      <c r="I212" s="3" t="s">
        <v>113</v>
      </c>
      <c r="J212" s="3">
        <v>0.12</v>
      </c>
      <c r="K212" s="3">
        <v>0.1212</v>
      </c>
      <c r="L212" s="3">
        <v>0.5</v>
      </c>
      <c r="M212" s="3">
        <v>0.28360000000000002</v>
      </c>
      <c r="N212" s="3">
        <v>1</v>
      </c>
      <c r="O212" s="3">
        <v>0</v>
      </c>
      <c r="P212" s="51">
        <v>1</v>
      </c>
    </row>
    <row r="213" spans="1:16" x14ac:dyDescent="0.35">
      <c r="A213" s="49">
        <v>212</v>
      </c>
      <c r="B213" s="50">
        <v>40553</v>
      </c>
      <c r="C213" s="3">
        <v>1</v>
      </c>
      <c r="D213" s="3">
        <v>0</v>
      </c>
      <c r="E213" s="3" t="s">
        <v>104</v>
      </c>
      <c r="F213" s="3">
        <v>2</v>
      </c>
      <c r="G213" s="3" t="b">
        <v>0</v>
      </c>
      <c r="H213" s="3" t="s">
        <v>108</v>
      </c>
      <c r="I213" s="3" t="s">
        <v>113</v>
      </c>
      <c r="J213" s="3">
        <v>0.12</v>
      </c>
      <c r="K213" s="3">
        <v>0.1212</v>
      </c>
      <c r="L213" s="3">
        <v>0.5</v>
      </c>
      <c r="M213" s="3">
        <v>0.22389999999999999</v>
      </c>
      <c r="N213" s="3">
        <v>0</v>
      </c>
      <c r="O213" s="3">
        <v>3</v>
      </c>
      <c r="P213" s="51">
        <v>3</v>
      </c>
    </row>
    <row r="214" spans="1:16" x14ac:dyDescent="0.35">
      <c r="A214" s="49">
        <v>213</v>
      </c>
      <c r="B214" s="50">
        <v>40553</v>
      </c>
      <c r="C214" s="3">
        <v>1</v>
      </c>
      <c r="D214" s="3">
        <v>0</v>
      </c>
      <c r="E214" s="3" t="s">
        <v>104</v>
      </c>
      <c r="F214" s="3">
        <v>3</v>
      </c>
      <c r="G214" s="3" t="b">
        <v>0</v>
      </c>
      <c r="H214" s="3" t="s">
        <v>108</v>
      </c>
      <c r="I214" s="3" t="s">
        <v>113</v>
      </c>
      <c r="J214" s="3">
        <v>0.12</v>
      </c>
      <c r="K214" s="3">
        <v>0.1212</v>
      </c>
      <c r="L214" s="3">
        <v>0.5</v>
      </c>
      <c r="M214" s="3">
        <v>0.22389999999999999</v>
      </c>
      <c r="N214" s="3">
        <v>0</v>
      </c>
      <c r="O214" s="3">
        <v>1</v>
      </c>
      <c r="P214" s="51">
        <v>1</v>
      </c>
    </row>
    <row r="215" spans="1:16" x14ac:dyDescent="0.35">
      <c r="A215" s="49">
        <v>214</v>
      </c>
      <c r="B215" s="50">
        <v>40553</v>
      </c>
      <c r="C215" s="3">
        <v>1</v>
      </c>
      <c r="D215" s="3">
        <v>0</v>
      </c>
      <c r="E215" s="3" t="s">
        <v>104</v>
      </c>
      <c r="F215" s="3">
        <v>4</v>
      </c>
      <c r="G215" s="3" t="b">
        <v>0</v>
      </c>
      <c r="H215" s="3" t="s">
        <v>108</v>
      </c>
      <c r="I215" s="3" t="s">
        <v>113</v>
      </c>
      <c r="J215" s="3">
        <v>0.1</v>
      </c>
      <c r="K215" s="3">
        <v>0.1212</v>
      </c>
      <c r="L215" s="3">
        <v>0.54</v>
      </c>
      <c r="M215" s="3">
        <v>0.1343</v>
      </c>
      <c r="N215" s="3">
        <v>1</v>
      </c>
      <c r="O215" s="3">
        <v>2</v>
      </c>
      <c r="P215" s="51">
        <v>3</v>
      </c>
    </row>
    <row r="216" spans="1:16" x14ac:dyDescent="0.35">
      <c r="A216" s="49">
        <v>215</v>
      </c>
      <c r="B216" s="50">
        <v>40553</v>
      </c>
      <c r="C216" s="3">
        <v>1</v>
      </c>
      <c r="D216" s="3">
        <v>0</v>
      </c>
      <c r="E216" s="3" t="s">
        <v>104</v>
      </c>
      <c r="F216" s="3">
        <v>5</v>
      </c>
      <c r="G216" s="3" t="b">
        <v>0</v>
      </c>
      <c r="H216" s="3" t="s">
        <v>108</v>
      </c>
      <c r="I216" s="3" t="s">
        <v>113</v>
      </c>
      <c r="J216" s="3">
        <v>0.1</v>
      </c>
      <c r="K216" s="3">
        <v>0.1061</v>
      </c>
      <c r="L216" s="3">
        <v>0.54</v>
      </c>
      <c r="M216" s="3">
        <v>0.25369999999999998</v>
      </c>
      <c r="N216" s="3">
        <v>0</v>
      </c>
      <c r="O216" s="3">
        <v>3</v>
      </c>
      <c r="P216" s="51">
        <v>3</v>
      </c>
    </row>
    <row r="217" spans="1:16" x14ac:dyDescent="0.35">
      <c r="A217" s="49">
        <v>216</v>
      </c>
      <c r="B217" s="50">
        <v>40553</v>
      </c>
      <c r="C217" s="3">
        <v>1</v>
      </c>
      <c r="D217" s="3">
        <v>0</v>
      </c>
      <c r="E217" s="3" t="s">
        <v>104</v>
      </c>
      <c r="F217" s="3">
        <v>6</v>
      </c>
      <c r="G217" s="3" t="b">
        <v>0</v>
      </c>
      <c r="H217" s="3" t="s">
        <v>108</v>
      </c>
      <c r="I217" s="3" t="s">
        <v>113</v>
      </c>
      <c r="J217" s="3">
        <v>0.12</v>
      </c>
      <c r="K217" s="3">
        <v>0.1212</v>
      </c>
      <c r="L217" s="3">
        <v>0.5</v>
      </c>
      <c r="M217" s="3">
        <v>0.28360000000000002</v>
      </c>
      <c r="N217" s="3">
        <v>0</v>
      </c>
      <c r="O217" s="3">
        <v>31</v>
      </c>
      <c r="P217" s="51">
        <v>31</v>
      </c>
    </row>
    <row r="218" spans="1:16" x14ac:dyDescent="0.35">
      <c r="A218" s="49">
        <v>217</v>
      </c>
      <c r="B218" s="50">
        <v>40553</v>
      </c>
      <c r="C218" s="3">
        <v>1</v>
      </c>
      <c r="D218" s="3">
        <v>0</v>
      </c>
      <c r="E218" s="3" t="s">
        <v>104</v>
      </c>
      <c r="F218" s="3">
        <v>7</v>
      </c>
      <c r="G218" s="3" t="b">
        <v>0</v>
      </c>
      <c r="H218" s="3" t="s">
        <v>108</v>
      </c>
      <c r="I218" s="3" t="s">
        <v>113</v>
      </c>
      <c r="J218" s="3">
        <v>0.12</v>
      </c>
      <c r="K218" s="3">
        <v>0.1212</v>
      </c>
      <c r="L218" s="3">
        <v>0.5</v>
      </c>
      <c r="M218" s="3">
        <v>0.22389999999999999</v>
      </c>
      <c r="N218" s="3">
        <v>2</v>
      </c>
      <c r="O218" s="3">
        <v>75</v>
      </c>
      <c r="P218" s="51">
        <v>77</v>
      </c>
    </row>
    <row r="219" spans="1:16" x14ac:dyDescent="0.35">
      <c r="A219" s="49">
        <v>218</v>
      </c>
      <c r="B219" s="50">
        <v>40553</v>
      </c>
      <c r="C219" s="3">
        <v>1</v>
      </c>
      <c r="D219" s="3">
        <v>0</v>
      </c>
      <c r="E219" s="3" t="s">
        <v>104</v>
      </c>
      <c r="F219" s="3">
        <v>8</v>
      </c>
      <c r="G219" s="3" t="b">
        <v>0</v>
      </c>
      <c r="H219" s="3" t="s">
        <v>108</v>
      </c>
      <c r="I219" s="3" t="s">
        <v>114</v>
      </c>
      <c r="J219" s="3">
        <v>0.12</v>
      </c>
      <c r="K219" s="3">
        <v>0.1212</v>
      </c>
      <c r="L219" s="3">
        <v>0.5</v>
      </c>
      <c r="M219" s="3">
        <v>0.28360000000000002</v>
      </c>
      <c r="N219" s="3">
        <v>4</v>
      </c>
      <c r="O219" s="3">
        <v>184</v>
      </c>
      <c r="P219" s="51">
        <v>188</v>
      </c>
    </row>
    <row r="220" spans="1:16" x14ac:dyDescent="0.35">
      <c r="A220" s="49">
        <v>219</v>
      </c>
      <c r="B220" s="50">
        <v>40553</v>
      </c>
      <c r="C220" s="3">
        <v>1</v>
      </c>
      <c r="D220" s="3">
        <v>0</v>
      </c>
      <c r="E220" s="3" t="s">
        <v>104</v>
      </c>
      <c r="F220" s="3">
        <v>9</v>
      </c>
      <c r="G220" s="3" t="b">
        <v>0</v>
      </c>
      <c r="H220" s="3" t="s">
        <v>108</v>
      </c>
      <c r="I220" s="3" t="s">
        <v>114</v>
      </c>
      <c r="J220" s="3">
        <v>0.14000000000000001</v>
      </c>
      <c r="K220" s="3">
        <v>0.1212</v>
      </c>
      <c r="L220" s="3">
        <v>0.5</v>
      </c>
      <c r="M220" s="3">
        <v>0.25369999999999998</v>
      </c>
      <c r="N220" s="3">
        <v>2</v>
      </c>
      <c r="O220" s="3">
        <v>92</v>
      </c>
      <c r="P220" s="51">
        <v>94</v>
      </c>
    </row>
    <row r="221" spans="1:16" x14ac:dyDescent="0.35">
      <c r="A221" s="49">
        <v>220</v>
      </c>
      <c r="B221" s="50">
        <v>40553</v>
      </c>
      <c r="C221" s="3">
        <v>1</v>
      </c>
      <c r="D221" s="3">
        <v>0</v>
      </c>
      <c r="E221" s="3" t="s">
        <v>104</v>
      </c>
      <c r="F221" s="3">
        <v>10</v>
      </c>
      <c r="G221" s="3" t="b">
        <v>0</v>
      </c>
      <c r="H221" s="3" t="s">
        <v>108</v>
      </c>
      <c r="I221" s="3" t="s">
        <v>114</v>
      </c>
      <c r="J221" s="3">
        <v>0.14000000000000001</v>
      </c>
      <c r="K221" s="3">
        <v>0.1212</v>
      </c>
      <c r="L221" s="3">
        <v>0.5</v>
      </c>
      <c r="M221" s="3">
        <v>0.29849999999999999</v>
      </c>
      <c r="N221" s="3">
        <v>0</v>
      </c>
      <c r="O221" s="3">
        <v>31</v>
      </c>
      <c r="P221" s="51">
        <v>31</v>
      </c>
    </row>
    <row r="222" spans="1:16" x14ac:dyDescent="0.35">
      <c r="A222" s="49">
        <v>221</v>
      </c>
      <c r="B222" s="50">
        <v>40553</v>
      </c>
      <c r="C222" s="3">
        <v>1</v>
      </c>
      <c r="D222" s="3">
        <v>0</v>
      </c>
      <c r="E222" s="3" t="s">
        <v>104</v>
      </c>
      <c r="F222" s="3">
        <v>11</v>
      </c>
      <c r="G222" s="3" t="b">
        <v>0</v>
      </c>
      <c r="H222" s="3" t="s">
        <v>108</v>
      </c>
      <c r="I222" s="3" t="s">
        <v>114</v>
      </c>
      <c r="J222" s="3">
        <v>0.16</v>
      </c>
      <c r="K222" s="3">
        <v>0.13639999999999999</v>
      </c>
      <c r="L222" s="3">
        <v>0.47</v>
      </c>
      <c r="M222" s="3">
        <v>0.28360000000000002</v>
      </c>
      <c r="N222" s="3">
        <v>2</v>
      </c>
      <c r="O222" s="3">
        <v>28</v>
      </c>
      <c r="P222" s="51">
        <v>30</v>
      </c>
    </row>
    <row r="223" spans="1:16" x14ac:dyDescent="0.35">
      <c r="A223" s="49">
        <v>222</v>
      </c>
      <c r="B223" s="50">
        <v>40553</v>
      </c>
      <c r="C223" s="3">
        <v>1</v>
      </c>
      <c r="D223" s="3">
        <v>0</v>
      </c>
      <c r="E223" s="3" t="s">
        <v>104</v>
      </c>
      <c r="F223" s="3">
        <v>12</v>
      </c>
      <c r="G223" s="3" t="b">
        <v>0</v>
      </c>
      <c r="H223" s="3" t="s">
        <v>108</v>
      </c>
      <c r="I223" s="3" t="s">
        <v>114</v>
      </c>
      <c r="J223" s="3">
        <v>0.2</v>
      </c>
      <c r="K223" s="3">
        <v>0.18179999999999999</v>
      </c>
      <c r="L223" s="3">
        <v>0.4</v>
      </c>
      <c r="M223" s="3">
        <v>0.28360000000000002</v>
      </c>
      <c r="N223" s="3">
        <v>5</v>
      </c>
      <c r="O223" s="3">
        <v>47</v>
      </c>
      <c r="P223" s="51">
        <v>52</v>
      </c>
    </row>
    <row r="224" spans="1:16" x14ac:dyDescent="0.35">
      <c r="A224" s="49">
        <v>223</v>
      </c>
      <c r="B224" s="50">
        <v>40553</v>
      </c>
      <c r="C224" s="3">
        <v>1</v>
      </c>
      <c r="D224" s="3">
        <v>0</v>
      </c>
      <c r="E224" s="3" t="s">
        <v>104</v>
      </c>
      <c r="F224" s="3">
        <v>13</v>
      </c>
      <c r="G224" s="3" t="b">
        <v>0</v>
      </c>
      <c r="H224" s="3" t="s">
        <v>108</v>
      </c>
      <c r="I224" s="3" t="s">
        <v>114</v>
      </c>
      <c r="J224" s="3">
        <v>0.2</v>
      </c>
      <c r="K224" s="3">
        <v>0.18179999999999999</v>
      </c>
      <c r="L224" s="3">
        <v>0.4</v>
      </c>
      <c r="M224" s="3">
        <v>0.28360000000000002</v>
      </c>
      <c r="N224" s="3">
        <v>4</v>
      </c>
      <c r="O224" s="3">
        <v>50</v>
      </c>
      <c r="P224" s="51">
        <v>54</v>
      </c>
    </row>
    <row r="225" spans="1:16" x14ac:dyDescent="0.35">
      <c r="A225" s="49">
        <v>224</v>
      </c>
      <c r="B225" s="50">
        <v>40553</v>
      </c>
      <c r="C225" s="3">
        <v>1</v>
      </c>
      <c r="D225" s="3">
        <v>0</v>
      </c>
      <c r="E225" s="3" t="s">
        <v>104</v>
      </c>
      <c r="F225" s="3">
        <v>14</v>
      </c>
      <c r="G225" s="3" t="b">
        <v>0</v>
      </c>
      <c r="H225" s="3" t="s">
        <v>108</v>
      </c>
      <c r="I225" s="3" t="s">
        <v>114</v>
      </c>
      <c r="J225" s="3">
        <v>0.2</v>
      </c>
      <c r="K225" s="3">
        <v>0.19700000000000001</v>
      </c>
      <c r="L225" s="3">
        <v>0.4</v>
      </c>
      <c r="M225" s="3">
        <v>0.22389999999999999</v>
      </c>
      <c r="N225" s="3">
        <v>0</v>
      </c>
      <c r="O225" s="3">
        <v>47</v>
      </c>
      <c r="P225" s="51">
        <v>47</v>
      </c>
    </row>
    <row r="226" spans="1:16" x14ac:dyDescent="0.35">
      <c r="A226" s="49">
        <v>225</v>
      </c>
      <c r="B226" s="50">
        <v>40553</v>
      </c>
      <c r="C226" s="3">
        <v>1</v>
      </c>
      <c r="D226" s="3">
        <v>0</v>
      </c>
      <c r="E226" s="3" t="s">
        <v>104</v>
      </c>
      <c r="F226" s="3">
        <v>15</v>
      </c>
      <c r="G226" s="3" t="b">
        <v>0</v>
      </c>
      <c r="H226" s="3" t="s">
        <v>108</v>
      </c>
      <c r="I226" s="3" t="s">
        <v>114</v>
      </c>
      <c r="J226" s="3">
        <v>0.2</v>
      </c>
      <c r="K226" s="3">
        <v>0.19700000000000001</v>
      </c>
      <c r="L226" s="3">
        <v>0.4</v>
      </c>
      <c r="M226" s="3">
        <v>0.22389999999999999</v>
      </c>
      <c r="N226" s="3">
        <v>2</v>
      </c>
      <c r="O226" s="3">
        <v>43</v>
      </c>
      <c r="P226" s="51">
        <v>45</v>
      </c>
    </row>
    <row r="227" spans="1:16" x14ac:dyDescent="0.35">
      <c r="A227" s="49">
        <v>226</v>
      </c>
      <c r="B227" s="50">
        <v>40553</v>
      </c>
      <c r="C227" s="3">
        <v>1</v>
      </c>
      <c r="D227" s="3">
        <v>0</v>
      </c>
      <c r="E227" s="3" t="s">
        <v>104</v>
      </c>
      <c r="F227" s="3">
        <v>16</v>
      </c>
      <c r="G227" s="3" t="b">
        <v>0</v>
      </c>
      <c r="H227" s="3" t="s">
        <v>108</v>
      </c>
      <c r="I227" s="3" t="s">
        <v>113</v>
      </c>
      <c r="J227" s="3">
        <v>0.2</v>
      </c>
      <c r="K227" s="3">
        <v>0.21210000000000001</v>
      </c>
      <c r="L227" s="3">
        <v>0.4</v>
      </c>
      <c r="M227" s="3">
        <v>0.1343</v>
      </c>
      <c r="N227" s="3">
        <v>4</v>
      </c>
      <c r="O227" s="3">
        <v>70</v>
      </c>
      <c r="P227" s="51">
        <v>74</v>
      </c>
    </row>
    <row r="228" spans="1:16" x14ac:dyDescent="0.35">
      <c r="A228" s="49">
        <v>227</v>
      </c>
      <c r="B228" s="50">
        <v>40553</v>
      </c>
      <c r="C228" s="3">
        <v>1</v>
      </c>
      <c r="D228" s="3">
        <v>0</v>
      </c>
      <c r="E228" s="3" t="s">
        <v>104</v>
      </c>
      <c r="F228" s="3">
        <v>17</v>
      </c>
      <c r="G228" s="3" t="b">
        <v>0</v>
      </c>
      <c r="H228" s="3" t="s">
        <v>108</v>
      </c>
      <c r="I228" s="3" t="s">
        <v>113</v>
      </c>
      <c r="J228" s="3">
        <v>0.2</v>
      </c>
      <c r="K228" s="3">
        <v>0.2273</v>
      </c>
      <c r="L228" s="3">
        <v>0.4</v>
      </c>
      <c r="M228" s="3">
        <v>0.1045</v>
      </c>
      <c r="N228" s="3">
        <v>4</v>
      </c>
      <c r="O228" s="3">
        <v>174</v>
      </c>
      <c r="P228" s="51">
        <v>178</v>
      </c>
    </row>
    <row r="229" spans="1:16" x14ac:dyDescent="0.35">
      <c r="A229" s="49">
        <v>228</v>
      </c>
      <c r="B229" s="50">
        <v>40553</v>
      </c>
      <c r="C229" s="3">
        <v>1</v>
      </c>
      <c r="D229" s="3">
        <v>0</v>
      </c>
      <c r="E229" s="3" t="s">
        <v>104</v>
      </c>
      <c r="F229" s="3">
        <v>18</v>
      </c>
      <c r="G229" s="3" t="b">
        <v>0</v>
      </c>
      <c r="H229" s="3" t="s">
        <v>108</v>
      </c>
      <c r="I229" s="3" t="s">
        <v>113</v>
      </c>
      <c r="J229" s="3">
        <v>0.2</v>
      </c>
      <c r="K229" s="3">
        <v>0.19700000000000001</v>
      </c>
      <c r="L229" s="3">
        <v>0.4</v>
      </c>
      <c r="M229" s="3">
        <v>0.22389999999999999</v>
      </c>
      <c r="N229" s="3">
        <v>1</v>
      </c>
      <c r="O229" s="3">
        <v>154</v>
      </c>
      <c r="P229" s="51">
        <v>155</v>
      </c>
    </row>
    <row r="230" spans="1:16" x14ac:dyDescent="0.35">
      <c r="A230" s="49">
        <v>229</v>
      </c>
      <c r="B230" s="50">
        <v>40553</v>
      </c>
      <c r="C230" s="3">
        <v>1</v>
      </c>
      <c r="D230" s="3">
        <v>0</v>
      </c>
      <c r="E230" s="3" t="s">
        <v>104</v>
      </c>
      <c r="F230" s="3">
        <v>19</v>
      </c>
      <c r="G230" s="3" t="b">
        <v>0</v>
      </c>
      <c r="H230" s="3" t="s">
        <v>108</v>
      </c>
      <c r="I230" s="3" t="s">
        <v>113</v>
      </c>
      <c r="J230" s="3">
        <v>0.16</v>
      </c>
      <c r="K230" s="3">
        <v>0.16669999999999999</v>
      </c>
      <c r="L230" s="3">
        <v>0.47</v>
      </c>
      <c r="M230" s="3">
        <v>0.16420000000000001</v>
      </c>
      <c r="N230" s="3">
        <v>3</v>
      </c>
      <c r="O230" s="3">
        <v>92</v>
      </c>
      <c r="P230" s="51">
        <v>95</v>
      </c>
    </row>
    <row r="231" spans="1:16" x14ac:dyDescent="0.35">
      <c r="A231" s="49">
        <v>230</v>
      </c>
      <c r="B231" s="50">
        <v>40553</v>
      </c>
      <c r="C231" s="3">
        <v>1</v>
      </c>
      <c r="D231" s="3">
        <v>0</v>
      </c>
      <c r="E231" s="3" t="s">
        <v>104</v>
      </c>
      <c r="F231" s="3">
        <v>20</v>
      </c>
      <c r="G231" s="3" t="b">
        <v>0</v>
      </c>
      <c r="H231" s="3" t="s">
        <v>108</v>
      </c>
      <c r="I231" s="3" t="s">
        <v>113</v>
      </c>
      <c r="J231" s="3">
        <v>0.16</v>
      </c>
      <c r="K231" s="3">
        <v>0.16669999999999999</v>
      </c>
      <c r="L231" s="3">
        <v>0.5</v>
      </c>
      <c r="M231" s="3">
        <v>0.16420000000000001</v>
      </c>
      <c r="N231" s="3">
        <v>1</v>
      </c>
      <c r="O231" s="3">
        <v>73</v>
      </c>
      <c r="P231" s="51">
        <v>74</v>
      </c>
    </row>
    <row r="232" spans="1:16" x14ac:dyDescent="0.35">
      <c r="A232" s="49">
        <v>231</v>
      </c>
      <c r="B232" s="50">
        <v>40553</v>
      </c>
      <c r="C232" s="3">
        <v>1</v>
      </c>
      <c r="D232" s="3">
        <v>0</v>
      </c>
      <c r="E232" s="3" t="s">
        <v>104</v>
      </c>
      <c r="F232" s="3">
        <v>21</v>
      </c>
      <c r="G232" s="3" t="b">
        <v>0</v>
      </c>
      <c r="H232" s="3" t="s">
        <v>108</v>
      </c>
      <c r="I232" s="3" t="s">
        <v>113</v>
      </c>
      <c r="J232" s="3">
        <v>0.14000000000000001</v>
      </c>
      <c r="K232" s="3">
        <v>0.13639999999999999</v>
      </c>
      <c r="L232" s="3">
        <v>0.59</v>
      </c>
      <c r="M232" s="3">
        <v>0.19400000000000001</v>
      </c>
      <c r="N232" s="3">
        <v>1</v>
      </c>
      <c r="O232" s="3">
        <v>37</v>
      </c>
      <c r="P232" s="51">
        <v>38</v>
      </c>
    </row>
    <row r="233" spans="1:16" x14ac:dyDescent="0.35">
      <c r="A233" s="49">
        <v>232</v>
      </c>
      <c r="B233" s="50">
        <v>40553</v>
      </c>
      <c r="C233" s="3">
        <v>1</v>
      </c>
      <c r="D233" s="3">
        <v>0</v>
      </c>
      <c r="E233" s="3" t="s">
        <v>104</v>
      </c>
      <c r="F233" s="3">
        <v>22</v>
      </c>
      <c r="G233" s="3" t="b">
        <v>0</v>
      </c>
      <c r="H233" s="3" t="s">
        <v>108</v>
      </c>
      <c r="I233" s="3" t="s">
        <v>113</v>
      </c>
      <c r="J233" s="3">
        <v>0.14000000000000001</v>
      </c>
      <c r="K233" s="3">
        <v>0.1515</v>
      </c>
      <c r="L233" s="3">
        <v>0.59</v>
      </c>
      <c r="M233" s="3">
        <v>0.16420000000000001</v>
      </c>
      <c r="N233" s="3">
        <v>2</v>
      </c>
      <c r="O233" s="3">
        <v>22</v>
      </c>
      <c r="P233" s="51">
        <v>24</v>
      </c>
    </row>
    <row r="234" spans="1:16" x14ac:dyDescent="0.35">
      <c r="A234" s="49">
        <v>233</v>
      </c>
      <c r="B234" s="50">
        <v>40553</v>
      </c>
      <c r="C234" s="3">
        <v>1</v>
      </c>
      <c r="D234" s="3">
        <v>0</v>
      </c>
      <c r="E234" s="3" t="s">
        <v>104</v>
      </c>
      <c r="F234" s="3">
        <v>23</v>
      </c>
      <c r="G234" s="3" t="b">
        <v>0</v>
      </c>
      <c r="H234" s="3" t="s">
        <v>108</v>
      </c>
      <c r="I234" s="3" t="s">
        <v>113</v>
      </c>
      <c r="J234" s="3">
        <v>0.14000000000000001</v>
      </c>
      <c r="K234" s="3">
        <v>0.1515</v>
      </c>
      <c r="L234" s="3">
        <v>0.59</v>
      </c>
      <c r="M234" s="3">
        <v>0.16420000000000001</v>
      </c>
      <c r="N234" s="3">
        <v>0</v>
      </c>
      <c r="O234" s="3">
        <v>18</v>
      </c>
      <c r="P234" s="51">
        <v>18</v>
      </c>
    </row>
    <row r="235" spans="1:16" x14ac:dyDescent="0.35">
      <c r="A235" s="49">
        <v>234</v>
      </c>
      <c r="B235" s="50">
        <v>40554</v>
      </c>
      <c r="C235" s="3">
        <v>1</v>
      </c>
      <c r="D235" s="3">
        <v>0</v>
      </c>
      <c r="E235" s="3" t="s">
        <v>104</v>
      </c>
      <c r="F235" s="3">
        <v>0</v>
      </c>
      <c r="G235" s="3" t="b">
        <v>0</v>
      </c>
      <c r="H235" s="3" t="s">
        <v>109</v>
      </c>
      <c r="I235" s="3" t="s">
        <v>113</v>
      </c>
      <c r="J235" s="3">
        <v>0.14000000000000001</v>
      </c>
      <c r="K235" s="3">
        <v>0.16669999999999999</v>
      </c>
      <c r="L235" s="3">
        <v>0.59</v>
      </c>
      <c r="M235" s="3">
        <v>0.1045</v>
      </c>
      <c r="N235" s="3">
        <v>2</v>
      </c>
      <c r="O235" s="3">
        <v>10</v>
      </c>
      <c r="P235" s="51">
        <v>12</v>
      </c>
    </row>
    <row r="236" spans="1:16" x14ac:dyDescent="0.35">
      <c r="A236" s="49">
        <v>235</v>
      </c>
      <c r="B236" s="50">
        <v>40554</v>
      </c>
      <c r="C236" s="3">
        <v>1</v>
      </c>
      <c r="D236" s="3">
        <v>0</v>
      </c>
      <c r="E236" s="3" t="s">
        <v>104</v>
      </c>
      <c r="F236" s="3">
        <v>1</v>
      </c>
      <c r="G236" s="3" t="b">
        <v>0</v>
      </c>
      <c r="H236" s="3" t="s">
        <v>109</v>
      </c>
      <c r="I236" s="3" t="s">
        <v>113</v>
      </c>
      <c r="J236" s="3">
        <v>0.14000000000000001</v>
      </c>
      <c r="K236" s="3">
        <v>0.1515</v>
      </c>
      <c r="L236" s="3">
        <v>0.59</v>
      </c>
      <c r="M236" s="3">
        <v>0.16420000000000001</v>
      </c>
      <c r="N236" s="3">
        <v>0</v>
      </c>
      <c r="O236" s="3">
        <v>3</v>
      </c>
      <c r="P236" s="51">
        <v>3</v>
      </c>
    </row>
    <row r="237" spans="1:16" x14ac:dyDescent="0.35">
      <c r="A237" s="49">
        <v>236</v>
      </c>
      <c r="B237" s="50">
        <v>40554</v>
      </c>
      <c r="C237" s="3">
        <v>1</v>
      </c>
      <c r="D237" s="3">
        <v>0</v>
      </c>
      <c r="E237" s="3" t="s">
        <v>104</v>
      </c>
      <c r="F237" s="3">
        <v>2</v>
      </c>
      <c r="G237" s="3" t="b">
        <v>0</v>
      </c>
      <c r="H237" s="3" t="s">
        <v>109</v>
      </c>
      <c r="I237" s="3" t="s">
        <v>114</v>
      </c>
      <c r="J237" s="3">
        <v>0.16</v>
      </c>
      <c r="K237" s="3">
        <v>0.1515</v>
      </c>
      <c r="L237" s="3">
        <v>0.55000000000000004</v>
      </c>
      <c r="M237" s="3">
        <v>0.19400000000000001</v>
      </c>
      <c r="N237" s="3">
        <v>0</v>
      </c>
      <c r="O237" s="3">
        <v>3</v>
      </c>
      <c r="P237" s="51">
        <v>3</v>
      </c>
    </row>
    <row r="238" spans="1:16" x14ac:dyDescent="0.35">
      <c r="A238" s="49">
        <v>237</v>
      </c>
      <c r="B238" s="50">
        <v>40554</v>
      </c>
      <c r="C238" s="3">
        <v>1</v>
      </c>
      <c r="D238" s="3">
        <v>0</v>
      </c>
      <c r="E238" s="3" t="s">
        <v>104</v>
      </c>
      <c r="F238" s="3">
        <v>5</v>
      </c>
      <c r="G238" s="3" t="b">
        <v>0</v>
      </c>
      <c r="H238" s="3" t="s">
        <v>109</v>
      </c>
      <c r="I238" s="3" t="s">
        <v>114</v>
      </c>
      <c r="J238" s="3">
        <v>0.16</v>
      </c>
      <c r="K238" s="3">
        <v>0.18179999999999999</v>
      </c>
      <c r="L238" s="3">
        <v>0.55000000000000004</v>
      </c>
      <c r="M238" s="3">
        <v>0.1343</v>
      </c>
      <c r="N238" s="3">
        <v>0</v>
      </c>
      <c r="O238" s="3">
        <v>6</v>
      </c>
      <c r="P238" s="51">
        <v>6</v>
      </c>
    </row>
    <row r="239" spans="1:16" x14ac:dyDescent="0.35">
      <c r="A239" s="49">
        <v>238</v>
      </c>
      <c r="B239" s="50">
        <v>40554</v>
      </c>
      <c r="C239" s="3">
        <v>1</v>
      </c>
      <c r="D239" s="3">
        <v>0</v>
      </c>
      <c r="E239" s="3" t="s">
        <v>104</v>
      </c>
      <c r="F239" s="3">
        <v>6</v>
      </c>
      <c r="G239" s="3" t="b">
        <v>0</v>
      </c>
      <c r="H239" s="3" t="s">
        <v>109</v>
      </c>
      <c r="I239" s="3" t="s">
        <v>114</v>
      </c>
      <c r="J239" s="3">
        <v>0.16</v>
      </c>
      <c r="K239" s="3">
        <v>0.18179999999999999</v>
      </c>
      <c r="L239" s="3">
        <v>0.55000000000000004</v>
      </c>
      <c r="M239" s="3">
        <v>0.1343</v>
      </c>
      <c r="N239" s="3">
        <v>0</v>
      </c>
      <c r="O239" s="3">
        <v>27</v>
      </c>
      <c r="P239" s="51">
        <v>27</v>
      </c>
    </row>
    <row r="240" spans="1:16" x14ac:dyDescent="0.35">
      <c r="A240" s="49">
        <v>239</v>
      </c>
      <c r="B240" s="50">
        <v>40554</v>
      </c>
      <c r="C240" s="3">
        <v>1</v>
      </c>
      <c r="D240" s="3">
        <v>0</v>
      </c>
      <c r="E240" s="3" t="s">
        <v>104</v>
      </c>
      <c r="F240" s="3">
        <v>7</v>
      </c>
      <c r="G240" s="3" t="b">
        <v>0</v>
      </c>
      <c r="H240" s="3" t="s">
        <v>109</v>
      </c>
      <c r="I240" s="3" t="s">
        <v>114</v>
      </c>
      <c r="J240" s="3">
        <v>0.16</v>
      </c>
      <c r="K240" s="3">
        <v>0.2273</v>
      </c>
      <c r="L240" s="3">
        <v>0.55000000000000004</v>
      </c>
      <c r="M240" s="3">
        <v>0</v>
      </c>
      <c r="N240" s="3">
        <v>2</v>
      </c>
      <c r="O240" s="3">
        <v>97</v>
      </c>
      <c r="P240" s="51">
        <v>99</v>
      </c>
    </row>
    <row r="241" spans="1:16" x14ac:dyDescent="0.35">
      <c r="A241" s="49">
        <v>240</v>
      </c>
      <c r="B241" s="50">
        <v>40554</v>
      </c>
      <c r="C241" s="3">
        <v>1</v>
      </c>
      <c r="D241" s="3">
        <v>0</v>
      </c>
      <c r="E241" s="3" t="s">
        <v>104</v>
      </c>
      <c r="F241" s="3">
        <v>8</v>
      </c>
      <c r="G241" s="3" t="b">
        <v>0</v>
      </c>
      <c r="H241" s="3" t="s">
        <v>109</v>
      </c>
      <c r="I241" s="3" t="s">
        <v>114</v>
      </c>
      <c r="J241" s="3">
        <v>0.18</v>
      </c>
      <c r="K241" s="3">
        <v>0.21210000000000001</v>
      </c>
      <c r="L241" s="3">
        <v>0.51</v>
      </c>
      <c r="M241" s="3">
        <v>8.9599999999999999E-2</v>
      </c>
      <c r="N241" s="3">
        <v>3</v>
      </c>
      <c r="O241" s="3">
        <v>214</v>
      </c>
      <c r="P241" s="51">
        <v>217</v>
      </c>
    </row>
    <row r="242" spans="1:16" x14ac:dyDescent="0.35">
      <c r="A242" s="49">
        <v>241</v>
      </c>
      <c r="B242" s="50">
        <v>40554</v>
      </c>
      <c r="C242" s="3">
        <v>1</v>
      </c>
      <c r="D242" s="3">
        <v>0</v>
      </c>
      <c r="E242" s="3" t="s">
        <v>104</v>
      </c>
      <c r="F242" s="3">
        <v>9</v>
      </c>
      <c r="G242" s="3" t="b">
        <v>0</v>
      </c>
      <c r="H242" s="3" t="s">
        <v>109</v>
      </c>
      <c r="I242" s="3" t="s">
        <v>114</v>
      </c>
      <c r="J242" s="3">
        <v>0.18</v>
      </c>
      <c r="K242" s="3">
        <v>0.19700000000000001</v>
      </c>
      <c r="L242" s="3">
        <v>0.51</v>
      </c>
      <c r="M242" s="3">
        <v>0.16420000000000001</v>
      </c>
      <c r="N242" s="3">
        <v>3</v>
      </c>
      <c r="O242" s="3">
        <v>127</v>
      </c>
      <c r="P242" s="51">
        <v>130</v>
      </c>
    </row>
    <row r="243" spans="1:16" x14ac:dyDescent="0.35">
      <c r="A243" s="49">
        <v>242</v>
      </c>
      <c r="B243" s="50">
        <v>40554</v>
      </c>
      <c r="C243" s="3">
        <v>1</v>
      </c>
      <c r="D243" s="3">
        <v>0</v>
      </c>
      <c r="E243" s="3" t="s">
        <v>104</v>
      </c>
      <c r="F243" s="3">
        <v>10</v>
      </c>
      <c r="G243" s="3" t="b">
        <v>0</v>
      </c>
      <c r="H243" s="3" t="s">
        <v>109</v>
      </c>
      <c r="I243" s="3" t="s">
        <v>114</v>
      </c>
      <c r="J243" s="3">
        <v>0.2</v>
      </c>
      <c r="K243" s="3">
        <v>0.21210000000000001</v>
      </c>
      <c r="L243" s="3">
        <v>0.51</v>
      </c>
      <c r="M243" s="3">
        <v>0.16420000000000001</v>
      </c>
      <c r="N243" s="3">
        <v>3</v>
      </c>
      <c r="O243" s="3">
        <v>51</v>
      </c>
      <c r="P243" s="51">
        <v>54</v>
      </c>
    </row>
    <row r="244" spans="1:16" x14ac:dyDescent="0.35">
      <c r="A244" s="49">
        <v>243</v>
      </c>
      <c r="B244" s="50">
        <v>40554</v>
      </c>
      <c r="C244" s="3">
        <v>1</v>
      </c>
      <c r="D244" s="3">
        <v>0</v>
      </c>
      <c r="E244" s="3" t="s">
        <v>104</v>
      </c>
      <c r="F244" s="3">
        <v>11</v>
      </c>
      <c r="G244" s="3" t="b">
        <v>0</v>
      </c>
      <c r="H244" s="3" t="s">
        <v>109</v>
      </c>
      <c r="I244" s="3" t="s">
        <v>114</v>
      </c>
      <c r="J244" s="3">
        <v>0.2</v>
      </c>
      <c r="K244" s="3">
        <v>0.21210000000000001</v>
      </c>
      <c r="L244" s="3">
        <v>0.47</v>
      </c>
      <c r="M244" s="3">
        <v>0.1343</v>
      </c>
      <c r="N244" s="3">
        <v>4</v>
      </c>
      <c r="O244" s="3">
        <v>31</v>
      </c>
      <c r="P244" s="51">
        <v>35</v>
      </c>
    </row>
    <row r="245" spans="1:16" x14ac:dyDescent="0.35">
      <c r="A245" s="49">
        <v>244</v>
      </c>
      <c r="B245" s="50">
        <v>40554</v>
      </c>
      <c r="C245" s="3">
        <v>1</v>
      </c>
      <c r="D245" s="3">
        <v>0</v>
      </c>
      <c r="E245" s="3" t="s">
        <v>104</v>
      </c>
      <c r="F245" s="3">
        <v>12</v>
      </c>
      <c r="G245" s="3" t="b">
        <v>0</v>
      </c>
      <c r="H245" s="3" t="s">
        <v>109</v>
      </c>
      <c r="I245" s="3" t="s">
        <v>114</v>
      </c>
      <c r="J245" s="3">
        <v>0.2</v>
      </c>
      <c r="K245" s="3">
        <v>0.2273</v>
      </c>
      <c r="L245" s="3">
        <v>0.51</v>
      </c>
      <c r="M245" s="3">
        <v>0.1045</v>
      </c>
      <c r="N245" s="3">
        <v>2</v>
      </c>
      <c r="O245" s="3">
        <v>55</v>
      </c>
      <c r="P245" s="51">
        <v>57</v>
      </c>
    </row>
    <row r="246" spans="1:16" x14ac:dyDescent="0.35">
      <c r="A246" s="49">
        <v>245</v>
      </c>
      <c r="B246" s="50">
        <v>40554</v>
      </c>
      <c r="C246" s="3">
        <v>1</v>
      </c>
      <c r="D246" s="3">
        <v>0</v>
      </c>
      <c r="E246" s="3" t="s">
        <v>104</v>
      </c>
      <c r="F246" s="3">
        <v>13</v>
      </c>
      <c r="G246" s="3" t="b">
        <v>0</v>
      </c>
      <c r="H246" s="3" t="s">
        <v>109</v>
      </c>
      <c r="I246" s="3" t="s">
        <v>114</v>
      </c>
      <c r="J246" s="3">
        <v>0.2</v>
      </c>
      <c r="K246" s="3">
        <v>0.2273</v>
      </c>
      <c r="L246" s="3">
        <v>0.59</v>
      </c>
      <c r="M246" s="3">
        <v>8.9599999999999999E-2</v>
      </c>
      <c r="N246" s="3">
        <v>6</v>
      </c>
      <c r="O246" s="3">
        <v>46</v>
      </c>
      <c r="P246" s="51">
        <v>52</v>
      </c>
    </row>
    <row r="247" spans="1:16" x14ac:dyDescent="0.35">
      <c r="A247" s="49">
        <v>246</v>
      </c>
      <c r="B247" s="50">
        <v>40554</v>
      </c>
      <c r="C247" s="3">
        <v>1</v>
      </c>
      <c r="D247" s="3">
        <v>0</v>
      </c>
      <c r="E247" s="3" t="s">
        <v>104</v>
      </c>
      <c r="F247" s="3">
        <v>14</v>
      </c>
      <c r="G247" s="3" t="b">
        <v>0</v>
      </c>
      <c r="H247" s="3" t="s">
        <v>109</v>
      </c>
      <c r="I247" s="3" t="s">
        <v>114</v>
      </c>
      <c r="J247" s="3">
        <v>0.2</v>
      </c>
      <c r="K247" s="3">
        <v>0.2273</v>
      </c>
      <c r="L247" s="3">
        <v>0.59</v>
      </c>
      <c r="M247" s="3">
        <v>8.9599999999999999E-2</v>
      </c>
      <c r="N247" s="3">
        <v>3</v>
      </c>
      <c r="O247" s="3">
        <v>60</v>
      </c>
      <c r="P247" s="51">
        <v>63</v>
      </c>
    </row>
    <row r="248" spans="1:16" x14ac:dyDescent="0.35">
      <c r="A248" s="49">
        <v>247</v>
      </c>
      <c r="B248" s="50">
        <v>40554</v>
      </c>
      <c r="C248" s="3">
        <v>1</v>
      </c>
      <c r="D248" s="3">
        <v>0</v>
      </c>
      <c r="E248" s="3" t="s">
        <v>104</v>
      </c>
      <c r="F248" s="3">
        <v>15</v>
      </c>
      <c r="G248" s="3" t="b">
        <v>0</v>
      </c>
      <c r="H248" s="3" t="s">
        <v>109</v>
      </c>
      <c r="I248" s="3" t="s">
        <v>114</v>
      </c>
      <c r="J248" s="3">
        <v>0.16</v>
      </c>
      <c r="K248" s="3">
        <v>0.19700000000000001</v>
      </c>
      <c r="L248" s="3">
        <v>0.8</v>
      </c>
      <c r="M248" s="3">
        <v>8.9599999999999999E-2</v>
      </c>
      <c r="N248" s="3">
        <v>2</v>
      </c>
      <c r="O248" s="3">
        <v>45</v>
      </c>
      <c r="P248" s="51">
        <v>47</v>
      </c>
    </row>
    <row r="249" spans="1:16" x14ac:dyDescent="0.35">
      <c r="A249" s="49">
        <v>248</v>
      </c>
      <c r="B249" s="50">
        <v>40554</v>
      </c>
      <c r="C249" s="3">
        <v>1</v>
      </c>
      <c r="D249" s="3">
        <v>0</v>
      </c>
      <c r="E249" s="3" t="s">
        <v>104</v>
      </c>
      <c r="F249" s="3">
        <v>16</v>
      </c>
      <c r="G249" s="3" t="b">
        <v>0</v>
      </c>
      <c r="H249" s="3" t="s">
        <v>109</v>
      </c>
      <c r="I249" s="3" t="s">
        <v>114</v>
      </c>
      <c r="J249" s="3">
        <v>0.16</v>
      </c>
      <c r="K249" s="3">
        <v>0.1515</v>
      </c>
      <c r="L249" s="3">
        <v>0.86</v>
      </c>
      <c r="M249" s="3">
        <v>0.22389999999999999</v>
      </c>
      <c r="N249" s="3">
        <v>4</v>
      </c>
      <c r="O249" s="3">
        <v>72</v>
      </c>
      <c r="P249" s="51">
        <v>76</v>
      </c>
    </row>
    <row r="250" spans="1:16" x14ac:dyDescent="0.35">
      <c r="A250" s="49">
        <v>249</v>
      </c>
      <c r="B250" s="50">
        <v>40554</v>
      </c>
      <c r="C250" s="3">
        <v>1</v>
      </c>
      <c r="D250" s="3">
        <v>0</v>
      </c>
      <c r="E250" s="3" t="s">
        <v>104</v>
      </c>
      <c r="F250" s="3">
        <v>17</v>
      </c>
      <c r="G250" s="3" t="b">
        <v>0</v>
      </c>
      <c r="H250" s="3" t="s">
        <v>109</v>
      </c>
      <c r="I250" s="3" t="s">
        <v>114</v>
      </c>
      <c r="J250" s="3">
        <v>0.16</v>
      </c>
      <c r="K250" s="3">
        <v>0.1515</v>
      </c>
      <c r="L250" s="3">
        <v>0.86</v>
      </c>
      <c r="M250" s="3">
        <v>0.22389999999999999</v>
      </c>
      <c r="N250" s="3">
        <v>6</v>
      </c>
      <c r="O250" s="3">
        <v>130</v>
      </c>
      <c r="P250" s="51">
        <v>136</v>
      </c>
    </row>
    <row r="251" spans="1:16" x14ac:dyDescent="0.35">
      <c r="A251" s="49">
        <v>250</v>
      </c>
      <c r="B251" s="50">
        <v>40554</v>
      </c>
      <c r="C251" s="3">
        <v>1</v>
      </c>
      <c r="D251" s="3">
        <v>0</v>
      </c>
      <c r="E251" s="3" t="s">
        <v>104</v>
      </c>
      <c r="F251" s="3">
        <v>18</v>
      </c>
      <c r="G251" s="3" t="b">
        <v>0</v>
      </c>
      <c r="H251" s="3" t="s">
        <v>109</v>
      </c>
      <c r="I251" s="3" t="s">
        <v>115</v>
      </c>
      <c r="J251" s="3">
        <v>0.16</v>
      </c>
      <c r="K251" s="3">
        <v>0.18179999999999999</v>
      </c>
      <c r="L251" s="3">
        <v>0.93</v>
      </c>
      <c r="M251" s="3">
        <v>0.1045</v>
      </c>
      <c r="N251" s="3">
        <v>1</v>
      </c>
      <c r="O251" s="3">
        <v>94</v>
      </c>
      <c r="P251" s="51">
        <v>95</v>
      </c>
    </row>
    <row r="252" spans="1:16" x14ac:dyDescent="0.35">
      <c r="A252" s="49">
        <v>251</v>
      </c>
      <c r="B252" s="50">
        <v>40554</v>
      </c>
      <c r="C252" s="3">
        <v>1</v>
      </c>
      <c r="D252" s="3">
        <v>0</v>
      </c>
      <c r="E252" s="3" t="s">
        <v>104</v>
      </c>
      <c r="F252" s="3">
        <v>19</v>
      </c>
      <c r="G252" s="3" t="b">
        <v>0</v>
      </c>
      <c r="H252" s="3" t="s">
        <v>109</v>
      </c>
      <c r="I252" s="3" t="s">
        <v>115</v>
      </c>
      <c r="J252" s="3">
        <v>0.16</v>
      </c>
      <c r="K252" s="3">
        <v>0.2273</v>
      </c>
      <c r="L252" s="3">
        <v>0.93</v>
      </c>
      <c r="M252" s="3">
        <v>0</v>
      </c>
      <c r="N252" s="3">
        <v>0</v>
      </c>
      <c r="O252" s="3">
        <v>51</v>
      </c>
      <c r="P252" s="51">
        <v>51</v>
      </c>
    </row>
    <row r="253" spans="1:16" x14ac:dyDescent="0.35">
      <c r="A253" s="49">
        <v>252</v>
      </c>
      <c r="B253" s="50">
        <v>40554</v>
      </c>
      <c r="C253" s="3">
        <v>1</v>
      </c>
      <c r="D253" s="3">
        <v>0</v>
      </c>
      <c r="E253" s="3" t="s">
        <v>104</v>
      </c>
      <c r="F253" s="3">
        <v>20</v>
      </c>
      <c r="G253" s="3" t="b">
        <v>0</v>
      </c>
      <c r="H253" s="3" t="s">
        <v>109</v>
      </c>
      <c r="I253" s="3" t="s">
        <v>115</v>
      </c>
      <c r="J253" s="3">
        <v>0.16</v>
      </c>
      <c r="K253" s="3">
        <v>0.1515</v>
      </c>
      <c r="L253" s="3">
        <v>0.93</v>
      </c>
      <c r="M253" s="3">
        <v>0.19400000000000001</v>
      </c>
      <c r="N253" s="3">
        <v>0</v>
      </c>
      <c r="O253" s="3">
        <v>32</v>
      </c>
      <c r="P253" s="51">
        <v>32</v>
      </c>
    </row>
    <row r="254" spans="1:16" x14ac:dyDescent="0.35">
      <c r="A254" s="49">
        <v>253</v>
      </c>
      <c r="B254" s="50">
        <v>40554</v>
      </c>
      <c r="C254" s="3">
        <v>1</v>
      </c>
      <c r="D254" s="3">
        <v>0</v>
      </c>
      <c r="E254" s="3" t="s">
        <v>104</v>
      </c>
      <c r="F254" s="3">
        <v>21</v>
      </c>
      <c r="G254" s="3" t="b">
        <v>0</v>
      </c>
      <c r="H254" s="3" t="s">
        <v>109</v>
      </c>
      <c r="I254" s="3" t="s">
        <v>115</v>
      </c>
      <c r="J254" s="3">
        <v>0.16</v>
      </c>
      <c r="K254" s="3">
        <v>0.19700000000000001</v>
      </c>
      <c r="L254" s="3">
        <v>0.86</v>
      </c>
      <c r="M254" s="3">
        <v>8.9599999999999999E-2</v>
      </c>
      <c r="N254" s="3">
        <v>0</v>
      </c>
      <c r="O254" s="3">
        <v>20</v>
      </c>
      <c r="P254" s="51">
        <v>20</v>
      </c>
    </row>
    <row r="255" spans="1:16" x14ac:dyDescent="0.35">
      <c r="A255" s="49">
        <v>254</v>
      </c>
      <c r="B255" s="50">
        <v>40554</v>
      </c>
      <c r="C255" s="3">
        <v>1</v>
      </c>
      <c r="D255" s="3">
        <v>0</v>
      </c>
      <c r="E255" s="3" t="s">
        <v>104</v>
      </c>
      <c r="F255" s="3">
        <v>22</v>
      </c>
      <c r="G255" s="3" t="b">
        <v>0</v>
      </c>
      <c r="H255" s="3" t="s">
        <v>109</v>
      </c>
      <c r="I255" s="3" t="s">
        <v>115</v>
      </c>
      <c r="J255" s="3">
        <v>0.16</v>
      </c>
      <c r="K255" s="3">
        <v>0.18179999999999999</v>
      </c>
      <c r="L255" s="3">
        <v>0.93</v>
      </c>
      <c r="M255" s="3">
        <v>0.1045</v>
      </c>
      <c r="N255" s="3">
        <v>1</v>
      </c>
      <c r="O255" s="3">
        <v>28</v>
      </c>
      <c r="P255" s="51">
        <v>29</v>
      </c>
    </row>
    <row r="256" spans="1:16" x14ac:dyDescent="0.35">
      <c r="A256" s="49">
        <v>255</v>
      </c>
      <c r="B256" s="50">
        <v>40554</v>
      </c>
      <c r="C256" s="3">
        <v>1</v>
      </c>
      <c r="D256" s="3">
        <v>0</v>
      </c>
      <c r="E256" s="3" t="s">
        <v>104</v>
      </c>
      <c r="F256" s="3">
        <v>23</v>
      </c>
      <c r="G256" s="3" t="b">
        <v>0</v>
      </c>
      <c r="H256" s="3" t="s">
        <v>109</v>
      </c>
      <c r="I256" s="3" t="s">
        <v>115</v>
      </c>
      <c r="J256" s="3">
        <v>0.16</v>
      </c>
      <c r="K256" s="3">
        <v>0.19700000000000001</v>
      </c>
      <c r="L256" s="3">
        <v>0.93</v>
      </c>
      <c r="M256" s="3">
        <v>8.9599999999999999E-2</v>
      </c>
      <c r="N256" s="3">
        <v>1</v>
      </c>
      <c r="O256" s="3">
        <v>18</v>
      </c>
      <c r="P256" s="51">
        <v>19</v>
      </c>
    </row>
    <row r="257" spans="1:16" x14ac:dyDescent="0.35">
      <c r="A257" s="49">
        <v>256</v>
      </c>
      <c r="B257" s="50">
        <v>40555</v>
      </c>
      <c r="C257" s="3">
        <v>1</v>
      </c>
      <c r="D257" s="3">
        <v>0</v>
      </c>
      <c r="E257" s="3" t="s">
        <v>104</v>
      </c>
      <c r="F257" s="3">
        <v>0</v>
      </c>
      <c r="G257" s="3" t="b">
        <v>0</v>
      </c>
      <c r="H257" s="3" t="s">
        <v>110</v>
      </c>
      <c r="I257" s="3" t="s">
        <v>114</v>
      </c>
      <c r="J257" s="3">
        <v>0.16</v>
      </c>
      <c r="K257" s="3">
        <v>0.19700000000000001</v>
      </c>
      <c r="L257" s="3">
        <v>0.86</v>
      </c>
      <c r="M257" s="3">
        <v>8.9599999999999999E-2</v>
      </c>
      <c r="N257" s="3">
        <v>0</v>
      </c>
      <c r="O257" s="3">
        <v>7</v>
      </c>
      <c r="P257" s="51">
        <v>7</v>
      </c>
    </row>
    <row r="258" spans="1:16" x14ac:dyDescent="0.35">
      <c r="A258" s="49">
        <v>257</v>
      </c>
      <c r="B258" s="50">
        <v>40555</v>
      </c>
      <c r="C258" s="3">
        <v>1</v>
      </c>
      <c r="D258" s="3">
        <v>0</v>
      </c>
      <c r="E258" s="3" t="s">
        <v>104</v>
      </c>
      <c r="F258" s="3">
        <v>1</v>
      </c>
      <c r="G258" s="3" t="b">
        <v>0</v>
      </c>
      <c r="H258" s="3" t="s">
        <v>110</v>
      </c>
      <c r="I258" s="3" t="s">
        <v>114</v>
      </c>
      <c r="J258" s="3">
        <v>0.16</v>
      </c>
      <c r="K258" s="3">
        <v>0.18179999999999999</v>
      </c>
      <c r="L258" s="3">
        <v>0.86</v>
      </c>
      <c r="M258" s="3">
        <v>0.1045</v>
      </c>
      <c r="N258" s="3">
        <v>0</v>
      </c>
      <c r="O258" s="3">
        <v>6</v>
      </c>
      <c r="P258" s="51">
        <v>6</v>
      </c>
    </row>
    <row r="259" spans="1:16" x14ac:dyDescent="0.35">
      <c r="A259" s="49">
        <v>258</v>
      </c>
      <c r="B259" s="50">
        <v>40555</v>
      </c>
      <c r="C259" s="3">
        <v>1</v>
      </c>
      <c r="D259" s="3">
        <v>0</v>
      </c>
      <c r="E259" s="3" t="s">
        <v>104</v>
      </c>
      <c r="F259" s="3">
        <v>2</v>
      </c>
      <c r="G259" s="3" t="b">
        <v>0</v>
      </c>
      <c r="H259" s="3" t="s">
        <v>110</v>
      </c>
      <c r="I259" s="3" t="s">
        <v>113</v>
      </c>
      <c r="J259" s="3">
        <v>0.14000000000000001</v>
      </c>
      <c r="K259" s="3">
        <v>0.1515</v>
      </c>
      <c r="L259" s="3">
        <v>0.86</v>
      </c>
      <c r="M259" s="3">
        <v>0.1343</v>
      </c>
      <c r="N259" s="3">
        <v>0</v>
      </c>
      <c r="O259" s="3">
        <v>1</v>
      </c>
      <c r="P259" s="51">
        <v>1</v>
      </c>
    </row>
    <row r="260" spans="1:16" x14ac:dyDescent="0.35">
      <c r="A260" s="49">
        <v>259</v>
      </c>
      <c r="B260" s="50">
        <v>40555</v>
      </c>
      <c r="C260" s="3">
        <v>1</v>
      </c>
      <c r="D260" s="3">
        <v>0</v>
      </c>
      <c r="E260" s="3" t="s">
        <v>104</v>
      </c>
      <c r="F260" s="3">
        <v>5</v>
      </c>
      <c r="G260" s="3" t="b">
        <v>0</v>
      </c>
      <c r="H260" s="3" t="s">
        <v>110</v>
      </c>
      <c r="I260" s="3" t="s">
        <v>113</v>
      </c>
      <c r="J260" s="3">
        <v>0.14000000000000001</v>
      </c>
      <c r="K260" s="3">
        <v>0.1515</v>
      </c>
      <c r="L260" s="3">
        <v>0.86</v>
      </c>
      <c r="M260" s="3">
        <v>0.16420000000000001</v>
      </c>
      <c r="N260" s="3">
        <v>0</v>
      </c>
      <c r="O260" s="3">
        <v>5</v>
      </c>
      <c r="P260" s="51">
        <v>5</v>
      </c>
    </row>
    <row r="261" spans="1:16" x14ac:dyDescent="0.35">
      <c r="A261" s="49">
        <v>260</v>
      </c>
      <c r="B261" s="50">
        <v>40555</v>
      </c>
      <c r="C261" s="3">
        <v>1</v>
      </c>
      <c r="D261" s="3">
        <v>0</v>
      </c>
      <c r="E261" s="3" t="s">
        <v>104</v>
      </c>
      <c r="F261" s="3">
        <v>6</v>
      </c>
      <c r="G261" s="3" t="b">
        <v>0</v>
      </c>
      <c r="H261" s="3" t="s">
        <v>110</v>
      </c>
      <c r="I261" s="3" t="s">
        <v>113</v>
      </c>
      <c r="J261" s="3">
        <v>0.12</v>
      </c>
      <c r="K261" s="3">
        <v>0.1515</v>
      </c>
      <c r="L261" s="3">
        <v>0.93</v>
      </c>
      <c r="M261" s="3">
        <v>0.1343</v>
      </c>
      <c r="N261" s="3">
        <v>0</v>
      </c>
      <c r="O261" s="3">
        <v>16</v>
      </c>
      <c r="P261" s="51">
        <v>16</v>
      </c>
    </row>
    <row r="262" spans="1:16" x14ac:dyDescent="0.35">
      <c r="A262" s="49">
        <v>261</v>
      </c>
      <c r="B262" s="50">
        <v>40555</v>
      </c>
      <c r="C262" s="3">
        <v>1</v>
      </c>
      <c r="D262" s="3">
        <v>0</v>
      </c>
      <c r="E262" s="3" t="s">
        <v>104</v>
      </c>
      <c r="F262" s="3">
        <v>7</v>
      </c>
      <c r="G262" s="3" t="b">
        <v>0</v>
      </c>
      <c r="H262" s="3" t="s">
        <v>110</v>
      </c>
      <c r="I262" s="3" t="s">
        <v>113</v>
      </c>
      <c r="J262" s="3">
        <v>0.14000000000000001</v>
      </c>
      <c r="K262" s="3">
        <v>0.1515</v>
      </c>
      <c r="L262" s="3">
        <v>0.69</v>
      </c>
      <c r="M262" s="3">
        <v>0.1343</v>
      </c>
      <c r="N262" s="3">
        <v>0</v>
      </c>
      <c r="O262" s="3">
        <v>54</v>
      </c>
      <c r="P262" s="51">
        <v>54</v>
      </c>
    </row>
    <row r="263" spans="1:16" x14ac:dyDescent="0.35">
      <c r="A263" s="49">
        <v>262</v>
      </c>
      <c r="B263" s="50">
        <v>40555</v>
      </c>
      <c r="C263" s="3">
        <v>1</v>
      </c>
      <c r="D263" s="3">
        <v>0</v>
      </c>
      <c r="E263" s="3" t="s">
        <v>104</v>
      </c>
      <c r="F263" s="3">
        <v>8</v>
      </c>
      <c r="G263" s="3" t="b">
        <v>0</v>
      </c>
      <c r="H263" s="3" t="s">
        <v>110</v>
      </c>
      <c r="I263" s="3" t="s">
        <v>113</v>
      </c>
      <c r="J263" s="3">
        <v>0.16</v>
      </c>
      <c r="K263" s="3">
        <v>0.16669999999999999</v>
      </c>
      <c r="L263" s="3">
        <v>0.59</v>
      </c>
      <c r="M263" s="3">
        <v>0.16420000000000001</v>
      </c>
      <c r="N263" s="3">
        <v>3</v>
      </c>
      <c r="O263" s="3">
        <v>125</v>
      </c>
      <c r="P263" s="51">
        <v>128</v>
      </c>
    </row>
    <row r="264" spans="1:16" x14ac:dyDescent="0.35">
      <c r="A264" s="49">
        <v>263</v>
      </c>
      <c r="B264" s="50">
        <v>40555</v>
      </c>
      <c r="C264" s="3">
        <v>1</v>
      </c>
      <c r="D264" s="3">
        <v>0</v>
      </c>
      <c r="E264" s="3" t="s">
        <v>104</v>
      </c>
      <c r="F264" s="3">
        <v>9</v>
      </c>
      <c r="G264" s="3" t="b">
        <v>0</v>
      </c>
      <c r="H264" s="3" t="s">
        <v>110</v>
      </c>
      <c r="I264" s="3" t="s">
        <v>113</v>
      </c>
      <c r="J264" s="3">
        <v>0.16</v>
      </c>
      <c r="K264" s="3">
        <v>0.13639999999999999</v>
      </c>
      <c r="L264" s="3">
        <v>0.59</v>
      </c>
      <c r="M264" s="3">
        <v>0.32840000000000003</v>
      </c>
      <c r="N264" s="3">
        <v>3</v>
      </c>
      <c r="O264" s="3">
        <v>78</v>
      </c>
      <c r="P264" s="51">
        <v>81</v>
      </c>
    </row>
    <row r="265" spans="1:16" x14ac:dyDescent="0.35">
      <c r="A265" s="49">
        <v>264</v>
      </c>
      <c r="B265" s="50">
        <v>40555</v>
      </c>
      <c r="C265" s="3">
        <v>1</v>
      </c>
      <c r="D265" s="3">
        <v>0</v>
      </c>
      <c r="E265" s="3" t="s">
        <v>104</v>
      </c>
      <c r="F265" s="3">
        <v>10</v>
      </c>
      <c r="G265" s="3" t="b">
        <v>0</v>
      </c>
      <c r="H265" s="3" t="s">
        <v>110</v>
      </c>
      <c r="I265" s="3" t="s">
        <v>113</v>
      </c>
      <c r="J265" s="3">
        <v>0.18</v>
      </c>
      <c r="K265" s="3">
        <v>0.18179999999999999</v>
      </c>
      <c r="L265" s="3">
        <v>0.55000000000000004</v>
      </c>
      <c r="M265" s="3">
        <v>0.22389999999999999</v>
      </c>
      <c r="N265" s="3">
        <v>0</v>
      </c>
      <c r="O265" s="3">
        <v>39</v>
      </c>
      <c r="P265" s="51">
        <v>39</v>
      </c>
    </row>
    <row r="266" spans="1:16" x14ac:dyDescent="0.35">
      <c r="A266" s="49">
        <v>265</v>
      </c>
      <c r="B266" s="50">
        <v>40555</v>
      </c>
      <c r="C266" s="3">
        <v>1</v>
      </c>
      <c r="D266" s="3">
        <v>0</v>
      </c>
      <c r="E266" s="3" t="s">
        <v>104</v>
      </c>
      <c r="F266" s="3">
        <v>11</v>
      </c>
      <c r="G266" s="3" t="b">
        <v>0</v>
      </c>
      <c r="H266" s="3" t="s">
        <v>110</v>
      </c>
      <c r="I266" s="3" t="s">
        <v>113</v>
      </c>
      <c r="J266" s="3">
        <v>0.2</v>
      </c>
      <c r="K266" s="3">
        <v>0.18179999999999999</v>
      </c>
      <c r="L266" s="3">
        <v>0.51</v>
      </c>
      <c r="M266" s="3">
        <v>0.3881</v>
      </c>
      <c r="N266" s="3">
        <v>3</v>
      </c>
      <c r="O266" s="3">
        <v>32</v>
      </c>
      <c r="P266" s="51">
        <v>35</v>
      </c>
    </row>
    <row r="267" spans="1:16" x14ac:dyDescent="0.35">
      <c r="A267" s="49">
        <v>266</v>
      </c>
      <c r="B267" s="50">
        <v>40555</v>
      </c>
      <c r="C267" s="3">
        <v>1</v>
      </c>
      <c r="D267" s="3">
        <v>0</v>
      </c>
      <c r="E267" s="3" t="s">
        <v>104</v>
      </c>
      <c r="F267" s="3">
        <v>12</v>
      </c>
      <c r="G267" s="3" t="b">
        <v>0</v>
      </c>
      <c r="H267" s="3" t="s">
        <v>110</v>
      </c>
      <c r="I267" s="3" t="s">
        <v>113</v>
      </c>
      <c r="J267" s="3">
        <v>0.2</v>
      </c>
      <c r="K267" s="3">
        <v>0.1515</v>
      </c>
      <c r="L267" s="3">
        <v>0.47</v>
      </c>
      <c r="M267" s="3">
        <v>0.58209999999999995</v>
      </c>
      <c r="N267" s="3">
        <v>3</v>
      </c>
      <c r="O267" s="3">
        <v>52</v>
      </c>
      <c r="P267" s="51">
        <v>55</v>
      </c>
    </row>
    <row r="268" spans="1:16" x14ac:dyDescent="0.35">
      <c r="A268" s="49">
        <v>267</v>
      </c>
      <c r="B268" s="50">
        <v>40555</v>
      </c>
      <c r="C268" s="3">
        <v>1</v>
      </c>
      <c r="D268" s="3">
        <v>0</v>
      </c>
      <c r="E268" s="3" t="s">
        <v>104</v>
      </c>
      <c r="F268" s="3">
        <v>13</v>
      </c>
      <c r="G268" s="3" t="b">
        <v>0</v>
      </c>
      <c r="H268" s="3" t="s">
        <v>110</v>
      </c>
      <c r="I268" s="3" t="s">
        <v>113</v>
      </c>
      <c r="J268" s="3">
        <v>0.22</v>
      </c>
      <c r="K268" s="3">
        <v>0.19700000000000001</v>
      </c>
      <c r="L268" s="3">
        <v>0.44</v>
      </c>
      <c r="M268" s="3">
        <v>0.35820000000000002</v>
      </c>
      <c r="N268" s="3">
        <v>0</v>
      </c>
      <c r="O268" s="3">
        <v>49</v>
      </c>
      <c r="P268" s="51">
        <v>49</v>
      </c>
    </row>
    <row r="269" spans="1:16" x14ac:dyDescent="0.35">
      <c r="A269" s="49">
        <v>268</v>
      </c>
      <c r="B269" s="50">
        <v>40555</v>
      </c>
      <c r="C269" s="3">
        <v>1</v>
      </c>
      <c r="D269" s="3">
        <v>0</v>
      </c>
      <c r="E269" s="3" t="s">
        <v>104</v>
      </c>
      <c r="F269" s="3">
        <v>14</v>
      </c>
      <c r="G269" s="3" t="b">
        <v>0</v>
      </c>
      <c r="H269" s="3" t="s">
        <v>110</v>
      </c>
      <c r="I269" s="3" t="s">
        <v>113</v>
      </c>
      <c r="J269" s="3">
        <v>0.2</v>
      </c>
      <c r="K269" s="3">
        <v>0.18179999999999999</v>
      </c>
      <c r="L269" s="3">
        <v>0.47</v>
      </c>
      <c r="M269" s="3">
        <v>0.32840000000000003</v>
      </c>
      <c r="N269" s="3">
        <v>0</v>
      </c>
      <c r="O269" s="3">
        <v>44</v>
      </c>
      <c r="P269" s="51">
        <v>44</v>
      </c>
    </row>
    <row r="270" spans="1:16" x14ac:dyDescent="0.35">
      <c r="A270" s="49">
        <v>269</v>
      </c>
      <c r="B270" s="50">
        <v>40555</v>
      </c>
      <c r="C270" s="3">
        <v>1</v>
      </c>
      <c r="D270" s="3">
        <v>0</v>
      </c>
      <c r="E270" s="3" t="s">
        <v>104</v>
      </c>
      <c r="F270" s="3">
        <v>15</v>
      </c>
      <c r="G270" s="3" t="b">
        <v>0</v>
      </c>
      <c r="H270" s="3" t="s">
        <v>110</v>
      </c>
      <c r="I270" s="3" t="s">
        <v>113</v>
      </c>
      <c r="J270" s="3">
        <v>0.2</v>
      </c>
      <c r="K270" s="3">
        <v>0.16669999999999999</v>
      </c>
      <c r="L270" s="3">
        <v>0.47</v>
      </c>
      <c r="M270" s="3">
        <v>0.41789999999999999</v>
      </c>
      <c r="N270" s="3">
        <v>1</v>
      </c>
      <c r="O270" s="3">
        <v>48</v>
      </c>
      <c r="P270" s="51">
        <v>49</v>
      </c>
    </row>
    <row r="271" spans="1:16" x14ac:dyDescent="0.35">
      <c r="A271" s="49">
        <v>270</v>
      </c>
      <c r="B271" s="50">
        <v>40555</v>
      </c>
      <c r="C271" s="3">
        <v>1</v>
      </c>
      <c r="D271" s="3">
        <v>0</v>
      </c>
      <c r="E271" s="3" t="s">
        <v>104</v>
      </c>
      <c r="F271" s="3">
        <v>16</v>
      </c>
      <c r="G271" s="3" t="b">
        <v>0</v>
      </c>
      <c r="H271" s="3" t="s">
        <v>110</v>
      </c>
      <c r="I271" s="3" t="s">
        <v>113</v>
      </c>
      <c r="J271" s="3">
        <v>0.22</v>
      </c>
      <c r="K271" s="3">
        <v>0.19700000000000001</v>
      </c>
      <c r="L271" s="3">
        <v>0.44</v>
      </c>
      <c r="M271" s="3">
        <v>0.32840000000000003</v>
      </c>
      <c r="N271" s="3">
        <v>5</v>
      </c>
      <c r="O271" s="3">
        <v>63</v>
      </c>
      <c r="P271" s="51">
        <v>68</v>
      </c>
    </row>
    <row r="272" spans="1:16" x14ac:dyDescent="0.35">
      <c r="A272" s="49">
        <v>271</v>
      </c>
      <c r="B272" s="50">
        <v>40555</v>
      </c>
      <c r="C272" s="3">
        <v>1</v>
      </c>
      <c r="D272" s="3">
        <v>0</v>
      </c>
      <c r="E272" s="3" t="s">
        <v>104</v>
      </c>
      <c r="F272" s="3">
        <v>17</v>
      </c>
      <c r="G272" s="3" t="b">
        <v>0</v>
      </c>
      <c r="H272" s="3" t="s">
        <v>110</v>
      </c>
      <c r="I272" s="3" t="s">
        <v>113</v>
      </c>
      <c r="J272" s="3">
        <v>0.2</v>
      </c>
      <c r="K272" s="3">
        <v>0.18179999999999999</v>
      </c>
      <c r="L272" s="3">
        <v>0.47</v>
      </c>
      <c r="M272" s="3">
        <v>0.35820000000000002</v>
      </c>
      <c r="N272" s="3">
        <v>0</v>
      </c>
      <c r="O272" s="3">
        <v>139</v>
      </c>
      <c r="P272" s="51">
        <v>139</v>
      </c>
    </row>
    <row r="273" spans="1:16" x14ac:dyDescent="0.35">
      <c r="A273" s="49">
        <v>272</v>
      </c>
      <c r="B273" s="50">
        <v>40555</v>
      </c>
      <c r="C273" s="3">
        <v>1</v>
      </c>
      <c r="D273" s="3">
        <v>0</v>
      </c>
      <c r="E273" s="3" t="s">
        <v>104</v>
      </c>
      <c r="F273" s="3">
        <v>18</v>
      </c>
      <c r="G273" s="3" t="b">
        <v>0</v>
      </c>
      <c r="H273" s="3" t="s">
        <v>110</v>
      </c>
      <c r="I273" s="3" t="s">
        <v>113</v>
      </c>
      <c r="J273" s="3">
        <v>0.2</v>
      </c>
      <c r="K273" s="3">
        <v>0.1515</v>
      </c>
      <c r="L273" s="3">
        <v>0.47</v>
      </c>
      <c r="M273" s="3">
        <v>0.52239999999999998</v>
      </c>
      <c r="N273" s="3">
        <v>2</v>
      </c>
      <c r="O273" s="3">
        <v>135</v>
      </c>
      <c r="P273" s="51">
        <v>137</v>
      </c>
    </row>
    <row r="274" spans="1:16" x14ac:dyDescent="0.35">
      <c r="A274" s="49">
        <v>273</v>
      </c>
      <c r="B274" s="50">
        <v>40555</v>
      </c>
      <c r="C274" s="3">
        <v>1</v>
      </c>
      <c r="D274" s="3">
        <v>0</v>
      </c>
      <c r="E274" s="3" t="s">
        <v>104</v>
      </c>
      <c r="F274" s="3">
        <v>19</v>
      </c>
      <c r="G274" s="3" t="b">
        <v>0</v>
      </c>
      <c r="H274" s="3" t="s">
        <v>110</v>
      </c>
      <c r="I274" s="3" t="s">
        <v>113</v>
      </c>
      <c r="J274" s="3">
        <v>0.18</v>
      </c>
      <c r="K274" s="3">
        <v>0.1515</v>
      </c>
      <c r="L274" s="3">
        <v>0.47</v>
      </c>
      <c r="M274" s="3">
        <v>0.41789999999999999</v>
      </c>
      <c r="N274" s="3">
        <v>1</v>
      </c>
      <c r="O274" s="3">
        <v>82</v>
      </c>
      <c r="P274" s="51">
        <v>83</v>
      </c>
    </row>
    <row r="275" spans="1:16" x14ac:dyDescent="0.35">
      <c r="A275" s="49">
        <v>274</v>
      </c>
      <c r="B275" s="50">
        <v>40555</v>
      </c>
      <c r="C275" s="3">
        <v>1</v>
      </c>
      <c r="D275" s="3">
        <v>0</v>
      </c>
      <c r="E275" s="3" t="s">
        <v>104</v>
      </c>
      <c r="F275" s="3">
        <v>20</v>
      </c>
      <c r="G275" s="3" t="b">
        <v>0</v>
      </c>
      <c r="H275" s="3" t="s">
        <v>110</v>
      </c>
      <c r="I275" s="3" t="s">
        <v>113</v>
      </c>
      <c r="J275" s="3">
        <v>0.16</v>
      </c>
      <c r="K275" s="3">
        <v>0.13639999999999999</v>
      </c>
      <c r="L275" s="3">
        <v>0.5</v>
      </c>
      <c r="M275" s="3">
        <v>0.32840000000000003</v>
      </c>
      <c r="N275" s="3">
        <v>2</v>
      </c>
      <c r="O275" s="3">
        <v>54</v>
      </c>
      <c r="P275" s="51">
        <v>56</v>
      </c>
    </row>
    <row r="276" spans="1:16" x14ac:dyDescent="0.35">
      <c r="A276" s="49">
        <v>275</v>
      </c>
      <c r="B276" s="50">
        <v>40555</v>
      </c>
      <c r="C276" s="3">
        <v>1</v>
      </c>
      <c r="D276" s="3">
        <v>0</v>
      </c>
      <c r="E276" s="3" t="s">
        <v>104</v>
      </c>
      <c r="F276" s="3">
        <v>21</v>
      </c>
      <c r="G276" s="3" t="b">
        <v>0</v>
      </c>
      <c r="H276" s="3" t="s">
        <v>110</v>
      </c>
      <c r="I276" s="3" t="s">
        <v>113</v>
      </c>
      <c r="J276" s="3">
        <v>0.16</v>
      </c>
      <c r="K276" s="3">
        <v>0.13639999999999999</v>
      </c>
      <c r="L276" s="3">
        <v>0.55000000000000004</v>
      </c>
      <c r="M276" s="3">
        <v>0.32840000000000003</v>
      </c>
      <c r="N276" s="3">
        <v>0</v>
      </c>
      <c r="O276" s="3">
        <v>57</v>
      </c>
      <c r="P276" s="51">
        <v>57</v>
      </c>
    </row>
    <row r="277" spans="1:16" x14ac:dyDescent="0.35">
      <c r="A277" s="49">
        <v>276</v>
      </c>
      <c r="B277" s="50">
        <v>40555</v>
      </c>
      <c r="C277" s="3">
        <v>1</v>
      </c>
      <c r="D277" s="3">
        <v>0</v>
      </c>
      <c r="E277" s="3" t="s">
        <v>104</v>
      </c>
      <c r="F277" s="3">
        <v>22</v>
      </c>
      <c r="G277" s="3" t="b">
        <v>0</v>
      </c>
      <c r="H277" s="3" t="s">
        <v>110</v>
      </c>
      <c r="I277" s="3" t="s">
        <v>113</v>
      </c>
      <c r="J277" s="3">
        <v>0.16</v>
      </c>
      <c r="K277" s="3">
        <v>0.1212</v>
      </c>
      <c r="L277" s="3">
        <v>0.55000000000000004</v>
      </c>
      <c r="M277" s="3">
        <v>0.44779999999999998</v>
      </c>
      <c r="N277" s="3">
        <v>1</v>
      </c>
      <c r="O277" s="3">
        <v>32</v>
      </c>
      <c r="P277" s="51">
        <v>33</v>
      </c>
    </row>
    <row r="278" spans="1:16" x14ac:dyDescent="0.35">
      <c r="A278" s="49">
        <v>277</v>
      </c>
      <c r="B278" s="50">
        <v>40555</v>
      </c>
      <c r="C278" s="3">
        <v>1</v>
      </c>
      <c r="D278" s="3">
        <v>0</v>
      </c>
      <c r="E278" s="3" t="s">
        <v>104</v>
      </c>
      <c r="F278" s="3">
        <v>23</v>
      </c>
      <c r="G278" s="3" t="b">
        <v>0</v>
      </c>
      <c r="H278" s="3" t="s">
        <v>110</v>
      </c>
      <c r="I278" s="3" t="s">
        <v>113</v>
      </c>
      <c r="J278" s="3">
        <v>0.14000000000000001</v>
      </c>
      <c r="K278" s="3">
        <v>0.1061</v>
      </c>
      <c r="L278" s="3">
        <v>0.59</v>
      </c>
      <c r="M278" s="3">
        <v>0.41789999999999999</v>
      </c>
      <c r="N278" s="3">
        <v>1</v>
      </c>
      <c r="O278" s="3">
        <v>19</v>
      </c>
      <c r="P278" s="51">
        <v>20</v>
      </c>
    </row>
    <row r="279" spans="1:16" x14ac:dyDescent="0.35">
      <c r="A279" s="49">
        <v>278</v>
      </c>
      <c r="B279" s="50">
        <v>40556</v>
      </c>
      <c r="C279" s="3">
        <v>1</v>
      </c>
      <c r="D279" s="3">
        <v>0</v>
      </c>
      <c r="E279" s="3" t="s">
        <v>104</v>
      </c>
      <c r="F279" s="3">
        <v>0</v>
      </c>
      <c r="G279" s="3" t="b">
        <v>0</v>
      </c>
      <c r="H279" s="3" t="s">
        <v>111</v>
      </c>
      <c r="I279" s="3" t="s">
        <v>113</v>
      </c>
      <c r="J279" s="3">
        <v>0.14000000000000001</v>
      </c>
      <c r="K279" s="3">
        <v>0.1212</v>
      </c>
      <c r="L279" s="3">
        <v>0.59</v>
      </c>
      <c r="M279" s="3">
        <v>0.28360000000000002</v>
      </c>
      <c r="N279" s="3">
        <v>1</v>
      </c>
      <c r="O279" s="3">
        <v>6</v>
      </c>
      <c r="P279" s="51">
        <v>7</v>
      </c>
    </row>
    <row r="280" spans="1:16" x14ac:dyDescent="0.35">
      <c r="A280" s="49">
        <v>279</v>
      </c>
      <c r="B280" s="50">
        <v>40556</v>
      </c>
      <c r="C280" s="3">
        <v>1</v>
      </c>
      <c r="D280" s="3">
        <v>0</v>
      </c>
      <c r="E280" s="3" t="s">
        <v>104</v>
      </c>
      <c r="F280" s="3">
        <v>1</v>
      </c>
      <c r="G280" s="3" t="b">
        <v>0</v>
      </c>
      <c r="H280" s="3" t="s">
        <v>111</v>
      </c>
      <c r="I280" s="3" t="s">
        <v>113</v>
      </c>
      <c r="J280" s="3">
        <v>0.14000000000000001</v>
      </c>
      <c r="K280" s="3">
        <v>0.1212</v>
      </c>
      <c r="L280" s="3">
        <v>0.5</v>
      </c>
      <c r="M280" s="3">
        <v>0.28360000000000002</v>
      </c>
      <c r="N280" s="3">
        <v>0</v>
      </c>
      <c r="O280" s="3">
        <v>2</v>
      </c>
      <c r="P280" s="51">
        <v>2</v>
      </c>
    </row>
    <row r="281" spans="1:16" x14ac:dyDescent="0.35">
      <c r="A281" s="49">
        <v>280</v>
      </c>
      <c r="B281" s="50">
        <v>40556</v>
      </c>
      <c r="C281" s="3">
        <v>1</v>
      </c>
      <c r="D281" s="3">
        <v>0</v>
      </c>
      <c r="E281" s="3" t="s">
        <v>104</v>
      </c>
      <c r="F281" s="3">
        <v>2</v>
      </c>
      <c r="G281" s="3" t="b">
        <v>0</v>
      </c>
      <c r="H281" s="3" t="s">
        <v>111</v>
      </c>
      <c r="I281" s="3" t="s">
        <v>113</v>
      </c>
      <c r="J281" s="3">
        <v>0.14000000000000001</v>
      </c>
      <c r="K281" s="3">
        <v>0.1212</v>
      </c>
      <c r="L281" s="3">
        <v>0.5</v>
      </c>
      <c r="M281" s="3">
        <v>0.35820000000000002</v>
      </c>
      <c r="N281" s="3">
        <v>0</v>
      </c>
      <c r="O281" s="3">
        <v>2</v>
      </c>
      <c r="P281" s="51">
        <v>2</v>
      </c>
    </row>
    <row r="282" spans="1:16" x14ac:dyDescent="0.35">
      <c r="A282" s="49">
        <v>281</v>
      </c>
      <c r="B282" s="50">
        <v>40556</v>
      </c>
      <c r="C282" s="3">
        <v>1</v>
      </c>
      <c r="D282" s="3">
        <v>0</v>
      </c>
      <c r="E282" s="3" t="s">
        <v>104</v>
      </c>
      <c r="F282" s="3">
        <v>3</v>
      </c>
      <c r="G282" s="3" t="b">
        <v>0</v>
      </c>
      <c r="H282" s="3" t="s">
        <v>111</v>
      </c>
      <c r="I282" s="3" t="s">
        <v>113</v>
      </c>
      <c r="J282" s="3">
        <v>0.14000000000000001</v>
      </c>
      <c r="K282" s="3">
        <v>0.1212</v>
      </c>
      <c r="L282" s="3">
        <v>0.5</v>
      </c>
      <c r="M282" s="3">
        <v>0.32840000000000003</v>
      </c>
      <c r="N282" s="3">
        <v>0</v>
      </c>
      <c r="O282" s="3">
        <v>3</v>
      </c>
      <c r="P282" s="51">
        <v>3</v>
      </c>
    </row>
    <row r="283" spans="1:16" x14ac:dyDescent="0.35">
      <c r="A283" s="49">
        <v>282</v>
      </c>
      <c r="B283" s="50">
        <v>40556</v>
      </c>
      <c r="C283" s="3">
        <v>1</v>
      </c>
      <c r="D283" s="3">
        <v>0</v>
      </c>
      <c r="E283" s="3" t="s">
        <v>104</v>
      </c>
      <c r="F283" s="3">
        <v>4</v>
      </c>
      <c r="G283" s="3" t="b">
        <v>0</v>
      </c>
      <c r="H283" s="3" t="s">
        <v>111</v>
      </c>
      <c r="I283" s="3" t="s">
        <v>113</v>
      </c>
      <c r="J283" s="3">
        <v>0.14000000000000001</v>
      </c>
      <c r="K283" s="3">
        <v>0.1212</v>
      </c>
      <c r="L283" s="3">
        <v>0.5</v>
      </c>
      <c r="M283" s="3">
        <v>0.25369999999999998</v>
      </c>
      <c r="N283" s="3">
        <v>0</v>
      </c>
      <c r="O283" s="3">
        <v>4</v>
      </c>
      <c r="P283" s="51">
        <v>4</v>
      </c>
    </row>
    <row r="284" spans="1:16" x14ac:dyDescent="0.35">
      <c r="A284" s="49">
        <v>283</v>
      </c>
      <c r="B284" s="50">
        <v>40556</v>
      </c>
      <c r="C284" s="3">
        <v>1</v>
      </c>
      <c r="D284" s="3">
        <v>0</v>
      </c>
      <c r="E284" s="3" t="s">
        <v>104</v>
      </c>
      <c r="F284" s="3">
        <v>5</v>
      </c>
      <c r="G284" s="3" t="b">
        <v>0</v>
      </c>
      <c r="H284" s="3" t="s">
        <v>111</v>
      </c>
      <c r="I284" s="3" t="s">
        <v>113</v>
      </c>
      <c r="J284" s="3">
        <v>0.14000000000000001</v>
      </c>
      <c r="K284" s="3">
        <v>0.1212</v>
      </c>
      <c r="L284" s="3">
        <v>0.5</v>
      </c>
      <c r="M284" s="3">
        <v>0.29849999999999999</v>
      </c>
      <c r="N284" s="3">
        <v>0</v>
      </c>
      <c r="O284" s="3">
        <v>3</v>
      </c>
      <c r="P284" s="51">
        <v>3</v>
      </c>
    </row>
    <row r="285" spans="1:16" x14ac:dyDescent="0.35">
      <c r="A285" s="49">
        <v>284</v>
      </c>
      <c r="B285" s="50">
        <v>40556</v>
      </c>
      <c r="C285" s="3">
        <v>1</v>
      </c>
      <c r="D285" s="3">
        <v>0</v>
      </c>
      <c r="E285" s="3" t="s">
        <v>104</v>
      </c>
      <c r="F285" s="3">
        <v>6</v>
      </c>
      <c r="G285" s="3" t="b">
        <v>0</v>
      </c>
      <c r="H285" s="3" t="s">
        <v>111</v>
      </c>
      <c r="I285" s="3" t="s">
        <v>113</v>
      </c>
      <c r="J285" s="3">
        <v>0.12</v>
      </c>
      <c r="K285" s="3">
        <v>0.1515</v>
      </c>
      <c r="L285" s="3">
        <v>0.54</v>
      </c>
      <c r="M285" s="3">
        <v>0.1343</v>
      </c>
      <c r="N285" s="3">
        <v>0</v>
      </c>
      <c r="O285" s="3">
        <v>28</v>
      </c>
      <c r="P285" s="51">
        <v>28</v>
      </c>
    </row>
    <row r="286" spans="1:16" x14ac:dyDescent="0.35">
      <c r="A286" s="49">
        <v>285</v>
      </c>
      <c r="B286" s="50">
        <v>40556</v>
      </c>
      <c r="C286" s="3">
        <v>1</v>
      </c>
      <c r="D286" s="3">
        <v>0</v>
      </c>
      <c r="E286" s="3" t="s">
        <v>104</v>
      </c>
      <c r="F286" s="3">
        <v>7</v>
      </c>
      <c r="G286" s="3" t="b">
        <v>0</v>
      </c>
      <c r="H286" s="3" t="s">
        <v>111</v>
      </c>
      <c r="I286" s="3" t="s">
        <v>113</v>
      </c>
      <c r="J286" s="3">
        <v>0.12</v>
      </c>
      <c r="K286" s="3">
        <v>0.1515</v>
      </c>
      <c r="L286" s="3">
        <v>0.54</v>
      </c>
      <c r="M286" s="3">
        <v>0.1343</v>
      </c>
      <c r="N286" s="3">
        <v>0</v>
      </c>
      <c r="O286" s="3">
        <v>72</v>
      </c>
      <c r="P286" s="51">
        <v>72</v>
      </c>
    </row>
    <row r="287" spans="1:16" x14ac:dyDescent="0.35">
      <c r="A287" s="49">
        <v>286</v>
      </c>
      <c r="B287" s="50">
        <v>40556</v>
      </c>
      <c r="C287" s="3">
        <v>1</v>
      </c>
      <c r="D287" s="3">
        <v>0</v>
      </c>
      <c r="E287" s="3" t="s">
        <v>104</v>
      </c>
      <c r="F287" s="3">
        <v>8</v>
      </c>
      <c r="G287" s="3" t="b">
        <v>0</v>
      </c>
      <c r="H287" s="3" t="s">
        <v>111</v>
      </c>
      <c r="I287" s="3" t="s">
        <v>113</v>
      </c>
      <c r="J287" s="3">
        <v>0.14000000000000001</v>
      </c>
      <c r="K287" s="3">
        <v>0.13639999999999999</v>
      </c>
      <c r="L287" s="3">
        <v>0.5</v>
      </c>
      <c r="M287" s="3">
        <v>0.19400000000000001</v>
      </c>
      <c r="N287" s="3">
        <v>5</v>
      </c>
      <c r="O287" s="3">
        <v>197</v>
      </c>
      <c r="P287" s="51">
        <v>202</v>
      </c>
    </row>
    <row r="288" spans="1:16" x14ac:dyDescent="0.35">
      <c r="A288" s="49">
        <v>287</v>
      </c>
      <c r="B288" s="50">
        <v>40556</v>
      </c>
      <c r="C288" s="3">
        <v>1</v>
      </c>
      <c r="D288" s="3">
        <v>0</v>
      </c>
      <c r="E288" s="3" t="s">
        <v>104</v>
      </c>
      <c r="F288" s="3">
        <v>9</v>
      </c>
      <c r="G288" s="3" t="b">
        <v>0</v>
      </c>
      <c r="H288" s="3" t="s">
        <v>111</v>
      </c>
      <c r="I288" s="3" t="s">
        <v>113</v>
      </c>
      <c r="J288" s="3">
        <v>0.14000000000000001</v>
      </c>
      <c r="K288" s="3">
        <v>0.1212</v>
      </c>
      <c r="L288" s="3">
        <v>0.5</v>
      </c>
      <c r="M288" s="3">
        <v>0.32840000000000003</v>
      </c>
      <c r="N288" s="3">
        <v>2</v>
      </c>
      <c r="O288" s="3">
        <v>137</v>
      </c>
      <c r="P288" s="51">
        <v>139</v>
      </c>
    </row>
    <row r="289" spans="1:16" x14ac:dyDescent="0.35">
      <c r="A289" s="49">
        <v>288</v>
      </c>
      <c r="B289" s="50">
        <v>40556</v>
      </c>
      <c r="C289" s="3">
        <v>1</v>
      </c>
      <c r="D289" s="3">
        <v>0</v>
      </c>
      <c r="E289" s="3" t="s">
        <v>104</v>
      </c>
      <c r="F289" s="3">
        <v>10</v>
      </c>
      <c r="G289" s="3" t="b">
        <v>0</v>
      </c>
      <c r="H289" s="3" t="s">
        <v>111</v>
      </c>
      <c r="I289" s="3" t="s">
        <v>114</v>
      </c>
      <c r="J289" s="3">
        <v>0.16</v>
      </c>
      <c r="K289" s="3">
        <v>0.13639999999999999</v>
      </c>
      <c r="L289" s="3">
        <v>0.5</v>
      </c>
      <c r="M289" s="3">
        <v>0.35820000000000002</v>
      </c>
      <c r="N289" s="3">
        <v>2</v>
      </c>
      <c r="O289" s="3">
        <v>36</v>
      </c>
      <c r="P289" s="51">
        <v>38</v>
      </c>
    </row>
    <row r="290" spans="1:16" x14ac:dyDescent="0.35">
      <c r="A290" s="49">
        <v>289</v>
      </c>
      <c r="B290" s="50">
        <v>40556</v>
      </c>
      <c r="C290" s="3">
        <v>1</v>
      </c>
      <c r="D290" s="3">
        <v>0</v>
      </c>
      <c r="E290" s="3" t="s">
        <v>104</v>
      </c>
      <c r="F290" s="3">
        <v>11</v>
      </c>
      <c r="G290" s="3" t="b">
        <v>0</v>
      </c>
      <c r="H290" s="3" t="s">
        <v>111</v>
      </c>
      <c r="I290" s="3" t="s">
        <v>114</v>
      </c>
      <c r="J290" s="3">
        <v>0.2</v>
      </c>
      <c r="K290" s="3">
        <v>0.16669999999999999</v>
      </c>
      <c r="L290" s="3">
        <v>0.44</v>
      </c>
      <c r="M290" s="3">
        <v>0.44779999999999998</v>
      </c>
      <c r="N290" s="3">
        <v>4</v>
      </c>
      <c r="O290" s="3">
        <v>33</v>
      </c>
      <c r="P290" s="51">
        <v>37</v>
      </c>
    </row>
    <row r="291" spans="1:16" x14ac:dyDescent="0.35">
      <c r="A291" s="49">
        <v>290</v>
      </c>
      <c r="B291" s="50">
        <v>40556</v>
      </c>
      <c r="C291" s="3">
        <v>1</v>
      </c>
      <c r="D291" s="3">
        <v>0</v>
      </c>
      <c r="E291" s="3" t="s">
        <v>104</v>
      </c>
      <c r="F291" s="3">
        <v>12</v>
      </c>
      <c r="G291" s="3" t="b">
        <v>0</v>
      </c>
      <c r="H291" s="3" t="s">
        <v>111</v>
      </c>
      <c r="I291" s="3" t="s">
        <v>113</v>
      </c>
      <c r="J291" s="3">
        <v>0.2</v>
      </c>
      <c r="K291" s="3">
        <v>0.16669999999999999</v>
      </c>
      <c r="L291" s="3">
        <v>0.44</v>
      </c>
      <c r="M291" s="3">
        <v>0.41789999999999999</v>
      </c>
      <c r="N291" s="3">
        <v>3</v>
      </c>
      <c r="O291" s="3">
        <v>49</v>
      </c>
      <c r="P291" s="51">
        <v>52</v>
      </c>
    </row>
    <row r="292" spans="1:16" x14ac:dyDescent="0.35">
      <c r="A292" s="49">
        <v>291</v>
      </c>
      <c r="B292" s="50">
        <v>40556</v>
      </c>
      <c r="C292" s="3">
        <v>1</v>
      </c>
      <c r="D292" s="3">
        <v>0</v>
      </c>
      <c r="E292" s="3" t="s">
        <v>104</v>
      </c>
      <c r="F292" s="3">
        <v>13</v>
      </c>
      <c r="G292" s="3" t="b">
        <v>0</v>
      </c>
      <c r="H292" s="3" t="s">
        <v>111</v>
      </c>
      <c r="I292" s="3" t="s">
        <v>113</v>
      </c>
      <c r="J292" s="3">
        <v>0.22</v>
      </c>
      <c r="K292" s="3">
        <v>0.19700000000000001</v>
      </c>
      <c r="L292" s="3">
        <v>0.41</v>
      </c>
      <c r="M292" s="3">
        <v>0.44779999999999998</v>
      </c>
      <c r="N292" s="3">
        <v>2</v>
      </c>
      <c r="O292" s="3">
        <v>81</v>
      </c>
      <c r="P292" s="51">
        <v>83</v>
      </c>
    </row>
    <row r="293" spans="1:16" x14ac:dyDescent="0.35">
      <c r="A293" s="49">
        <v>292</v>
      </c>
      <c r="B293" s="50">
        <v>40556</v>
      </c>
      <c r="C293" s="3">
        <v>1</v>
      </c>
      <c r="D293" s="3">
        <v>0</v>
      </c>
      <c r="E293" s="3" t="s">
        <v>104</v>
      </c>
      <c r="F293" s="3">
        <v>14</v>
      </c>
      <c r="G293" s="3" t="b">
        <v>0</v>
      </c>
      <c r="H293" s="3" t="s">
        <v>111</v>
      </c>
      <c r="I293" s="3" t="s">
        <v>113</v>
      </c>
      <c r="J293" s="3">
        <v>0.22</v>
      </c>
      <c r="K293" s="3">
        <v>0.19700000000000001</v>
      </c>
      <c r="L293" s="3">
        <v>0.41</v>
      </c>
      <c r="M293" s="3">
        <v>0.3881</v>
      </c>
      <c r="N293" s="3">
        <v>3</v>
      </c>
      <c r="O293" s="3">
        <v>39</v>
      </c>
      <c r="P293" s="51">
        <v>42</v>
      </c>
    </row>
    <row r="294" spans="1:16" x14ac:dyDescent="0.35">
      <c r="A294" s="49">
        <v>293</v>
      </c>
      <c r="B294" s="50">
        <v>40556</v>
      </c>
      <c r="C294" s="3">
        <v>1</v>
      </c>
      <c r="D294" s="3">
        <v>0</v>
      </c>
      <c r="E294" s="3" t="s">
        <v>104</v>
      </c>
      <c r="F294" s="3">
        <v>15</v>
      </c>
      <c r="G294" s="3" t="b">
        <v>0</v>
      </c>
      <c r="H294" s="3" t="s">
        <v>111</v>
      </c>
      <c r="I294" s="3" t="s">
        <v>113</v>
      </c>
      <c r="J294" s="3">
        <v>0.24</v>
      </c>
      <c r="K294" s="3">
        <v>0.21210000000000001</v>
      </c>
      <c r="L294" s="3">
        <v>0.38</v>
      </c>
      <c r="M294" s="3">
        <v>0.29849999999999999</v>
      </c>
      <c r="N294" s="3">
        <v>5</v>
      </c>
      <c r="O294" s="3">
        <v>55</v>
      </c>
      <c r="P294" s="51">
        <v>60</v>
      </c>
    </row>
    <row r="295" spans="1:16" x14ac:dyDescent="0.35">
      <c r="A295" s="49">
        <v>294</v>
      </c>
      <c r="B295" s="50">
        <v>40556</v>
      </c>
      <c r="C295" s="3">
        <v>1</v>
      </c>
      <c r="D295" s="3">
        <v>0</v>
      </c>
      <c r="E295" s="3" t="s">
        <v>104</v>
      </c>
      <c r="F295" s="3">
        <v>16</v>
      </c>
      <c r="G295" s="3" t="b">
        <v>0</v>
      </c>
      <c r="H295" s="3" t="s">
        <v>111</v>
      </c>
      <c r="I295" s="3" t="s">
        <v>113</v>
      </c>
      <c r="J295" s="3">
        <v>0.24</v>
      </c>
      <c r="K295" s="3">
        <v>0.21210000000000001</v>
      </c>
      <c r="L295" s="3">
        <v>0.38</v>
      </c>
      <c r="M295" s="3">
        <v>0.35820000000000002</v>
      </c>
      <c r="N295" s="3">
        <v>2</v>
      </c>
      <c r="O295" s="3">
        <v>76</v>
      </c>
      <c r="P295" s="51">
        <v>78</v>
      </c>
    </row>
    <row r="296" spans="1:16" x14ac:dyDescent="0.35">
      <c r="A296" s="49">
        <v>295</v>
      </c>
      <c r="B296" s="50">
        <v>40556</v>
      </c>
      <c r="C296" s="3">
        <v>1</v>
      </c>
      <c r="D296" s="3">
        <v>0</v>
      </c>
      <c r="E296" s="3" t="s">
        <v>104</v>
      </c>
      <c r="F296" s="3">
        <v>17</v>
      </c>
      <c r="G296" s="3" t="b">
        <v>0</v>
      </c>
      <c r="H296" s="3" t="s">
        <v>111</v>
      </c>
      <c r="I296" s="3" t="s">
        <v>113</v>
      </c>
      <c r="J296" s="3">
        <v>0.2</v>
      </c>
      <c r="K296" s="3">
        <v>0.18179999999999999</v>
      </c>
      <c r="L296" s="3">
        <v>0.4</v>
      </c>
      <c r="M296" s="3">
        <v>0.28360000000000002</v>
      </c>
      <c r="N296" s="3">
        <v>4</v>
      </c>
      <c r="O296" s="3">
        <v>158</v>
      </c>
      <c r="P296" s="51">
        <v>162</v>
      </c>
    </row>
    <row r="297" spans="1:16" x14ac:dyDescent="0.35">
      <c r="A297" s="49">
        <v>296</v>
      </c>
      <c r="B297" s="50">
        <v>40556</v>
      </c>
      <c r="C297" s="3">
        <v>1</v>
      </c>
      <c r="D297" s="3">
        <v>0</v>
      </c>
      <c r="E297" s="3" t="s">
        <v>104</v>
      </c>
      <c r="F297" s="3">
        <v>18</v>
      </c>
      <c r="G297" s="3" t="b">
        <v>0</v>
      </c>
      <c r="H297" s="3" t="s">
        <v>111</v>
      </c>
      <c r="I297" s="3" t="s">
        <v>113</v>
      </c>
      <c r="J297" s="3">
        <v>0.2</v>
      </c>
      <c r="K297" s="3">
        <v>0.18179999999999999</v>
      </c>
      <c r="L297" s="3">
        <v>0.4</v>
      </c>
      <c r="M297" s="3">
        <v>0.32840000000000003</v>
      </c>
      <c r="N297" s="3">
        <v>3</v>
      </c>
      <c r="O297" s="3">
        <v>141</v>
      </c>
      <c r="P297" s="51">
        <v>144</v>
      </c>
    </row>
    <row r="298" spans="1:16" x14ac:dyDescent="0.35">
      <c r="A298" s="49">
        <v>297</v>
      </c>
      <c r="B298" s="50">
        <v>40556</v>
      </c>
      <c r="C298" s="3">
        <v>1</v>
      </c>
      <c r="D298" s="3">
        <v>0</v>
      </c>
      <c r="E298" s="3" t="s">
        <v>104</v>
      </c>
      <c r="F298" s="3">
        <v>19</v>
      </c>
      <c r="G298" s="3" t="b">
        <v>0</v>
      </c>
      <c r="H298" s="3" t="s">
        <v>111</v>
      </c>
      <c r="I298" s="3" t="s">
        <v>113</v>
      </c>
      <c r="J298" s="3">
        <v>0.16</v>
      </c>
      <c r="K298" s="3">
        <v>0.1515</v>
      </c>
      <c r="L298" s="3">
        <v>0.47</v>
      </c>
      <c r="M298" s="3">
        <v>0.25369999999999998</v>
      </c>
      <c r="N298" s="3">
        <v>1</v>
      </c>
      <c r="O298" s="3">
        <v>98</v>
      </c>
      <c r="P298" s="51">
        <v>99</v>
      </c>
    </row>
    <row r="299" spans="1:16" x14ac:dyDescent="0.35">
      <c r="A299" s="49">
        <v>298</v>
      </c>
      <c r="B299" s="50">
        <v>40556</v>
      </c>
      <c r="C299" s="3">
        <v>1</v>
      </c>
      <c r="D299" s="3">
        <v>0</v>
      </c>
      <c r="E299" s="3" t="s">
        <v>104</v>
      </c>
      <c r="F299" s="3">
        <v>20</v>
      </c>
      <c r="G299" s="3" t="b">
        <v>0</v>
      </c>
      <c r="H299" s="3" t="s">
        <v>111</v>
      </c>
      <c r="I299" s="3" t="s">
        <v>113</v>
      </c>
      <c r="J299" s="3">
        <v>0.16</v>
      </c>
      <c r="K299" s="3">
        <v>0.1515</v>
      </c>
      <c r="L299" s="3">
        <v>0.47</v>
      </c>
      <c r="M299" s="3">
        <v>0.22389999999999999</v>
      </c>
      <c r="N299" s="3">
        <v>0</v>
      </c>
      <c r="O299" s="3">
        <v>64</v>
      </c>
      <c r="P299" s="51">
        <v>64</v>
      </c>
    </row>
    <row r="300" spans="1:16" x14ac:dyDescent="0.35">
      <c r="A300" s="49">
        <v>299</v>
      </c>
      <c r="B300" s="50">
        <v>40556</v>
      </c>
      <c r="C300" s="3">
        <v>1</v>
      </c>
      <c r="D300" s="3">
        <v>0</v>
      </c>
      <c r="E300" s="3" t="s">
        <v>104</v>
      </c>
      <c r="F300" s="3">
        <v>21</v>
      </c>
      <c r="G300" s="3" t="b">
        <v>0</v>
      </c>
      <c r="H300" s="3" t="s">
        <v>111</v>
      </c>
      <c r="I300" s="3" t="s">
        <v>113</v>
      </c>
      <c r="J300" s="3">
        <v>0.14000000000000001</v>
      </c>
      <c r="K300" s="3">
        <v>0.1212</v>
      </c>
      <c r="L300" s="3">
        <v>0.46</v>
      </c>
      <c r="M300" s="3">
        <v>0.29849999999999999</v>
      </c>
      <c r="N300" s="3">
        <v>0</v>
      </c>
      <c r="O300" s="3">
        <v>40</v>
      </c>
      <c r="P300" s="51">
        <v>40</v>
      </c>
    </row>
    <row r="301" spans="1:16" x14ac:dyDescent="0.35">
      <c r="A301" s="49">
        <v>300</v>
      </c>
      <c r="B301" s="50">
        <v>40556</v>
      </c>
      <c r="C301" s="3">
        <v>1</v>
      </c>
      <c r="D301" s="3">
        <v>0</v>
      </c>
      <c r="E301" s="3" t="s">
        <v>104</v>
      </c>
      <c r="F301" s="3">
        <v>22</v>
      </c>
      <c r="G301" s="3" t="b">
        <v>0</v>
      </c>
      <c r="H301" s="3" t="s">
        <v>111</v>
      </c>
      <c r="I301" s="3" t="s">
        <v>113</v>
      </c>
      <c r="J301" s="3">
        <v>0.14000000000000001</v>
      </c>
      <c r="K301" s="3">
        <v>0.1212</v>
      </c>
      <c r="L301" s="3">
        <v>0.46</v>
      </c>
      <c r="M301" s="3">
        <v>0.32840000000000003</v>
      </c>
      <c r="N301" s="3">
        <v>0</v>
      </c>
      <c r="O301" s="3">
        <v>30</v>
      </c>
      <c r="P301" s="51">
        <v>30</v>
      </c>
    </row>
    <row r="302" spans="1:16" x14ac:dyDescent="0.35">
      <c r="A302" s="49">
        <v>301</v>
      </c>
      <c r="B302" s="50">
        <v>40556</v>
      </c>
      <c r="C302" s="3">
        <v>1</v>
      </c>
      <c r="D302" s="3">
        <v>0</v>
      </c>
      <c r="E302" s="3" t="s">
        <v>104</v>
      </c>
      <c r="F302" s="3">
        <v>23</v>
      </c>
      <c r="G302" s="3" t="b">
        <v>0</v>
      </c>
      <c r="H302" s="3" t="s">
        <v>111</v>
      </c>
      <c r="I302" s="3" t="s">
        <v>113</v>
      </c>
      <c r="J302" s="3">
        <v>0.12</v>
      </c>
      <c r="K302" s="3">
        <v>0.13639999999999999</v>
      </c>
      <c r="L302" s="3">
        <v>0.5</v>
      </c>
      <c r="M302" s="3">
        <v>0.19400000000000001</v>
      </c>
      <c r="N302" s="3">
        <v>1</v>
      </c>
      <c r="O302" s="3">
        <v>14</v>
      </c>
      <c r="P302" s="51">
        <v>15</v>
      </c>
    </row>
    <row r="303" spans="1:16" x14ac:dyDescent="0.35">
      <c r="A303" s="49">
        <v>302</v>
      </c>
      <c r="B303" s="50">
        <v>40557</v>
      </c>
      <c r="C303" s="3">
        <v>1</v>
      </c>
      <c r="D303" s="3">
        <v>0</v>
      </c>
      <c r="E303" s="3" t="s">
        <v>104</v>
      </c>
      <c r="F303" s="3">
        <v>0</v>
      </c>
      <c r="G303" s="3" t="b">
        <v>0</v>
      </c>
      <c r="H303" s="3" t="s">
        <v>112</v>
      </c>
      <c r="I303" s="3" t="s">
        <v>113</v>
      </c>
      <c r="J303" s="3">
        <v>0.12</v>
      </c>
      <c r="K303" s="3">
        <v>0.13639999999999999</v>
      </c>
      <c r="L303" s="3">
        <v>0.5</v>
      </c>
      <c r="M303" s="3">
        <v>0.19400000000000001</v>
      </c>
      <c r="N303" s="3">
        <v>0</v>
      </c>
      <c r="O303" s="3">
        <v>14</v>
      </c>
      <c r="P303" s="51">
        <v>14</v>
      </c>
    </row>
    <row r="304" spans="1:16" x14ac:dyDescent="0.35">
      <c r="A304" s="49">
        <v>303</v>
      </c>
      <c r="B304" s="50">
        <v>40557</v>
      </c>
      <c r="C304" s="3">
        <v>1</v>
      </c>
      <c r="D304" s="3">
        <v>0</v>
      </c>
      <c r="E304" s="3" t="s">
        <v>104</v>
      </c>
      <c r="F304" s="3">
        <v>1</v>
      </c>
      <c r="G304" s="3" t="b">
        <v>0</v>
      </c>
      <c r="H304" s="3" t="s">
        <v>112</v>
      </c>
      <c r="I304" s="3" t="s">
        <v>113</v>
      </c>
      <c r="J304" s="3">
        <v>0.1</v>
      </c>
      <c r="K304" s="3">
        <v>0.1212</v>
      </c>
      <c r="L304" s="3">
        <v>0.54</v>
      </c>
      <c r="M304" s="3">
        <v>0.16420000000000001</v>
      </c>
      <c r="N304" s="3">
        <v>0</v>
      </c>
      <c r="O304" s="3">
        <v>5</v>
      </c>
      <c r="P304" s="51">
        <v>5</v>
      </c>
    </row>
    <row r="305" spans="1:16" x14ac:dyDescent="0.35">
      <c r="A305" s="49">
        <v>304</v>
      </c>
      <c r="B305" s="50">
        <v>40557</v>
      </c>
      <c r="C305" s="3">
        <v>1</v>
      </c>
      <c r="D305" s="3">
        <v>0</v>
      </c>
      <c r="E305" s="3" t="s">
        <v>104</v>
      </c>
      <c r="F305" s="3">
        <v>2</v>
      </c>
      <c r="G305" s="3" t="b">
        <v>0</v>
      </c>
      <c r="H305" s="3" t="s">
        <v>112</v>
      </c>
      <c r="I305" s="3" t="s">
        <v>113</v>
      </c>
      <c r="J305" s="3">
        <v>0.1</v>
      </c>
      <c r="K305" s="3">
        <v>0.1212</v>
      </c>
      <c r="L305" s="3">
        <v>0.54</v>
      </c>
      <c r="M305" s="3">
        <v>0.1343</v>
      </c>
      <c r="N305" s="3">
        <v>0</v>
      </c>
      <c r="O305" s="3">
        <v>1</v>
      </c>
      <c r="P305" s="51">
        <v>1</v>
      </c>
    </row>
    <row r="306" spans="1:16" x14ac:dyDescent="0.35">
      <c r="A306" s="49">
        <v>305</v>
      </c>
      <c r="B306" s="50">
        <v>40557</v>
      </c>
      <c r="C306" s="3">
        <v>1</v>
      </c>
      <c r="D306" s="3">
        <v>0</v>
      </c>
      <c r="E306" s="3" t="s">
        <v>104</v>
      </c>
      <c r="F306" s="3">
        <v>3</v>
      </c>
      <c r="G306" s="3" t="b">
        <v>0</v>
      </c>
      <c r="H306" s="3" t="s">
        <v>112</v>
      </c>
      <c r="I306" s="3" t="s">
        <v>113</v>
      </c>
      <c r="J306" s="3">
        <v>0.1</v>
      </c>
      <c r="K306" s="3">
        <v>0.13639999999999999</v>
      </c>
      <c r="L306" s="3">
        <v>0.54</v>
      </c>
      <c r="M306" s="3">
        <v>0.1045</v>
      </c>
      <c r="N306" s="3">
        <v>0</v>
      </c>
      <c r="O306" s="3">
        <v>1</v>
      </c>
      <c r="P306" s="51">
        <v>1</v>
      </c>
    </row>
    <row r="307" spans="1:16" x14ac:dyDescent="0.35">
      <c r="A307" s="49">
        <v>306</v>
      </c>
      <c r="B307" s="50">
        <v>40557</v>
      </c>
      <c r="C307" s="3">
        <v>1</v>
      </c>
      <c r="D307" s="3">
        <v>0</v>
      </c>
      <c r="E307" s="3" t="s">
        <v>104</v>
      </c>
      <c r="F307" s="3">
        <v>5</v>
      </c>
      <c r="G307" s="3" t="b">
        <v>0</v>
      </c>
      <c r="H307" s="3" t="s">
        <v>112</v>
      </c>
      <c r="I307" s="3" t="s">
        <v>113</v>
      </c>
      <c r="J307" s="3">
        <v>0.1</v>
      </c>
      <c r="K307" s="3">
        <v>0.13639999999999999</v>
      </c>
      <c r="L307" s="3">
        <v>0.54</v>
      </c>
      <c r="M307" s="3">
        <v>8.9599999999999999E-2</v>
      </c>
      <c r="N307" s="3">
        <v>0</v>
      </c>
      <c r="O307" s="3">
        <v>8</v>
      </c>
      <c r="P307" s="51">
        <v>8</v>
      </c>
    </row>
    <row r="308" spans="1:16" x14ac:dyDescent="0.35">
      <c r="A308" s="49">
        <v>307</v>
      </c>
      <c r="B308" s="50">
        <v>40557</v>
      </c>
      <c r="C308" s="3">
        <v>1</v>
      </c>
      <c r="D308" s="3">
        <v>0</v>
      </c>
      <c r="E308" s="3" t="s">
        <v>104</v>
      </c>
      <c r="F308" s="3">
        <v>6</v>
      </c>
      <c r="G308" s="3" t="b">
        <v>0</v>
      </c>
      <c r="H308" s="3" t="s">
        <v>112</v>
      </c>
      <c r="I308" s="3" t="s">
        <v>113</v>
      </c>
      <c r="J308" s="3">
        <v>0.1</v>
      </c>
      <c r="K308" s="3">
        <v>0.18179999999999999</v>
      </c>
      <c r="L308" s="3">
        <v>0.54</v>
      </c>
      <c r="M308" s="3">
        <v>0</v>
      </c>
      <c r="N308" s="3">
        <v>0</v>
      </c>
      <c r="O308" s="3">
        <v>17</v>
      </c>
      <c r="P308" s="51">
        <v>17</v>
      </c>
    </row>
    <row r="309" spans="1:16" x14ac:dyDescent="0.35">
      <c r="A309" s="49">
        <v>308</v>
      </c>
      <c r="B309" s="50">
        <v>40557</v>
      </c>
      <c r="C309" s="3">
        <v>1</v>
      </c>
      <c r="D309" s="3">
        <v>0</v>
      </c>
      <c r="E309" s="3" t="s">
        <v>104</v>
      </c>
      <c r="F309" s="3">
        <v>7</v>
      </c>
      <c r="G309" s="3" t="b">
        <v>0</v>
      </c>
      <c r="H309" s="3" t="s">
        <v>112</v>
      </c>
      <c r="I309" s="3" t="s">
        <v>113</v>
      </c>
      <c r="J309" s="3">
        <v>0.1</v>
      </c>
      <c r="K309" s="3">
        <v>0.1212</v>
      </c>
      <c r="L309" s="3">
        <v>0.74</v>
      </c>
      <c r="M309" s="3">
        <v>0.16420000000000001</v>
      </c>
      <c r="N309" s="3">
        <v>0</v>
      </c>
      <c r="O309" s="3">
        <v>70</v>
      </c>
      <c r="P309" s="51">
        <v>70</v>
      </c>
    </row>
    <row r="310" spans="1:16" x14ac:dyDescent="0.35">
      <c r="A310" s="49">
        <v>309</v>
      </c>
      <c r="B310" s="50">
        <v>40557</v>
      </c>
      <c r="C310" s="3">
        <v>1</v>
      </c>
      <c r="D310" s="3">
        <v>0</v>
      </c>
      <c r="E310" s="3" t="s">
        <v>104</v>
      </c>
      <c r="F310" s="3">
        <v>8</v>
      </c>
      <c r="G310" s="3" t="b">
        <v>0</v>
      </c>
      <c r="H310" s="3" t="s">
        <v>112</v>
      </c>
      <c r="I310" s="3" t="s">
        <v>113</v>
      </c>
      <c r="J310" s="3">
        <v>0.12</v>
      </c>
      <c r="K310" s="3">
        <v>0.16669999999999999</v>
      </c>
      <c r="L310" s="3">
        <v>0.68</v>
      </c>
      <c r="M310" s="3">
        <v>0</v>
      </c>
      <c r="N310" s="3">
        <v>2</v>
      </c>
      <c r="O310" s="3">
        <v>156</v>
      </c>
      <c r="P310" s="51">
        <v>158</v>
      </c>
    </row>
    <row r="311" spans="1:16" x14ac:dyDescent="0.35">
      <c r="A311" s="49">
        <v>310</v>
      </c>
      <c r="B311" s="50">
        <v>40557</v>
      </c>
      <c r="C311" s="3">
        <v>1</v>
      </c>
      <c r="D311" s="3">
        <v>0</v>
      </c>
      <c r="E311" s="3" t="s">
        <v>104</v>
      </c>
      <c r="F311" s="3">
        <v>9</v>
      </c>
      <c r="G311" s="3" t="b">
        <v>0</v>
      </c>
      <c r="H311" s="3" t="s">
        <v>112</v>
      </c>
      <c r="I311" s="3" t="s">
        <v>113</v>
      </c>
      <c r="J311" s="3">
        <v>0.14000000000000001</v>
      </c>
      <c r="K311" s="3">
        <v>0.1515</v>
      </c>
      <c r="L311" s="3">
        <v>0.69</v>
      </c>
      <c r="M311" s="3">
        <v>0.1343</v>
      </c>
      <c r="N311" s="3">
        <v>0</v>
      </c>
      <c r="O311" s="3">
        <v>117</v>
      </c>
      <c r="P311" s="51">
        <v>117</v>
      </c>
    </row>
    <row r="312" spans="1:16" x14ac:dyDescent="0.35">
      <c r="A312" s="49">
        <v>311</v>
      </c>
      <c r="B312" s="50">
        <v>40557</v>
      </c>
      <c r="C312" s="3">
        <v>1</v>
      </c>
      <c r="D312" s="3">
        <v>0</v>
      </c>
      <c r="E312" s="3" t="s">
        <v>104</v>
      </c>
      <c r="F312" s="3">
        <v>10</v>
      </c>
      <c r="G312" s="3" t="b">
        <v>0</v>
      </c>
      <c r="H312" s="3" t="s">
        <v>112</v>
      </c>
      <c r="I312" s="3" t="s">
        <v>113</v>
      </c>
      <c r="J312" s="3">
        <v>0.18</v>
      </c>
      <c r="K312" s="3">
        <v>0.18179999999999999</v>
      </c>
      <c r="L312" s="3">
        <v>0.55000000000000004</v>
      </c>
      <c r="M312" s="3">
        <v>0.19400000000000001</v>
      </c>
      <c r="N312" s="3">
        <v>4</v>
      </c>
      <c r="O312" s="3">
        <v>40</v>
      </c>
      <c r="P312" s="51">
        <v>44</v>
      </c>
    </row>
    <row r="313" spans="1:16" x14ac:dyDescent="0.35">
      <c r="A313" s="49">
        <v>312</v>
      </c>
      <c r="B313" s="50">
        <v>40557</v>
      </c>
      <c r="C313" s="3">
        <v>1</v>
      </c>
      <c r="D313" s="3">
        <v>0</v>
      </c>
      <c r="E313" s="3" t="s">
        <v>104</v>
      </c>
      <c r="F313" s="3">
        <v>11</v>
      </c>
      <c r="G313" s="3" t="b">
        <v>0</v>
      </c>
      <c r="H313" s="3" t="s">
        <v>112</v>
      </c>
      <c r="I313" s="3" t="s">
        <v>113</v>
      </c>
      <c r="J313" s="3">
        <v>0.18</v>
      </c>
      <c r="K313" s="3">
        <v>0.16669999999999999</v>
      </c>
      <c r="L313" s="3">
        <v>0.51</v>
      </c>
      <c r="M313" s="3">
        <v>0.28360000000000002</v>
      </c>
      <c r="N313" s="3">
        <v>6</v>
      </c>
      <c r="O313" s="3">
        <v>47</v>
      </c>
      <c r="P313" s="51">
        <v>53</v>
      </c>
    </row>
    <row r="314" spans="1:16" x14ac:dyDescent="0.35">
      <c r="A314" s="49">
        <v>313</v>
      </c>
      <c r="B314" s="50">
        <v>40557</v>
      </c>
      <c r="C314" s="3">
        <v>1</v>
      </c>
      <c r="D314" s="3">
        <v>0</v>
      </c>
      <c r="E314" s="3" t="s">
        <v>104</v>
      </c>
      <c r="F314" s="3">
        <v>12</v>
      </c>
      <c r="G314" s="3" t="b">
        <v>0</v>
      </c>
      <c r="H314" s="3" t="s">
        <v>112</v>
      </c>
      <c r="I314" s="3" t="s">
        <v>113</v>
      </c>
      <c r="J314" s="3">
        <v>0.2</v>
      </c>
      <c r="K314" s="3">
        <v>0.19700000000000001</v>
      </c>
      <c r="L314" s="3">
        <v>0.44</v>
      </c>
      <c r="M314" s="3">
        <v>0.25369999999999998</v>
      </c>
      <c r="N314" s="3">
        <v>2</v>
      </c>
      <c r="O314" s="3">
        <v>59</v>
      </c>
      <c r="P314" s="51">
        <v>61</v>
      </c>
    </row>
    <row r="315" spans="1:16" x14ac:dyDescent="0.35">
      <c r="A315" s="49">
        <v>314</v>
      </c>
      <c r="B315" s="50">
        <v>40557</v>
      </c>
      <c r="C315" s="3">
        <v>1</v>
      </c>
      <c r="D315" s="3">
        <v>0</v>
      </c>
      <c r="E315" s="3" t="s">
        <v>104</v>
      </c>
      <c r="F315" s="3">
        <v>13</v>
      </c>
      <c r="G315" s="3" t="b">
        <v>0</v>
      </c>
      <c r="H315" s="3" t="s">
        <v>112</v>
      </c>
      <c r="I315" s="3" t="s">
        <v>113</v>
      </c>
      <c r="J315" s="3">
        <v>0.22</v>
      </c>
      <c r="K315" s="3">
        <v>0.19700000000000001</v>
      </c>
      <c r="L315" s="3">
        <v>0.37</v>
      </c>
      <c r="M315" s="3">
        <v>0.3881</v>
      </c>
      <c r="N315" s="3">
        <v>4</v>
      </c>
      <c r="O315" s="3">
        <v>73</v>
      </c>
      <c r="P315" s="51">
        <v>77</v>
      </c>
    </row>
    <row r="316" spans="1:16" x14ac:dyDescent="0.35">
      <c r="A316" s="49">
        <v>315</v>
      </c>
      <c r="B316" s="50">
        <v>40557</v>
      </c>
      <c r="C316" s="3">
        <v>1</v>
      </c>
      <c r="D316" s="3">
        <v>0</v>
      </c>
      <c r="E316" s="3" t="s">
        <v>104</v>
      </c>
      <c r="F316" s="3">
        <v>14</v>
      </c>
      <c r="G316" s="3" t="b">
        <v>0</v>
      </c>
      <c r="H316" s="3" t="s">
        <v>112</v>
      </c>
      <c r="I316" s="3" t="s">
        <v>113</v>
      </c>
      <c r="J316" s="3">
        <v>0.22</v>
      </c>
      <c r="K316" s="3">
        <v>0.21210000000000001</v>
      </c>
      <c r="L316" s="3">
        <v>0.41</v>
      </c>
      <c r="M316" s="3">
        <v>0.28360000000000002</v>
      </c>
      <c r="N316" s="3">
        <v>5</v>
      </c>
      <c r="O316" s="3">
        <v>59</v>
      </c>
      <c r="P316" s="51">
        <v>64</v>
      </c>
    </row>
    <row r="317" spans="1:16" x14ac:dyDescent="0.35">
      <c r="A317" s="49">
        <v>316</v>
      </c>
      <c r="B317" s="50">
        <v>40557</v>
      </c>
      <c r="C317" s="3">
        <v>1</v>
      </c>
      <c r="D317" s="3">
        <v>0</v>
      </c>
      <c r="E317" s="3" t="s">
        <v>104</v>
      </c>
      <c r="F317" s="3">
        <v>15</v>
      </c>
      <c r="G317" s="3" t="b">
        <v>0</v>
      </c>
      <c r="H317" s="3" t="s">
        <v>112</v>
      </c>
      <c r="I317" s="3" t="s">
        <v>113</v>
      </c>
      <c r="J317" s="3">
        <v>0.24</v>
      </c>
      <c r="K317" s="3">
        <v>0.2424</v>
      </c>
      <c r="L317" s="3">
        <v>0.38</v>
      </c>
      <c r="M317" s="3">
        <v>0.16420000000000001</v>
      </c>
      <c r="N317" s="3">
        <v>9</v>
      </c>
      <c r="O317" s="3">
        <v>59</v>
      </c>
      <c r="P317" s="51">
        <v>68</v>
      </c>
    </row>
    <row r="318" spans="1:16" x14ac:dyDescent="0.35">
      <c r="A318" s="49">
        <v>317</v>
      </c>
      <c r="B318" s="50">
        <v>40557</v>
      </c>
      <c r="C318" s="3">
        <v>1</v>
      </c>
      <c r="D318" s="3">
        <v>0</v>
      </c>
      <c r="E318" s="3" t="s">
        <v>104</v>
      </c>
      <c r="F318" s="3">
        <v>16</v>
      </c>
      <c r="G318" s="3" t="b">
        <v>0</v>
      </c>
      <c r="H318" s="3" t="s">
        <v>112</v>
      </c>
      <c r="I318" s="3" t="s">
        <v>113</v>
      </c>
      <c r="J318" s="3">
        <v>0.22</v>
      </c>
      <c r="K318" s="3">
        <v>0.2424</v>
      </c>
      <c r="L318" s="3">
        <v>0.41</v>
      </c>
      <c r="M318" s="3">
        <v>0.1045</v>
      </c>
      <c r="N318" s="3">
        <v>3</v>
      </c>
      <c r="O318" s="3">
        <v>87</v>
      </c>
      <c r="P318" s="51">
        <v>90</v>
      </c>
    </row>
    <row r="319" spans="1:16" x14ac:dyDescent="0.35">
      <c r="A319" s="49">
        <v>318</v>
      </c>
      <c r="B319" s="50">
        <v>40557</v>
      </c>
      <c r="C319" s="3">
        <v>1</v>
      </c>
      <c r="D319" s="3">
        <v>0</v>
      </c>
      <c r="E319" s="3" t="s">
        <v>104</v>
      </c>
      <c r="F319" s="3">
        <v>17</v>
      </c>
      <c r="G319" s="3" t="b">
        <v>0</v>
      </c>
      <c r="H319" s="3" t="s">
        <v>112</v>
      </c>
      <c r="I319" s="3" t="s">
        <v>113</v>
      </c>
      <c r="J319" s="3">
        <v>0.22</v>
      </c>
      <c r="K319" s="3">
        <v>0.2273</v>
      </c>
      <c r="L319" s="3">
        <v>0.41</v>
      </c>
      <c r="M319" s="3">
        <v>0.16420000000000001</v>
      </c>
      <c r="N319" s="3">
        <v>4</v>
      </c>
      <c r="O319" s="3">
        <v>155</v>
      </c>
      <c r="P319" s="51">
        <v>159</v>
      </c>
    </row>
    <row r="320" spans="1:16" x14ac:dyDescent="0.35">
      <c r="A320" s="49">
        <v>319</v>
      </c>
      <c r="B320" s="50">
        <v>40557</v>
      </c>
      <c r="C320" s="3">
        <v>1</v>
      </c>
      <c r="D320" s="3">
        <v>0</v>
      </c>
      <c r="E320" s="3" t="s">
        <v>104</v>
      </c>
      <c r="F320" s="3">
        <v>18</v>
      </c>
      <c r="G320" s="3" t="b">
        <v>0</v>
      </c>
      <c r="H320" s="3" t="s">
        <v>112</v>
      </c>
      <c r="I320" s="3" t="s">
        <v>113</v>
      </c>
      <c r="J320" s="3">
        <v>0.2</v>
      </c>
      <c r="K320" s="3">
        <v>0.2576</v>
      </c>
      <c r="L320" s="3">
        <v>0.47</v>
      </c>
      <c r="M320" s="3">
        <v>0</v>
      </c>
      <c r="N320" s="3">
        <v>5</v>
      </c>
      <c r="O320" s="3">
        <v>134</v>
      </c>
      <c r="P320" s="51">
        <v>139</v>
      </c>
    </row>
    <row r="321" spans="1:16" x14ac:dyDescent="0.35">
      <c r="A321" s="49">
        <v>320</v>
      </c>
      <c r="B321" s="50">
        <v>40557</v>
      </c>
      <c r="C321" s="3">
        <v>1</v>
      </c>
      <c r="D321" s="3">
        <v>0</v>
      </c>
      <c r="E321" s="3" t="s">
        <v>104</v>
      </c>
      <c r="F321" s="3">
        <v>19</v>
      </c>
      <c r="G321" s="3" t="b">
        <v>0</v>
      </c>
      <c r="H321" s="3" t="s">
        <v>112</v>
      </c>
      <c r="I321" s="3" t="s">
        <v>113</v>
      </c>
      <c r="J321" s="3">
        <v>0.16</v>
      </c>
      <c r="K321" s="3">
        <v>0.19700000000000001</v>
      </c>
      <c r="L321" s="3">
        <v>0.59</v>
      </c>
      <c r="M321" s="3">
        <v>8.9599999999999999E-2</v>
      </c>
      <c r="N321" s="3">
        <v>3</v>
      </c>
      <c r="O321" s="3">
        <v>89</v>
      </c>
      <c r="P321" s="51">
        <v>92</v>
      </c>
    </row>
    <row r="322" spans="1:16" x14ac:dyDescent="0.35">
      <c r="A322" s="49">
        <v>321</v>
      </c>
      <c r="B322" s="50">
        <v>40557</v>
      </c>
      <c r="C322" s="3">
        <v>1</v>
      </c>
      <c r="D322" s="3">
        <v>0</v>
      </c>
      <c r="E322" s="3" t="s">
        <v>104</v>
      </c>
      <c r="F322" s="3">
        <v>20</v>
      </c>
      <c r="G322" s="3" t="b">
        <v>0</v>
      </c>
      <c r="H322" s="3" t="s">
        <v>112</v>
      </c>
      <c r="I322" s="3" t="s">
        <v>113</v>
      </c>
      <c r="J322" s="3">
        <v>0.18</v>
      </c>
      <c r="K322" s="3">
        <v>0.2424</v>
      </c>
      <c r="L322" s="3">
        <v>0.59</v>
      </c>
      <c r="M322" s="3">
        <v>0</v>
      </c>
      <c r="N322" s="3">
        <v>0</v>
      </c>
      <c r="O322" s="3">
        <v>68</v>
      </c>
      <c r="P322" s="51">
        <v>68</v>
      </c>
    </row>
    <row r="323" spans="1:16" x14ac:dyDescent="0.35">
      <c r="A323" s="49">
        <v>322</v>
      </c>
      <c r="B323" s="50">
        <v>40557</v>
      </c>
      <c r="C323" s="3">
        <v>1</v>
      </c>
      <c r="D323" s="3">
        <v>0</v>
      </c>
      <c r="E323" s="3" t="s">
        <v>104</v>
      </c>
      <c r="F323" s="3">
        <v>21</v>
      </c>
      <c r="G323" s="3" t="b">
        <v>0</v>
      </c>
      <c r="H323" s="3" t="s">
        <v>112</v>
      </c>
      <c r="I323" s="3" t="s">
        <v>113</v>
      </c>
      <c r="J323" s="3">
        <v>0.16</v>
      </c>
      <c r="K323" s="3">
        <v>0.2273</v>
      </c>
      <c r="L323" s="3">
        <v>0.69</v>
      </c>
      <c r="M323" s="3">
        <v>0</v>
      </c>
      <c r="N323" s="3">
        <v>4</v>
      </c>
      <c r="O323" s="3">
        <v>48</v>
      </c>
      <c r="P323" s="51">
        <v>52</v>
      </c>
    </row>
    <row r="324" spans="1:16" x14ac:dyDescent="0.35">
      <c r="A324" s="49">
        <v>323</v>
      </c>
      <c r="B324" s="50">
        <v>40557</v>
      </c>
      <c r="C324" s="3">
        <v>1</v>
      </c>
      <c r="D324" s="3">
        <v>0</v>
      </c>
      <c r="E324" s="3" t="s">
        <v>104</v>
      </c>
      <c r="F324" s="3">
        <v>22</v>
      </c>
      <c r="G324" s="3" t="b">
        <v>0</v>
      </c>
      <c r="H324" s="3" t="s">
        <v>112</v>
      </c>
      <c r="I324" s="3" t="s">
        <v>114</v>
      </c>
      <c r="J324" s="3">
        <v>0.16</v>
      </c>
      <c r="K324" s="3">
        <v>0.2273</v>
      </c>
      <c r="L324" s="3">
        <v>0.69</v>
      </c>
      <c r="M324" s="3">
        <v>0</v>
      </c>
      <c r="N324" s="3">
        <v>2</v>
      </c>
      <c r="O324" s="3">
        <v>34</v>
      </c>
      <c r="P324" s="51">
        <v>36</v>
      </c>
    </row>
    <row r="325" spans="1:16" x14ac:dyDescent="0.35">
      <c r="A325" s="49">
        <v>324</v>
      </c>
      <c r="B325" s="50">
        <v>40557</v>
      </c>
      <c r="C325" s="3">
        <v>1</v>
      </c>
      <c r="D325" s="3">
        <v>0</v>
      </c>
      <c r="E325" s="3" t="s">
        <v>104</v>
      </c>
      <c r="F325" s="3">
        <v>23</v>
      </c>
      <c r="G325" s="3" t="b">
        <v>0</v>
      </c>
      <c r="H325" s="3" t="s">
        <v>112</v>
      </c>
      <c r="I325" s="3" t="s">
        <v>114</v>
      </c>
      <c r="J325" s="3">
        <v>0.18</v>
      </c>
      <c r="K325" s="3">
        <v>0.2424</v>
      </c>
      <c r="L325" s="3">
        <v>0.55000000000000004</v>
      </c>
      <c r="M325" s="3">
        <v>0</v>
      </c>
      <c r="N325" s="3">
        <v>1</v>
      </c>
      <c r="O325" s="3">
        <v>26</v>
      </c>
      <c r="P325" s="51">
        <v>27</v>
      </c>
    </row>
    <row r="326" spans="1:16" x14ac:dyDescent="0.35">
      <c r="A326" s="49">
        <v>325</v>
      </c>
      <c r="B326" s="50">
        <v>40558</v>
      </c>
      <c r="C326" s="3">
        <v>1</v>
      </c>
      <c r="D326" s="3">
        <v>0</v>
      </c>
      <c r="E326" s="3" t="s">
        <v>104</v>
      </c>
      <c r="F326" s="3">
        <v>0</v>
      </c>
      <c r="G326" s="3" t="b">
        <v>0</v>
      </c>
      <c r="H326" s="3" t="s">
        <v>106</v>
      </c>
      <c r="I326" s="3" t="s">
        <v>113</v>
      </c>
      <c r="J326" s="3">
        <v>0.18</v>
      </c>
      <c r="K326" s="3">
        <v>0.2424</v>
      </c>
      <c r="L326" s="3">
        <v>0.55000000000000004</v>
      </c>
      <c r="M326" s="3">
        <v>0</v>
      </c>
      <c r="N326" s="3">
        <v>3</v>
      </c>
      <c r="O326" s="3">
        <v>25</v>
      </c>
      <c r="P326" s="51">
        <v>28</v>
      </c>
    </row>
    <row r="327" spans="1:16" x14ac:dyDescent="0.35">
      <c r="A327" s="49">
        <v>326</v>
      </c>
      <c r="B327" s="50">
        <v>40558</v>
      </c>
      <c r="C327" s="3">
        <v>1</v>
      </c>
      <c r="D327" s="3">
        <v>0</v>
      </c>
      <c r="E327" s="3" t="s">
        <v>104</v>
      </c>
      <c r="F327" s="3">
        <v>1</v>
      </c>
      <c r="G327" s="3" t="b">
        <v>0</v>
      </c>
      <c r="H327" s="3" t="s">
        <v>106</v>
      </c>
      <c r="I327" s="3" t="s">
        <v>114</v>
      </c>
      <c r="J327" s="3">
        <v>0.16</v>
      </c>
      <c r="K327" s="3">
        <v>0.19700000000000001</v>
      </c>
      <c r="L327" s="3">
        <v>0.59</v>
      </c>
      <c r="M327" s="3">
        <v>8.9599999999999999E-2</v>
      </c>
      <c r="N327" s="3">
        <v>2</v>
      </c>
      <c r="O327" s="3">
        <v>18</v>
      </c>
      <c r="P327" s="51">
        <v>20</v>
      </c>
    </row>
    <row r="328" spans="1:16" x14ac:dyDescent="0.35">
      <c r="A328" s="49">
        <v>327</v>
      </c>
      <c r="B328" s="50">
        <v>40558</v>
      </c>
      <c r="C328" s="3">
        <v>1</v>
      </c>
      <c r="D328" s="3">
        <v>0</v>
      </c>
      <c r="E328" s="3" t="s">
        <v>104</v>
      </c>
      <c r="F328" s="3">
        <v>2</v>
      </c>
      <c r="G328" s="3" t="b">
        <v>0</v>
      </c>
      <c r="H328" s="3" t="s">
        <v>106</v>
      </c>
      <c r="I328" s="3" t="s">
        <v>114</v>
      </c>
      <c r="J328" s="3">
        <v>0.16</v>
      </c>
      <c r="K328" s="3">
        <v>0.19700000000000001</v>
      </c>
      <c r="L328" s="3">
        <v>0.59</v>
      </c>
      <c r="M328" s="3">
        <v>8.9599999999999999E-2</v>
      </c>
      <c r="N328" s="3">
        <v>0</v>
      </c>
      <c r="O328" s="3">
        <v>12</v>
      </c>
      <c r="P328" s="51">
        <v>12</v>
      </c>
    </row>
    <row r="329" spans="1:16" x14ac:dyDescent="0.35">
      <c r="A329" s="49">
        <v>328</v>
      </c>
      <c r="B329" s="50">
        <v>40558</v>
      </c>
      <c r="C329" s="3">
        <v>1</v>
      </c>
      <c r="D329" s="3">
        <v>0</v>
      </c>
      <c r="E329" s="3" t="s">
        <v>104</v>
      </c>
      <c r="F329" s="3">
        <v>3</v>
      </c>
      <c r="G329" s="3" t="b">
        <v>0</v>
      </c>
      <c r="H329" s="3" t="s">
        <v>106</v>
      </c>
      <c r="I329" s="3" t="s">
        <v>114</v>
      </c>
      <c r="J329" s="3">
        <v>0.16</v>
      </c>
      <c r="K329" s="3">
        <v>0.2273</v>
      </c>
      <c r="L329" s="3">
        <v>0.59</v>
      </c>
      <c r="M329" s="3">
        <v>0</v>
      </c>
      <c r="N329" s="3">
        <v>1</v>
      </c>
      <c r="O329" s="3">
        <v>7</v>
      </c>
      <c r="P329" s="51">
        <v>8</v>
      </c>
    </row>
    <row r="330" spans="1:16" x14ac:dyDescent="0.35">
      <c r="A330" s="49">
        <v>329</v>
      </c>
      <c r="B330" s="50">
        <v>40558</v>
      </c>
      <c r="C330" s="3">
        <v>1</v>
      </c>
      <c r="D330" s="3">
        <v>0</v>
      </c>
      <c r="E330" s="3" t="s">
        <v>104</v>
      </c>
      <c r="F330" s="3">
        <v>4</v>
      </c>
      <c r="G330" s="3" t="b">
        <v>0</v>
      </c>
      <c r="H330" s="3" t="s">
        <v>106</v>
      </c>
      <c r="I330" s="3" t="s">
        <v>114</v>
      </c>
      <c r="J330" s="3">
        <v>0.16</v>
      </c>
      <c r="K330" s="3">
        <v>0.2273</v>
      </c>
      <c r="L330" s="3">
        <v>0.59</v>
      </c>
      <c r="M330" s="3">
        <v>0</v>
      </c>
      <c r="N330" s="3">
        <v>0</v>
      </c>
      <c r="O330" s="3">
        <v>5</v>
      </c>
      <c r="P330" s="51">
        <v>5</v>
      </c>
    </row>
    <row r="331" spans="1:16" x14ac:dyDescent="0.35">
      <c r="A331" s="49">
        <v>330</v>
      </c>
      <c r="B331" s="50">
        <v>40558</v>
      </c>
      <c r="C331" s="3">
        <v>1</v>
      </c>
      <c r="D331" s="3">
        <v>0</v>
      </c>
      <c r="E331" s="3" t="s">
        <v>104</v>
      </c>
      <c r="F331" s="3">
        <v>5</v>
      </c>
      <c r="G331" s="3" t="b">
        <v>0</v>
      </c>
      <c r="H331" s="3" t="s">
        <v>106</v>
      </c>
      <c r="I331" s="3" t="s">
        <v>113</v>
      </c>
      <c r="J331" s="3">
        <v>0.16</v>
      </c>
      <c r="K331" s="3">
        <v>0.2273</v>
      </c>
      <c r="L331" s="3">
        <v>0.59</v>
      </c>
      <c r="M331" s="3">
        <v>0</v>
      </c>
      <c r="N331" s="3">
        <v>0</v>
      </c>
      <c r="O331" s="3">
        <v>1</v>
      </c>
      <c r="P331" s="51">
        <v>1</v>
      </c>
    </row>
    <row r="332" spans="1:16" x14ac:dyDescent="0.35">
      <c r="A332" s="49">
        <v>331</v>
      </c>
      <c r="B332" s="50">
        <v>40558</v>
      </c>
      <c r="C332" s="3">
        <v>1</v>
      </c>
      <c r="D332" s="3">
        <v>0</v>
      </c>
      <c r="E332" s="3" t="s">
        <v>104</v>
      </c>
      <c r="F332" s="3">
        <v>6</v>
      </c>
      <c r="G332" s="3" t="b">
        <v>0</v>
      </c>
      <c r="H332" s="3" t="s">
        <v>106</v>
      </c>
      <c r="I332" s="3" t="s">
        <v>113</v>
      </c>
      <c r="J332" s="3">
        <v>0.14000000000000001</v>
      </c>
      <c r="K332" s="3">
        <v>0.16669999999999999</v>
      </c>
      <c r="L332" s="3">
        <v>0.63</v>
      </c>
      <c r="M332" s="3">
        <v>0.1045</v>
      </c>
      <c r="N332" s="3">
        <v>1</v>
      </c>
      <c r="O332" s="3">
        <v>2</v>
      </c>
      <c r="P332" s="51">
        <v>3</v>
      </c>
    </row>
    <row r="333" spans="1:16" x14ac:dyDescent="0.35">
      <c r="A333" s="49">
        <v>332</v>
      </c>
      <c r="B333" s="50">
        <v>40558</v>
      </c>
      <c r="C333" s="3">
        <v>1</v>
      </c>
      <c r="D333" s="3">
        <v>0</v>
      </c>
      <c r="E333" s="3" t="s">
        <v>104</v>
      </c>
      <c r="F333" s="3">
        <v>7</v>
      </c>
      <c r="G333" s="3" t="b">
        <v>0</v>
      </c>
      <c r="H333" s="3" t="s">
        <v>106</v>
      </c>
      <c r="I333" s="3" t="s">
        <v>113</v>
      </c>
      <c r="J333" s="3">
        <v>0.14000000000000001</v>
      </c>
      <c r="K333" s="3">
        <v>0.21210000000000001</v>
      </c>
      <c r="L333" s="3">
        <v>0.63</v>
      </c>
      <c r="M333" s="3">
        <v>0</v>
      </c>
      <c r="N333" s="3">
        <v>1</v>
      </c>
      <c r="O333" s="3">
        <v>9</v>
      </c>
      <c r="P333" s="51">
        <v>10</v>
      </c>
    </row>
    <row r="334" spans="1:16" x14ac:dyDescent="0.35">
      <c r="A334" s="49">
        <v>333</v>
      </c>
      <c r="B334" s="50">
        <v>40558</v>
      </c>
      <c r="C334" s="3">
        <v>1</v>
      </c>
      <c r="D334" s="3">
        <v>0</v>
      </c>
      <c r="E334" s="3" t="s">
        <v>104</v>
      </c>
      <c r="F334" s="3">
        <v>8</v>
      </c>
      <c r="G334" s="3" t="b">
        <v>0</v>
      </c>
      <c r="H334" s="3" t="s">
        <v>106</v>
      </c>
      <c r="I334" s="3" t="s">
        <v>113</v>
      </c>
      <c r="J334" s="3">
        <v>0.14000000000000001</v>
      </c>
      <c r="K334" s="3">
        <v>0.1515</v>
      </c>
      <c r="L334" s="3">
        <v>0.63</v>
      </c>
      <c r="M334" s="3">
        <v>0.1343</v>
      </c>
      <c r="N334" s="3">
        <v>1</v>
      </c>
      <c r="O334" s="3">
        <v>22</v>
      </c>
      <c r="P334" s="51">
        <v>23</v>
      </c>
    </row>
    <row r="335" spans="1:16" x14ac:dyDescent="0.35">
      <c r="A335" s="49">
        <v>334</v>
      </c>
      <c r="B335" s="50">
        <v>40558</v>
      </c>
      <c r="C335" s="3">
        <v>1</v>
      </c>
      <c r="D335" s="3">
        <v>0</v>
      </c>
      <c r="E335" s="3" t="s">
        <v>104</v>
      </c>
      <c r="F335" s="3">
        <v>9</v>
      </c>
      <c r="G335" s="3" t="b">
        <v>0</v>
      </c>
      <c r="H335" s="3" t="s">
        <v>106</v>
      </c>
      <c r="I335" s="3" t="s">
        <v>113</v>
      </c>
      <c r="J335" s="3">
        <v>0.16</v>
      </c>
      <c r="K335" s="3">
        <v>0.18179999999999999</v>
      </c>
      <c r="L335" s="3">
        <v>0.64</v>
      </c>
      <c r="M335" s="3">
        <v>0.1343</v>
      </c>
      <c r="N335" s="3">
        <v>2</v>
      </c>
      <c r="O335" s="3">
        <v>31</v>
      </c>
      <c r="P335" s="51">
        <v>33</v>
      </c>
    </row>
    <row r="336" spans="1:16" x14ac:dyDescent="0.35">
      <c r="A336" s="49">
        <v>335</v>
      </c>
      <c r="B336" s="50">
        <v>40558</v>
      </c>
      <c r="C336" s="3">
        <v>1</v>
      </c>
      <c r="D336" s="3">
        <v>0</v>
      </c>
      <c r="E336" s="3" t="s">
        <v>104</v>
      </c>
      <c r="F336" s="3">
        <v>10</v>
      </c>
      <c r="G336" s="3" t="b">
        <v>0</v>
      </c>
      <c r="H336" s="3" t="s">
        <v>106</v>
      </c>
      <c r="I336" s="3" t="s">
        <v>113</v>
      </c>
      <c r="J336" s="3">
        <v>0.18</v>
      </c>
      <c r="K336" s="3">
        <v>0.19700000000000001</v>
      </c>
      <c r="L336" s="3">
        <v>0.59</v>
      </c>
      <c r="M336" s="3">
        <v>0.16420000000000001</v>
      </c>
      <c r="N336" s="3">
        <v>2</v>
      </c>
      <c r="O336" s="3">
        <v>57</v>
      </c>
      <c r="P336" s="51">
        <v>59</v>
      </c>
    </row>
    <row r="337" spans="1:16" x14ac:dyDescent="0.35">
      <c r="A337" s="49">
        <v>336</v>
      </c>
      <c r="B337" s="50">
        <v>40558</v>
      </c>
      <c r="C337" s="3">
        <v>1</v>
      </c>
      <c r="D337" s="3">
        <v>0</v>
      </c>
      <c r="E337" s="3" t="s">
        <v>104</v>
      </c>
      <c r="F337" s="3">
        <v>11</v>
      </c>
      <c r="G337" s="3" t="b">
        <v>0</v>
      </c>
      <c r="H337" s="3" t="s">
        <v>106</v>
      </c>
      <c r="I337" s="3" t="s">
        <v>113</v>
      </c>
      <c r="J337" s="3">
        <v>0.2</v>
      </c>
      <c r="K337" s="3">
        <v>0.19700000000000001</v>
      </c>
      <c r="L337" s="3">
        <v>0.55000000000000004</v>
      </c>
      <c r="M337" s="3">
        <v>0.22389999999999999</v>
      </c>
      <c r="N337" s="3">
        <v>18</v>
      </c>
      <c r="O337" s="3">
        <v>54</v>
      </c>
      <c r="P337" s="51">
        <v>72</v>
      </c>
    </row>
    <row r="338" spans="1:16" x14ac:dyDescent="0.35">
      <c r="A338" s="49">
        <v>337</v>
      </c>
      <c r="B338" s="50">
        <v>40558</v>
      </c>
      <c r="C338" s="3">
        <v>1</v>
      </c>
      <c r="D338" s="3">
        <v>0</v>
      </c>
      <c r="E338" s="3" t="s">
        <v>104</v>
      </c>
      <c r="F338" s="3">
        <v>12</v>
      </c>
      <c r="G338" s="3" t="b">
        <v>0</v>
      </c>
      <c r="H338" s="3" t="s">
        <v>106</v>
      </c>
      <c r="I338" s="3" t="s">
        <v>113</v>
      </c>
      <c r="J338" s="3">
        <v>0.24</v>
      </c>
      <c r="K338" s="3">
        <v>0.2273</v>
      </c>
      <c r="L338" s="3">
        <v>0.48</v>
      </c>
      <c r="M338" s="3">
        <v>0.22389999999999999</v>
      </c>
      <c r="N338" s="3">
        <v>15</v>
      </c>
      <c r="O338" s="3">
        <v>74</v>
      </c>
      <c r="P338" s="51">
        <v>89</v>
      </c>
    </row>
    <row r="339" spans="1:16" x14ac:dyDescent="0.35">
      <c r="A339" s="49">
        <v>338</v>
      </c>
      <c r="B339" s="50">
        <v>40558</v>
      </c>
      <c r="C339" s="3">
        <v>1</v>
      </c>
      <c r="D339" s="3">
        <v>0</v>
      </c>
      <c r="E339" s="3" t="s">
        <v>104</v>
      </c>
      <c r="F339" s="3">
        <v>13</v>
      </c>
      <c r="G339" s="3" t="b">
        <v>0</v>
      </c>
      <c r="H339" s="3" t="s">
        <v>106</v>
      </c>
      <c r="I339" s="3" t="s">
        <v>113</v>
      </c>
      <c r="J339" s="3">
        <v>0.28000000000000003</v>
      </c>
      <c r="K339" s="3">
        <v>0.2576</v>
      </c>
      <c r="L339" s="3">
        <v>0.38</v>
      </c>
      <c r="M339" s="3">
        <v>0.29849999999999999</v>
      </c>
      <c r="N339" s="3">
        <v>21</v>
      </c>
      <c r="O339" s="3">
        <v>80</v>
      </c>
      <c r="P339" s="51">
        <v>101</v>
      </c>
    </row>
    <row r="340" spans="1:16" x14ac:dyDescent="0.35">
      <c r="A340" s="49">
        <v>339</v>
      </c>
      <c r="B340" s="50">
        <v>40558</v>
      </c>
      <c r="C340" s="3">
        <v>1</v>
      </c>
      <c r="D340" s="3">
        <v>0</v>
      </c>
      <c r="E340" s="3" t="s">
        <v>104</v>
      </c>
      <c r="F340" s="3">
        <v>14</v>
      </c>
      <c r="G340" s="3" t="b">
        <v>0</v>
      </c>
      <c r="H340" s="3" t="s">
        <v>106</v>
      </c>
      <c r="I340" s="3" t="s">
        <v>113</v>
      </c>
      <c r="J340" s="3">
        <v>0.3</v>
      </c>
      <c r="K340" s="3">
        <v>0.28789999999999999</v>
      </c>
      <c r="L340" s="3">
        <v>0.39</v>
      </c>
      <c r="M340" s="3">
        <v>0.28360000000000002</v>
      </c>
      <c r="N340" s="3">
        <v>26</v>
      </c>
      <c r="O340" s="3">
        <v>92</v>
      </c>
      <c r="P340" s="51">
        <v>118</v>
      </c>
    </row>
    <row r="341" spans="1:16" x14ac:dyDescent="0.35">
      <c r="A341" s="49">
        <v>340</v>
      </c>
      <c r="B341" s="50">
        <v>40558</v>
      </c>
      <c r="C341" s="3">
        <v>1</v>
      </c>
      <c r="D341" s="3">
        <v>0</v>
      </c>
      <c r="E341" s="3" t="s">
        <v>104</v>
      </c>
      <c r="F341" s="3">
        <v>15</v>
      </c>
      <c r="G341" s="3" t="b">
        <v>0</v>
      </c>
      <c r="H341" s="3" t="s">
        <v>106</v>
      </c>
      <c r="I341" s="3" t="s">
        <v>114</v>
      </c>
      <c r="J341" s="3">
        <v>0.32</v>
      </c>
      <c r="K341" s="3">
        <v>0.31819999999999998</v>
      </c>
      <c r="L341" s="3">
        <v>0.36</v>
      </c>
      <c r="M341" s="3">
        <v>0.19400000000000001</v>
      </c>
      <c r="N341" s="3">
        <v>21</v>
      </c>
      <c r="O341" s="3">
        <v>108</v>
      </c>
      <c r="P341" s="51">
        <v>129</v>
      </c>
    </row>
    <row r="342" spans="1:16" x14ac:dyDescent="0.35">
      <c r="A342" s="49">
        <v>341</v>
      </c>
      <c r="B342" s="50">
        <v>40558</v>
      </c>
      <c r="C342" s="3">
        <v>1</v>
      </c>
      <c r="D342" s="3">
        <v>0</v>
      </c>
      <c r="E342" s="3" t="s">
        <v>104</v>
      </c>
      <c r="F342" s="3">
        <v>16</v>
      </c>
      <c r="G342" s="3" t="b">
        <v>0</v>
      </c>
      <c r="H342" s="3" t="s">
        <v>106</v>
      </c>
      <c r="I342" s="3" t="s">
        <v>114</v>
      </c>
      <c r="J342" s="3">
        <v>0.34</v>
      </c>
      <c r="K342" s="3">
        <v>0.33329999999999999</v>
      </c>
      <c r="L342" s="3">
        <v>0.34</v>
      </c>
      <c r="M342" s="3">
        <v>0.19400000000000001</v>
      </c>
      <c r="N342" s="3">
        <v>33</v>
      </c>
      <c r="O342" s="3">
        <v>95</v>
      </c>
      <c r="P342" s="51">
        <v>128</v>
      </c>
    </row>
    <row r="343" spans="1:16" x14ac:dyDescent="0.35">
      <c r="A343" s="49">
        <v>342</v>
      </c>
      <c r="B343" s="50">
        <v>40558</v>
      </c>
      <c r="C343" s="3">
        <v>1</v>
      </c>
      <c r="D343" s="3">
        <v>0</v>
      </c>
      <c r="E343" s="3" t="s">
        <v>104</v>
      </c>
      <c r="F343" s="3">
        <v>17</v>
      </c>
      <c r="G343" s="3" t="b">
        <v>0</v>
      </c>
      <c r="H343" s="3" t="s">
        <v>106</v>
      </c>
      <c r="I343" s="3" t="s">
        <v>114</v>
      </c>
      <c r="J343" s="3">
        <v>0.32</v>
      </c>
      <c r="K343" s="3">
        <v>0.30299999999999999</v>
      </c>
      <c r="L343" s="3">
        <v>0.36</v>
      </c>
      <c r="M343" s="3">
        <v>0.28360000000000002</v>
      </c>
      <c r="N343" s="3">
        <v>29</v>
      </c>
      <c r="O343" s="3">
        <v>54</v>
      </c>
      <c r="P343" s="51">
        <v>83</v>
      </c>
    </row>
    <row r="344" spans="1:16" x14ac:dyDescent="0.35">
      <c r="A344" s="49">
        <v>343</v>
      </c>
      <c r="B344" s="50">
        <v>40558</v>
      </c>
      <c r="C344" s="3">
        <v>1</v>
      </c>
      <c r="D344" s="3">
        <v>0</v>
      </c>
      <c r="E344" s="3" t="s">
        <v>104</v>
      </c>
      <c r="F344" s="3">
        <v>18</v>
      </c>
      <c r="G344" s="3" t="b">
        <v>0</v>
      </c>
      <c r="H344" s="3" t="s">
        <v>106</v>
      </c>
      <c r="I344" s="3" t="s">
        <v>114</v>
      </c>
      <c r="J344" s="3">
        <v>0.3</v>
      </c>
      <c r="K344" s="3">
        <v>0.28789999999999999</v>
      </c>
      <c r="L344" s="3">
        <v>0.45</v>
      </c>
      <c r="M344" s="3">
        <v>0.25369999999999998</v>
      </c>
      <c r="N344" s="3">
        <v>15</v>
      </c>
      <c r="O344" s="3">
        <v>69</v>
      </c>
      <c r="P344" s="51">
        <v>84</v>
      </c>
    </row>
    <row r="345" spans="1:16" x14ac:dyDescent="0.35">
      <c r="A345" s="49">
        <v>344</v>
      </c>
      <c r="B345" s="50">
        <v>40558</v>
      </c>
      <c r="C345" s="3">
        <v>1</v>
      </c>
      <c r="D345" s="3">
        <v>0</v>
      </c>
      <c r="E345" s="3" t="s">
        <v>104</v>
      </c>
      <c r="F345" s="3">
        <v>19</v>
      </c>
      <c r="G345" s="3" t="b">
        <v>0</v>
      </c>
      <c r="H345" s="3" t="s">
        <v>106</v>
      </c>
      <c r="I345" s="3" t="s">
        <v>114</v>
      </c>
      <c r="J345" s="3">
        <v>0.32</v>
      </c>
      <c r="K345" s="3">
        <v>0.30299999999999999</v>
      </c>
      <c r="L345" s="3">
        <v>0.39</v>
      </c>
      <c r="M345" s="3">
        <v>0.25369999999999998</v>
      </c>
      <c r="N345" s="3">
        <v>14</v>
      </c>
      <c r="O345" s="3">
        <v>60</v>
      </c>
      <c r="P345" s="51">
        <v>74</v>
      </c>
    </row>
    <row r="346" spans="1:16" x14ac:dyDescent="0.35">
      <c r="A346" s="49">
        <v>345</v>
      </c>
      <c r="B346" s="50">
        <v>40558</v>
      </c>
      <c r="C346" s="3">
        <v>1</v>
      </c>
      <c r="D346" s="3">
        <v>0</v>
      </c>
      <c r="E346" s="3" t="s">
        <v>104</v>
      </c>
      <c r="F346" s="3">
        <v>20</v>
      </c>
      <c r="G346" s="3" t="b">
        <v>0</v>
      </c>
      <c r="H346" s="3" t="s">
        <v>106</v>
      </c>
      <c r="I346" s="3" t="s">
        <v>114</v>
      </c>
      <c r="J346" s="3">
        <v>0.32</v>
      </c>
      <c r="K346" s="3">
        <v>0.30299999999999999</v>
      </c>
      <c r="L346" s="3">
        <v>0.39</v>
      </c>
      <c r="M346" s="3">
        <v>0.25369999999999998</v>
      </c>
      <c r="N346" s="3">
        <v>6</v>
      </c>
      <c r="O346" s="3">
        <v>35</v>
      </c>
      <c r="P346" s="51">
        <v>41</v>
      </c>
    </row>
    <row r="347" spans="1:16" x14ac:dyDescent="0.35">
      <c r="A347" s="49">
        <v>346</v>
      </c>
      <c r="B347" s="50">
        <v>40558</v>
      </c>
      <c r="C347" s="3">
        <v>1</v>
      </c>
      <c r="D347" s="3">
        <v>0</v>
      </c>
      <c r="E347" s="3" t="s">
        <v>104</v>
      </c>
      <c r="F347" s="3">
        <v>21</v>
      </c>
      <c r="G347" s="3" t="b">
        <v>0</v>
      </c>
      <c r="H347" s="3" t="s">
        <v>106</v>
      </c>
      <c r="I347" s="3" t="s">
        <v>114</v>
      </c>
      <c r="J347" s="3">
        <v>0.32</v>
      </c>
      <c r="K347" s="3">
        <v>0.30299999999999999</v>
      </c>
      <c r="L347" s="3">
        <v>0.39</v>
      </c>
      <c r="M347" s="3">
        <v>0.22389999999999999</v>
      </c>
      <c r="N347" s="3">
        <v>6</v>
      </c>
      <c r="O347" s="3">
        <v>51</v>
      </c>
      <c r="P347" s="51">
        <v>57</v>
      </c>
    </row>
    <row r="348" spans="1:16" x14ac:dyDescent="0.35">
      <c r="A348" s="49">
        <v>347</v>
      </c>
      <c r="B348" s="50">
        <v>40558</v>
      </c>
      <c r="C348" s="3">
        <v>1</v>
      </c>
      <c r="D348" s="3">
        <v>0</v>
      </c>
      <c r="E348" s="3" t="s">
        <v>104</v>
      </c>
      <c r="F348" s="3">
        <v>22</v>
      </c>
      <c r="G348" s="3" t="b">
        <v>0</v>
      </c>
      <c r="H348" s="3" t="s">
        <v>106</v>
      </c>
      <c r="I348" s="3" t="s">
        <v>114</v>
      </c>
      <c r="J348" s="3">
        <v>0.3</v>
      </c>
      <c r="K348" s="3">
        <v>0.31819999999999998</v>
      </c>
      <c r="L348" s="3">
        <v>0.42</v>
      </c>
      <c r="M348" s="3">
        <v>0.1045</v>
      </c>
      <c r="N348" s="3">
        <v>0</v>
      </c>
      <c r="O348" s="3">
        <v>26</v>
      </c>
      <c r="P348" s="51">
        <v>26</v>
      </c>
    </row>
    <row r="349" spans="1:16" x14ac:dyDescent="0.35">
      <c r="A349" s="49">
        <v>348</v>
      </c>
      <c r="B349" s="50">
        <v>40558</v>
      </c>
      <c r="C349" s="3">
        <v>1</v>
      </c>
      <c r="D349" s="3">
        <v>0</v>
      </c>
      <c r="E349" s="3" t="s">
        <v>104</v>
      </c>
      <c r="F349" s="3">
        <v>23</v>
      </c>
      <c r="G349" s="3" t="b">
        <v>0</v>
      </c>
      <c r="H349" s="3" t="s">
        <v>106</v>
      </c>
      <c r="I349" s="3" t="s">
        <v>113</v>
      </c>
      <c r="J349" s="3">
        <v>0.3</v>
      </c>
      <c r="K349" s="3">
        <v>0.28789999999999999</v>
      </c>
      <c r="L349" s="3">
        <v>0.45</v>
      </c>
      <c r="M349" s="3">
        <v>0.28360000000000002</v>
      </c>
      <c r="N349" s="3">
        <v>5</v>
      </c>
      <c r="O349" s="3">
        <v>39</v>
      </c>
      <c r="P349" s="51">
        <v>44</v>
      </c>
    </row>
    <row r="350" spans="1:16" x14ac:dyDescent="0.35">
      <c r="A350" s="49">
        <v>349</v>
      </c>
      <c r="B350" s="50">
        <v>40559</v>
      </c>
      <c r="C350" s="3">
        <v>1</v>
      </c>
      <c r="D350" s="3">
        <v>0</v>
      </c>
      <c r="E350" s="3" t="s">
        <v>104</v>
      </c>
      <c r="F350" s="3">
        <v>0</v>
      </c>
      <c r="G350" s="3" t="b">
        <v>0</v>
      </c>
      <c r="H350" s="3" t="s">
        <v>107</v>
      </c>
      <c r="I350" s="3" t="s">
        <v>113</v>
      </c>
      <c r="J350" s="3">
        <v>0.26</v>
      </c>
      <c r="K350" s="3">
        <v>0.30299999999999999</v>
      </c>
      <c r="L350" s="3">
        <v>0.56000000000000005</v>
      </c>
      <c r="M350" s="3">
        <v>0</v>
      </c>
      <c r="N350" s="3">
        <v>6</v>
      </c>
      <c r="O350" s="3">
        <v>33</v>
      </c>
      <c r="P350" s="51">
        <v>39</v>
      </c>
    </row>
    <row r="351" spans="1:16" x14ac:dyDescent="0.35">
      <c r="A351" s="49">
        <v>350</v>
      </c>
      <c r="B351" s="50">
        <v>40559</v>
      </c>
      <c r="C351" s="3">
        <v>1</v>
      </c>
      <c r="D351" s="3">
        <v>0</v>
      </c>
      <c r="E351" s="3" t="s">
        <v>104</v>
      </c>
      <c r="F351" s="3">
        <v>1</v>
      </c>
      <c r="G351" s="3" t="b">
        <v>0</v>
      </c>
      <c r="H351" s="3" t="s">
        <v>107</v>
      </c>
      <c r="I351" s="3" t="s">
        <v>113</v>
      </c>
      <c r="J351" s="3">
        <v>0.26</v>
      </c>
      <c r="K351" s="3">
        <v>0.2727</v>
      </c>
      <c r="L351" s="3">
        <v>0.56000000000000005</v>
      </c>
      <c r="M351" s="3">
        <v>0.1343</v>
      </c>
      <c r="N351" s="3">
        <v>4</v>
      </c>
      <c r="O351" s="3">
        <v>19</v>
      </c>
      <c r="P351" s="51">
        <v>23</v>
      </c>
    </row>
    <row r="352" spans="1:16" x14ac:dyDescent="0.35">
      <c r="A352" s="49">
        <v>351</v>
      </c>
      <c r="B352" s="50">
        <v>40559</v>
      </c>
      <c r="C352" s="3">
        <v>1</v>
      </c>
      <c r="D352" s="3">
        <v>0</v>
      </c>
      <c r="E352" s="3" t="s">
        <v>104</v>
      </c>
      <c r="F352" s="3">
        <v>2</v>
      </c>
      <c r="G352" s="3" t="b">
        <v>0</v>
      </c>
      <c r="H352" s="3" t="s">
        <v>107</v>
      </c>
      <c r="I352" s="3" t="s">
        <v>113</v>
      </c>
      <c r="J352" s="3">
        <v>0.26</v>
      </c>
      <c r="K352" s="3">
        <v>0.28789999999999999</v>
      </c>
      <c r="L352" s="3">
        <v>0.56000000000000005</v>
      </c>
      <c r="M352" s="3">
        <v>8.9599999999999999E-2</v>
      </c>
      <c r="N352" s="3">
        <v>3</v>
      </c>
      <c r="O352" s="3">
        <v>13</v>
      </c>
      <c r="P352" s="51">
        <v>16</v>
      </c>
    </row>
    <row r="353" spans="1:16" x14ac:dyDescent="0.35">
      <c r="A353" s="49">
        <v>352</v>
      </c>
      <c r="B353" s="50">
        <v>40559</v>
      </c>
      <c r="C353" s="3">
        <v>1</v>
      </c>
      <c r="D353" s="3">
        <v>0</v>
      </c>
      <c r="E353" s="3" t="s">
        <v>104</v>
      </c>
      <c r="F353" s="3">
        <v>3</v>
      </c>
      <c r="G353" s="3" t="b">
        <v>0</v>
      </c>
      <c r="H353" s="3" t="s">
        <v>107</v>
      </c>
      <c r="I353" s="3" t="s">
        <v>113</v>
      </c>
      <c r="J353" s="3">
        <v>0.22</v>
      </c>
      <c r="K353" s="3">
        <v>0.2727</v>
      </c>
      <c r="L353" s="3">
        <v>0.69</v>
      </c>
      <c r="M353" s="3">
        <v>0</v>
      </c>
      <c r="N353" s="3">
        <v>9</v>
      </c>
      <c r="O353" s="3">
        <v>6</v>
      </c>
      <c r="P353" s="51">
        <v>15</v>
      </c>
    </row>
    <row r="354" spans="1:16" x14ac:dyDescent="0.35">
      <c r="A354" s="49">
        <v>353</v>
      </c>
      <c r="B354" s="50">
        <v>40559</v>
      </c>
      <c r="C354" s="3">
        <v>1</v>
      </c>
      <c r="D354" s="3">
        <v>0</v>
      </c>
      <c r="E354" s="3" t="s">
        <v>104</v>
      </c>
      <c r="F354" s="3">
        <v>4</v>
      </c>
      <c r="G354" s="3" t="b">
        <v>0</v>
      </c>
      <c r="H354" s="3" t="s">
        <v>107</v>
      </c>
      <c r="I354" s="3" t="s">
        <v>113</v>
      </c>
      <c r="J354" s="3">
        <v>0.26</v>
      </c>
      <c r="K354" s="3">
        <v>0.2576</v>
      </c>
      <c r="L354" s="3">
        <v>0.56000000000000005</v>
      </c>
      <c r="M354" s="3">
        <v>0.16420000000000001</v>
      </c>
      <c r="N354" s="3">
        <v>0</v>
      </c>
      <c r="O354" s="3">
        <v>1</v>
      </c>
      <c r="P354" s="51">
        <v>1</v>
      </c>
    </row>
    <row r="355" spans="1:16" x14ac:dyDescent="0.35">
      <c r="A355" s="49">
        <v>354</v>
      </c>
      <c r="B355" s="50">
        <v>40559</v>
      </c>
      <c r="C355" s="3">
        <v>1</v>
      </c>
      <c r="D355" s="3">
        <v>0</v>
      </c>
      <c r="E355" s="3" t="s">
        <v>104</v>
      </c>
      <c r="F355" s="3">
        <v>5</v>
      </c>
      <c r="G355" s="3" t="b">
        <v>0</v>
      </c>
      <c r="H355" s="3" t="s">
        <v>107</v>
      </c>
      <c r="I355" s="3" t="s">
        <v>114</v>
      </c>
      <c r="J355" s="3">
        <v>0.26</v>
      </c>
      <c r="K355" s="3">
        <v>0.2576</v>
      </c>
      <c r="L355" s="3">
        <v>0.56000000000000005</v>
      </c>
      <c r="M355" s="3">
        <v>0.16420000000000001</v>
      </c>
      <c r="N355" s="3">
        <v>1</v>
      </c>
      <c r="O355" s="3">
        <v>1</v>
      </c>
      <c r="P355" s="51">
        <v>2</v>
      </c>
    </row>
    <row r="356" spans="1:16" x14ac:dyDescent="0.35">
      <c r="A356" s="49">
        <v>355</v>
      </c>
      <c r="B356" s="50">
        <v>40559</v>
      </c>
      <c r="C356" s="3">
        <v>1</v>
      </c>
      <c r="D356" s="3">
        <v>0</v>
      </c>
      <c r="E356" s="3" t="s">
        <v>104</v>
      </c>
      <c r="F356" s="3">
        <v>6</v>
      </c>
      <c r="G356" s="3" t="b">
        <v>0</v>
      </c>
      <c r="H356" s="3" t="s">
        <v>107</v>
      </c>
      <c r="I356" s="3" t="s">
        <v>114</v>
      </c>
      <c r="J356" s="3">
        <v>0.26</v>
      </c>
      <c r="K356" s="3">
        <v>0.2576</v>
      </c>
      <c r="L356" s="3">
        <v>0.56000000000000005</v>
      </c>
      <c r="M356" s="3">
        <v>0.16420000000000001</v>
      </c>
      <c r="N356" s="3">
        <v>0</v>
      </c>
      <c r="O356" s="3">
        <v>1</v>
      </c>
      <c r="P356" s="51">
        <v>1</v>
      </c>
    </row>
    <row r="357" spans="1:16" x14ac:dyDescent="0.35">
      <c r="A357" s="49">
        <v>356</v>
      </c>
      <c r="B357" s="50">
        <v>40559</v>
      </c>
      <c r="C357" s="3">
        <v>1</v>
      </c>
      <c r="D357" s="3">
        <v>0</v>
      </c>
      <c r="E357" s="3" t="s">
        <v>104</v>
      </c>
      <c r="F357" s="3">
        <v>7</v>
      </c>
      <c r="G357" s="3" t="b">
        <v>0</v>
      </c>
      <c r="H357" s="3" t="s">
        <v>107</v>
      </c>
      <c r="I357" s="3" t="s">
        <v>114</v>
      </c>
      <c r="J357" s="3">
        <v>0.24</v>
      </c>
      <c r="K357" s="3">
        <v>0.21210000000000001</v>
      </c>
      <c r="L357" s="3">
        <v>0.56000000000000005</v>
      </c>
      <c r="M357" s="3">
        <v>0.29849999999999999</v>
      </c>
      <c r="N357" s="3">
        <v>0</v>
      </c>
      <c r="O357" s="3">
        <v>3</v>
      </c>
      <c r="P357" s="51">
        <v>3</v>
      </c>
    </row>
    <row r="358" spans="1:16" x14ac:dyDescent="0.35">
      <c r="A358" s="49">
        <v>357</v>
      </c>
      <c r="B358" s="50">
        <v>40559</v>
      </c>
      <c r="C358" s="3">
        <v>1</v>
      </c>
      <c r="D358" s="3">
        <v>0</v>
      </c>
      <c r="E358" s="3" t="s">
        <v>104</v>
      </c>
      <c r="F358" s="3">
        <v>8</v>
      </c>
      <c r="G358" s="3" t="b">
        <v>0</v>
      </c>
      <c r="H358" s="3" t="s">
        <v>107</v>
      </c>
      <c r="I358" s="3" t="s">
        <v>113</v>
      </c>
      <c r="J358" s="3">
        <v>0.22</v>
      </c>
      <c r="K358" s="3">
        <v>0.21210000000000001</v>
      </c>
      <c r="L358" s="3">
        <v>0.55000000000000004</v>
      </c>
      <c r="M358" s="3">
        <v>0.28360000000000002</v>
      </c>
      <c r="N358" s="3">
        <v>0</v>
      </c>
      <c r="O358" s="3">
        <v>18</v>
      </c>
      <c r="P358" s="51">
        <v>18</v>
      </c>
    </row>
    <row r="359" spans="1:16" x14ac:dyDescent="0.35">
      <c r="A359" s="49">
        <v>358</v>
      </c>
      <c r="B359" s="50">
        <v>40559</v>
      </c>
      <c r="C359" s="3">
        <v>1</v>
      </c>
      <c r="D359" s="3">
        <v>0</v>
      </c>
      <c r="E359" s="3" t="s">
        <v>104</v>
      </c>
      <c r="F359" s="3">
        <v>9</v>
      </c>
      <c r="G359" s="3" t="b">
        <v>0</v>
      </c>
      <c r="H359" s="3" t="s">
        <v>107</v>
      </c>
      <c r="I359" s="3" t="s">
        <v>113</v>
      </c>
      <c r="J359" s="3">
        <v>0.22</v>
      </c>
      <c r="K359" s="3">
        <v>0.21210000000000001</v>
      </c>
      <c r="L359" s="3">
        <v>0.51</v>
      </c>
      <c r="M359" s="3">
        <v>0.25369999999999998</v>
      </c>
      <c r="N359" s="3">
        <v>3</v>
      </c>
      <c r="O359" s="3">
        <v>29</v>
      </c>
      <c r="P359" s="51">
        <v>32</v>
      </c>
    </row>
    <row r="360" spans="1:16" x14ac:dyDescent="0.35">
      <c r="A360" s="49">
        <v>359</v>
      </c>
      <c r="B360" s="50">
        <v>40559</v>
      </c>
      <c r="C360" s="3">
        <v>1</v>
      </c>
      <c r="D360" s="3">
        <v>0</v>
      </c>
      <c r="E360" s="3" t="s">
        <v>104</v>
      </c>
      <c r="F360" s="3">
        <v>10</v>
      </c>
      <c r="G360" s="3" t="b">
        <v>0</v>
      </c>
      <c r="H360" s="3" t="s">
        <v>107</v>
      </c>
      <c r="I360" s="3" t="s">
        <v>113</v>
      </c>
      <c r="J360" s="3">
        <v>0.22</v>
      </c>
      <c r="K360" s="3">
        <v>0.21210000000000001</v>
      </c>
      <c r="L360" s="3">
        <v>0.51</v>
      </c>
      <c r="M360" s="3">
        <v>0.28360000000000002</v>
      </c>
      <c r="N360" s="3">
        <v>8</v>
      </c>
      <c r="O360" s="3">
        <v>71</v>
      </c>
      <c r="P360" s="51">
        <v>79</v>
      </c>
    </row>
    <row r="361" spans="1:16" x14ac:dyDescent="0.35">
      <c r="A361" s="49">
        <v>360</v>
      </c>
      <c r="B361" s="50">
        <v>40559</v>
      </c>
      <c r="C361" s="3">
        <v>1</v>
      </c>
      <c r="D361" s="3">
        <v>0</v>
      </c>
      <c r="E361" s="3" t="s">
        <v>104</v>
      </c>
      <c r="F361" s="3">
        <v>11</v>
      </c>
      <c r="G361" s="3" t="b">
        <v>0</v>
      </c>
      <c r="H361" s="3" t="s">
        <v>107</v>
      </c>
      <c r="I361" s="3" t="s">
        <v>113</v>
      </c>
      <c r="J361" s="3">
        <v>0.24</v>
      </c>
      <c r="K361" s="3">
        <v>0.2273</v>
      </c>
      <c r="L361" s="3">
        <v>0.44</v>
      </c>
      <c r="M361" s="3">
        <v>0.25369999999999998</v>
      </c>
      <c r="N361" s="3">
        <v>23</v>
      </c>
      <c r="O361" s="3">
        <v>70</v>
      </c>
      <c r="P361" s="51">
        <v>93</v>
      </c>
    </row>
    <row r="362" spans="1:16" x14ac:dyDescent="0.35">
      <c r="A362" s="49">
        <v>361</v>
      </c>
      <c r="B362" s="50">
        <v>40559</v>
      </c>
      <c r="C362" s="3">
        <v>1</v>
      </c>
      <c r="D362" s="3">
        <v>0</v>
      </c>
      <c r="E362" s="3" t="s">
        <v>104</v>
      </c>
      <c r="F362" s="3">
        <v>12</v>
      </c>
      <c r="G362" s="3" t="b">
        <v>0</v>
      </c>
      <c r="H362" s="3" t="s">
        <v>107</v>
      </c>
      <c r="I362" s="3" t="s">
        <v>113</v>
      </c>
      <c r="J362" s="3">
        <v>0.24</v>
      </c>
      <c r="K362" s="3">
        <v>0.21210000000000001</v>
      </c>
      <c r="L362" s="3">
        <v>0.41</v>
      </c>
      <c r="M362" s="3">
        <v>0.28360000000000002</v>
      </c>
      <c r="N362" s="3">
        <v>29</v>
      </c>
      <c r="O362" s="3">
        <v>75</v>
      </c>
      <c r="P362" s="51">
        <v>104</v>
      </c>
    </row>
    <row r="363" spans="1:16" x14ac:dyDescent="0.35">
      <c r="A363" s="49">
        <v>362</v>
      </c>
      <c r="B363" s="50">
        <v>40559</v>
      </c>
      <c r="C363" s="3">
        <v>1</v>
      </c>
      <c r="D363" s="3">
        <v>0</v>
      </c>
      <c r="E363" s="3" t="s">
        <v>104</v>
      </c>
      <c r="F363" s="3">
        <v>13</v>
      </c>
      <c r="G363" s="3" t="b">
        <v>0</v>
      </c>
      <c r="H363" s="3" t="s">
        <v>107</v>
      </c>
      <c r="I363" s="3" t="s">
        <v>113</v>
      </c>
      <c r="J363" s="3">
        <v>0.26</v>
      </c>
      <c r="K363" s="3">
        <v>0.2273</v>
      </c>
      <c r="L363" s="3">
        <v>0.35</v>
      </c>
      <c r="M363" s="3">
        <v>0.29849999999999999</v>
      </c>
      <c r="N363" s="3">
        <v>23</v>
      </c>
      <c r="O363" s="3">
        <v>95</v>
      </c>
      <c r="P363" s="51">
        <v>118</v>
      </c>
    </row>
    <row r="364" spans="1:16" x14ac:dyDescent="0.35">
      <c r="A364" s="49">
        <v>363</v>
      </c>
      <c r="B364" s="50">
        <v>40559</v>
      </c>
      <c r="C364" s="3">
        <v>1</v>
      </c>
      <c r="D364" s="3">
        <v>0</v>
      </c>
      <c r="E364" s="3" t="s">
        <v>104</v>
      </c>
      <c r="F364" s="3">
        <v>14</v>
      </c>
      <c r="G364" s="3" t="b">
        <v>0</v>
      </c>
      <c r="H364" s="3" t="s">
        <v>107</v>
      </c>
      <c r="I364" s="3" t="s">
        <v>113</v>
      </c>
      <c r="J364" s="3">
        <v>0.28000000000000003</v>
      </c>
      <c r="K364" s="3">
        <v>0.2727</v>
      </c>
      <c r="L364" s="3">
        <v>0.36</v>
      </c>
      <c r="M364" s="3">
        <v>0.25369999999999998</v>
      </c>
      <c r="N364" s="3">
        <v>22</v>
      </c>
      <c r="O364" s="3">
        <v>69</v>
      </c>
      <c r="P364" s="51">
        <v>91</v>
      </c>
    </row>
    <row r="365" spans="1:16" x14ac:dyDescent="0.35">
      <c r="A365" s="49">
        <v>364</v>
      </c>
      <c r="B365" s="50">
        <v>40559</v>
      </c>
      <c r="C365" s="3">
        <v>1</v>
      </c>
      <c r="D365" s="3">
        <v>0</v>
      </c>
      <c r="E365" s="3" t="s">
        <v>104</v>
      </c>
      <c r="F365" s="3">
        <v>15</v>
      </c>
      <c r="G365" s="3" t="b">
        <v>0</v>
      </c>
      <c r="H365" s="3" t="s">
        <v>107</v>
      </c>
      <c r="I365" s="3" t="s">
        <v>113</v>
      </c>
      <c r="J365" s="3">
        <v>0.26</v>
      </c>
      <c r="K365" s="3">
        <v>0.2424</v>
      </c>
      <c r="L365" s="3">
        <v>0.38</v>
      </c>
      <c r="M365" s="3">
        <v>0.25369999999999998</v>
      </c>
      <c r="N365" s="3">
        <v>35</v>
      </c>
      <c r="O365" s="3">
        <v>78</v>
      </c>
      <c r="P365" s="51">
        <v>113</v>
      </c>
    </row>
    <row r="366" spans="1:16" x14ac:dyDescent="0.35">
      <c r="A366" s="49">
        <v>365</v>
      </c>
      <c r="B366" s="50">
        <v>40559</v>
      </c>
      <c r="C366" s="3">
        <v>1</v>
      </c>
      <c r="D366" s="3">
        <v>0</v>
      </c>
      <c r="E366" s="3" t="s">
        <v>104</v>
      </c>
      <c r="F366" s="3">
        <v>16</v>
      </c>
      <c r="G366" s="3" t="b">
        <v>0</v>
      </c>
      <c r="H366" s="3" t="s">
        <v>107</v>
      </c>
      <c r="I366" s="3" t="s">
        <v>113</v>
      </c>
      <c r="J366" s="3">
        <v>0.24</v>
      </c>
      <c r="K366" s="3">
        <v>0.2273</v>
      </c>
      <c r="L366" s="3">
        <v>0.38</v>
      </c>
      <c r="M366" s="3">
        <v>0.22389999999999999</v>
      </c>
      <c r="N366" s="3">
        <v>22</v>
      </c>
      <c r="O366" s="3">
        <v>77</v>
      </c>
      <c r="P366" s="51">
        <v>99</v>
      </c>
    </row>
    <row r="367" spans="1:16" x14ac:dyDescent="0.35">
      <c r="A367" s="49">
        <v>366</v>
      </c>
      <c r="B367" s="50">
        <v>40559</v>
      </c>
      <c r="C367" s="3">
        <v>1</v>
      </c>
      <c r="D367" s="3">
        <v>0</v>
      </c>
      <c r="E367" s="3" t="s">
        <v>104</v>
      </c>
      <c r="F367" s="3">
        <v>17</v>
      </c>
      <c r="G367" s="3" t="b">
        <v>0</v>
      </c>
      <c r="H367" s="3" t="s">
        <v>107</v>
      </c>
      <c r="I367" s="3" t="s">
        <v>113</v>
      </c>
      <c r="J367" s="3">
        <v>0.22</v>
      </c>
      <c r="K367" s="3">
        <v>0.21210000000000001</v>
      </c>
      <c r="L367" s="3">
        <v>0.37</v>
      </c>
      <c r="M367" s="3">
        <v>0.25369999999999998</v>
      </c>
      <c r="N367" s="3">
        <v>23</v>
      </c>
      <c r="O367" s="3">
        <v>82</v>
      </c>
      <c r="P367" s="51">
        <v>105</v>
      </c>
    </row>
    <row r="368" spans="1:16" x14ac:dyDescent="0.35">
      <c r="A368" s="49">
        <v>367</v>
      </c>
      <c r="B368" s="50">
        <v>40559</v>
      </c>
      <c r="C368" s="3">
        <v>1</v>
      </c>
      <c r="D368" s="3">
        <v>0</v>
      </c>
      <c r="E368" s="3" t="s">
        <v>104</v>
      </c>
      <c r="F368" s="3">
        <v>18</v>
      </c>
      <c r="G368" s="3" t="b">
        <v>0</v>
      </c>
      <c r="H368" s="3" t="s">
        <v>107</v>
      </c>
      <c r="I368" s="3" t="s">
        <v>113</v>
      </c>
      <c r="J368" s="3">
        <v>0.2</v>
      </c>
      <c r="K368" s="3">
        <v>0.21210000000000001</v>
      </c>
      <c r="L368" s="3">
        <v>0.4</v>
      </c>
      <c r="M368" s="3">
        <v>0.16420000000000001</v>
      </c>
      <c r="N368" s="3">
        <v>11</v>
      </c>
      <c r="O368" s="3">
        <v>56</v>
      </c>
      <c r="P368" s="51">
        <v>67</v>
      </c>
    </row>
    <row r="369" spans="1:16" x14ac:dyDescent="0.35">
      <c r="A369" s="49">
        <v>368</v>
      </c>
      <c r="B369" s="50">
        <v>40559</v>
      </c>
      <c r="C369" s="3">
        <v>1</v>
      </c>
      <c r="D369" s="3">
        <v>0</v>
      </c>
      <c r="E369" s="3" t="s">
        <v>104</v>
      </c>
      <c r="F369" s="3">
        <v>19</v>
      </c>
      <c r="G369" s="3" t="b">
        <v>0</v>
      </c>
      <c r="H369" s="3" t="s">
        <v>107</v>
      </c>
      <c r="I369" s="3" t="s">
        <v>113</v>
      </c>
      <c r="J369" s="3">
        <v>0.18</v>
      </c>
      <c r="K369" s="3">
        <v>0.19700000000000001</v>
      </c>
      <c r="L369" s="3">
        <v>0.47</v>
      </c>
      <c r="M369" s="3">
        <v>0.1343</v>
      </c>
      <c r="N369" s="3">
        <v>14</v>
      </c>
      <c r="O369" s="3">
        <v>47</v>
      </c>
      <c r="P369" s="51">
        <v>61</v>
      </c>
    </row>
    <row r="370" spans="1:16" x14ac:dyDescent="0.35">
      <c r="A370" s="49">
        <v>369</v>
      </c>
      <c r="B370" s="50">
        <v>40559</v>
      </c>
      <c r="C370" s="3">
        <v>1</v>
      </c>
      <c r="D370" s="3">
        <v>0</v>
      </c>
      <c r="E370" s="3" t="s">
        <v>104</v>
      </c>
      <c r="F370" s="3">
        <v>20</v>
      </c>
      <c r="G370" s="3" t="b">
        <v>0</v>
      </c>
      <c r="H370" s="3" t="s">
        <v>107</v>
      </c>
      <c r="I370" s="3" t="s">
        <v>113</v>
      </c>
      <c r="J370" s="3">
        <v>0.18</v>
      </c>
      <c r="K370" s="3">
        <v>0.19700000000000001</v>
      </c>
      <c r="L370" s="3">
        <v>0.47</v>
      </c>
      <c r="M370" s="3">
        <v>0.16420000000000001</v>
      </c>
      <c r="N370" s="3">
        <v>7</v>
      </c>
      <c r="O370" s="3">
        <v>50</v>
      </c>
      <c r="P370" s="51">
        <v>57</v>
      </c>
    </row>
    <row r="371" spans="1:16" x14ac:dyDescent="0.35">
      <c r="A371" s="49">
        <v>370</v>
      </c>
      <c r="B371" s="50">
        <v>40559</v>
      </c>
      <c r="C371" s="3">
        <v>1</v>
      </c>
      <c r="D371" s="3">
        <v>0</v>
      </c>
      <c r="E371" s="3" t="s">
        <v>104</v>
      </c>
      <c r="F371" s="3">
        <v>21</v>
      </c>
      <c r="G371" s="3" t="b">
        <v>0</v>
      </c>
      <c r="H371" s="3" t="s">
        <v>107</v>
      </c>
      <c r="I371" s="3" t="s">
        <v>113</v>
      </c>
      <c r="J371" s="3">
        <v>0.18</v>
      </c>
      <c r="K371" s="3">
        <v>0.19700000000000001</v>
      </c>
      <c r="L371" s="3">
        <v>0.51</v>
      </c>
      <c r="M371" s="3">
        <v>0.16420000000000001</v>
      </c>
      <c r="N371" s="3">
        <v>6</v>
      </c>
      <c r="O371" s="3">
        <v>22</v>
      </c>
      <c r="P371" s="51">
        <v>28</v>
      </c>
    </row>
    <row r="372" spans="1:16" x14ac:dyDescent="0.35">
      <c r="A372" s="49">
        <v>371</v>
      </c>
      <c r="B372" s="50">
        <v>40559</v>
      </c>
      <c r="C372" s="3">
        <v>1</v>
      </c>
      <c r="D372" s="3">
        <v>0</v>
      </c>
      <c r="E372" s="3" t="s">
        <v>104</v>
      </c>
      <c r="F372" s="3">
        <v>22</v>
      </c>
      <c r="G372" s="3" t="b">
        <v>0</v>
      </c>
      <c r="H372" s="3" t="s">
        <v>107</v>
      </c>
      <c r="I372" s="3" t="s">
        <v>114</v>
      </c>
      <c r="J372" s="3">
        <v>0.2</v>
      </c>
      <c r="K372" s="3">
        <v>0.21210000000000001</v>
      </c>
      <c r="L372" s="3">
        <v>0.49</v>
      </c>
      <c r="M372" s="3">
        <v>0.1343</v>
      </c>
      <c r="N372" s="3">
        <v>2</v>
      </c>
      <c r="O372" s="3">
        <v>19</v>
      </c>
      <c r="P372" s="51">
        <v>21</v>
      </c>
    </row>
    <row r="373" spans="1:16" x14ac:dyDescent="0.35">
      <c r="A373" s="49">
        <v>372</v>
      </c>
      <c r="B373" s="50">
        <v>40559</v>
      </c>
      <c r="C373" s="3">
        <v>1</v>
      </c>
      <c r="D373" s="3">
        <v>0</v>
      </c>
      <c r="E373" s="3" t="s">
        <v>104</v>
      </c>
      <c r="F373" s="3">
        <v>23</v>
      </c>
      <c r="G373" s="3" t="b">
        <v>0</v>
      </c>
      <c r="H373" s="3" t="s">
        <v>107</v>
      </c>
      <c r="I373" s="3" t="s">
        <v>114</v>
      </c>
      <c r="J373" s="3">
        <v>0.2</v>
      </c>
      <c r="K373" s="3">
        <v>0.2273</v>
      </c>
      <c r="L373" s="3">
        <v>0.4</v>
      </c>
      <c r="M373" s="3">
        <v>0.1045</v>
      </c>
      <c r="N373" s="3">
        <v>0</v>
      </c>
      <c r="O373" s="3">
        <v>18</v>
      </c>
      <c r="P373" s="51">
        <v>18</v>
      </c>
    </row>
    <row r="374" spans="1:16" x14ac:dyDescent="0.35">
      <c r="A374" s="49">
        <v>373</v>
      </c>
      <c r="B374" s="50">
        <v>40560</v>
      </c>
      <c r="C374" s="3">
        <v>1</v>
      </c>
      <c r="D374" s="3">
        <v>0</v>
      </c>
      <c r="E374" s="3" t="s">
        <v>104</v>
      </c>
      <c r="F374" s="3">
        <v>0</v>
      </c>
      <c r="G374" s="3" t="b">
        <v>1</v>
      </c>
      <c r="H374" s="3" t="s">
        <v>108</v>
      </c>
      <c r="I374" s="3" t="s">
        <v>114</v>
      </c>
      <c r="J374" s="3">
        <v>0.2</v>
      </c>
      <c r="K374" s="3">
        <v>0.19700000000000001</v>
      </c>
      <c r="L374" s="3">
        <v>0.47</v>
      </c>
      <c r="M374" s="3">
        <v>0.22389999999999999</v>
      </c>
      <c r="N374" s="3">
        <v>1</v>
      </c>
      <c r="O374" s="3">
        <v>16</v>
      </c>
      <c r="P374" s="51">
        <v>17</v>
      </c>
    </row>
    <row r="375" spans="1:16" x14ac:dyDescent="0.35">
      <c r="A375" s="49">
        <v>374</v>
      </c>
      <c r="B375" s="50">
        <v>40560</v>
      </c>
      <c r="C375" s="3">
        <v>1</v>
      </c>
      <c r="D375" s="3">
        <v>0</v>
      </c>
      <c r="E375" s="3" t="s">
        <v>104</v>
      </c>
      <c r="F375" s="3">
        <v>1</v>
      </c>
      <c r="G375" s="3" t="b">
        <v>1</v>
      </c>
      <c r="H375" s="3" t="s">
        <v>108</v>
      </c>
      <c r="I375" s="3" t="s">
        <v>114</v>
      </c>
      <c r="J375" s="3">
        <v>0.2</v>
      </c>
      <c r="K375" s="3">
        <v>0.19700000000000001</v>
      </c>
      <c r="L375" s="3">
        <v>0.44</v>
      </c>
      <c r="M375" s="3">
        <v>0.19400000000000001</v>
      </c>
      <c r="N375" s="3">
        <v>1</v>
      </c>
      <c r="O375" s="3">
        <v>15</v>
      </c>
      <c r="P375" s="51">
        <v>16</v>
      </c>
    </row>
    <row r="376" spans="1:16" x14ac:dyDescent="0.35">
      <c r="A376" s="49">
        <v>375</v>
      </c>
      <c r="B376" s="50">
        <v>40560</v>
      </c>
      <c r="C376" s="3">
        <v>1</v>
      </c>
      <c r="D376" s="3">
        <v>0</v>
      </c>
      <c r="E376" s="3" t="s">
        <v>104</v>
      </c>
      <c r="F376" s="3">
        <v>2</v>
      </c>
      <c r="G376" s="3" t="b">
        <v>1</v>
      </c>
      <c r="H376" s="3" t="s">
        <v>108</v>
      </c>
      <c r="I376" s="3" t="s">
        <v>114</v>
      </c>
      <c r="J376" s="3">
        <v>0.18</v>
      </c>
      <c r="K376" s="3">
        <v>0.16669999999999999</v>
      </c>
      <c r="L376" s="3">
        <v>0.43</v>
      </c>
      <c r="M376" s="3">
        <v>0.25369999999999998</v>
      </c>
      <c r="N376" s="3">
        <v>0</v>
      </c>
      <c r="O376" s="3">
        <v>8</v>
      </c>
      <c r="P376" s="51">
        <v>8</v>
      </c>
    </row>
    <row r="377" spans="1:16" x14ac:dyDescent="0.35">
      <c r="A377" s="49">
        <v>376</v>
      </c>
      <c r="B377" s="50">
        <v>40560</v>
      </c>
      <c r="C377" s="3">
        <v>1</v>
      </c>
      <c r="D377" s="3">
        <v>0</v>
      </c>
      <c r="E377" s="3" t="s">
        <v>104</v>
      </c>
      <c r="F377" s="3">
        <v>3</v>
      </c>
      <c r="G377" s="3" t="b">
        <v>1</v>
      </c>
      <c r="H377" s="3" t="s">
        <v>108</v>
      </c>
      <c r="I377" s="3" t="s">
        <v>114</v>
      </c>
      <c r="J377" s="3">
        <v>0.18</v>
      </c>
      <c r="K377" s="3">
        <v>0.18179999999999999</v>
      </c>
      <c r="L377" s="3">
        <v>0.43</v>
      </c>
      <c r="M377" s="3">
        <v>0.19400000000000001</v>
      </c>
      <c r="N377" s="3">
        <v>0</v>
      </c>
      <c r="O377" s="3">
        <v>2</v>
      </c>
      <c r="P377" s="51">
        <v>2</v>
      </c>
    </row>
    <row r="378" spans="1:16" x14ac:dyDescent="0.35">
      <c r="A378" s="49">
        <v>377</v>
      </c>
      <c r="B378" s="50">
        <v>40560</v>
      </c>
      <c r="C378" s="3">
        <v>1</v>
      </c>
      <c r="D378" s="3">
        <v>0</v>
      </c>
      <c r="E378" s="3" t="s">
        <v>104</v>
      </c>
      <c r="F378" s="3">
        <v>4</v>
      </c>
      <c r="G378" s="3" t="b">
        <v>1</v>
      </c>
      <c r="H378" s="3" t="s">
        <v>108</v>
      </c>
      <c r="I378" s="3" t="s">
        <v>114</v>
      </c>
      <c r="J378" s="3">
        <v>0.18</v>
      </c>
      <c r="K378" s="3">
        <v>0.19700000000000001</v>
      </c>
      <c r="L378" s="3">
        <v>0.43</v>
      </c>
      <c r="M378" s="3">
        <v>0.1343</v>
      </c>
      <c r="N378" s="3">
        <v>1</v>
      </c>
      <c r="O378" s="3">
        <v>2</v>
      </c>
      <c r="P378" s="51">
        <v>3</v>
      </c>
    </row>
    <row r="379" spans="1:16" x14ac:dyDescent="0.35">
      <c r="A379" s="49">
        <v>378</v>
      </c>
      <c r="B379" s="50">
        <v>40560</v>
      </c>
      <c r="C379" s="3">
        <v>1</v>
      </c>
      <c r="D379" s="3">
        <v>0</v>
      </c>
      <c r="E379" s="3" t="s">
        <v>104</v>
      </c>
      <c r="F379" s="3">
        <v>5</v>
      </c>
      <c r="G379" s="3" t="b">
        <v>1</v>
      </c>
      <c r="H379" s="3" t="s">
        <v>108</v>
      </c>
      <c r="I379" s="3" t="s">
        <v>114</v>
      </c>
      <c r="J379" s="3">
        <v>0.18</v>
      </c>
      <c r="K379" s="3">
        <v>0.19700000000000001</v>
      </c>
      <c r="L379" s="3">
        <v>0.43</v>
      </c>
      <c r="M379" s="3">
        <v>0.16420000000000001</v>
      </c>
      <c r="N379" s="3">
        <v>0</v>
      </c>
      <c r="O379" s="3">
        <v>1</v>
      </c>
      <c r="P379" s="51">
        <v>1</v>
      </c>
    </row>
    <row r="380" spans="1:16" x14ac:dyDescent="0.35">
      <c r="A380" s="49">
        <v>379</v>
      </c>
      <c r="B380" s="50">
        <v>40560</v>
      </c>
      <c r="C380" s="3">
        <v>1</v>
      </c>
      <c r="D380" s="3">
        <v>0</v>
      </c>
      <c r="E380" s="3" t="s">
        <v>104</v>
      </c>
      <c r="F380" s="3">
        <v>6</v>
      </c>
      <c r="G380" s="3" t="b">
        <v>1</v>
      </c>
      <c r="H380" s="3" t="s">
        <v>108</v>
      </c>
      <c r="I380" s="3" t="s">
        <v>114</v>
      </c>
      <c r="J380" s="3">
        <v>0.18</v>
      </c>
      <c r="K380" s="3">
        <v>0.18179999999999999</v>
      </c>
      <c r="L380" s="3">
        <v>0.43</v>
      </c>
      <c r="M380" s="3">
        <v>0.19400000000000001</v>
      </c>
      <c r="N380" s="3">
        <v>0</v>
      </c>
      <c r="O380" s="3">
        <v>5</v>
      </c>
      <c r="P380" s="51">
        <v>5</v>
      </c>
    </row>
    <row r="381" spans="1:16" x14ac:dyDescent="0.35">
      <c r="A381" s="49">
        <v>380</v>
      </c>
      <c r="B381" s="50">
        <v>40560</v>
      </c>
      <c r="C381" s="3">
        <v>1</v>
      </c>
      <c r="D381" s="3">
        <v>0</v>
      </c>
      <c r="E381" s="3" t="s">
        <v>104</v>
      </c>
      <c r="F381" s="3">
        <v>7</v>
      </c>
      <c r="G381" s="3" t="b">
        <v>1</v>
      </c>
      <c r="H381" s="3" t="s">
        <v>108</v>
      </c>
      <c r="I381" s="3" t="s">
        <v>114</v>
      </c>
      <c r="J381" s="3">
        <v>0.16</v>
      </c>
      <c r="K381" s="3">
        <v>0.18179999999999999</v>
      </c>
      <c r="L381" s="3">
        <v>0.5</v>
      </c>
      <c r="M381" s="3">
        <v>0.1343</v>
      </c>
      <c r="N381" s="3">
        <v>4</v>
      </c>
      <c r="O381" s="3">
        <v>9</v>
      </c>
      <c r="P381" s="51">
        <v>13</v>
      </c>
    </row>
    <row r="382" spans="1:16" x14ac:dyDescent="0.35">
      <c r="A382" s="49">
        <v>381</v>
      </c>
      <c r="B382" s="50">
        <v>40560</v>
      </c>
      <c r="C382" s="3">
        <v>1</v>
      </c>
      <c r="D382" s="3">
        <v>0</v>
      </c>
      <c r="E382" s="3" t="s">
        <v>104</v>
      </c>
      <c r="F382" s="3">
        <v>8</v>
      </c>
      <c r="G382" s="3" t="b">
        <v>1</v>
      </c>
      <c r="H382" s="3" t="s">
        <v>108</v>
      </c>
      <c r="I382" s="3" t="s">
        <v>114</v>
      </c>
      <c r="J382" s="3">
        <v>0.16</v>
      </c>
      <c r="K382" s="3">
        <v>0.1515</v>
      </c>
      <c r="L382" s="3">
        <v>0.47</v>
      </c>
      <c r="M382" s="3">
        <v>0.22389999999999999</v>
      </c>
      <c r="N382" s="3">
        <v>3</v>
      </c>
      <c r="O382" s="3">
        <v>30</v>
      </c>
      <c r="P382" s="51">
        <v>33</v>
      </c>
    </row>
    <row r="383" spans="1:16" x14ac:dyDescent="0.35">
      <c r="A383" s="49">
        <v>382</v>
      </c>
      <c r="B383" s="50">
        <v>40560</v>
      </c>
      <c r="C383" s="3">
        <v>1</v>
      </c>
      <c r="D383" s="3">
        <v>0</v>
      </c>
      <c r="E383" s="3" t="s">
        <v>104</v>
      </c>
      <c r="F383" s="3">
        <v>9</v>
      </c>
      <c r="G383" s="3" t="b">
        <v>1</v>
      </c>
      <c r="H383" s="3" t="s">
        <v>108</v>
      </c>
      <c r="I383" s="3" t="s">
        <v>114</v>
      </c>
      <c r="J383" s="3">
        <v>0.16</v>
      </c>
      <c r="K383" s="3">
        <v>0.1515</v>
      </c>
      <c r="L383" s="3">
        <v>0.47</v>
      </c>
      <c r="M383" s="3">
        <v>0.22389999999999999</v>
      </c>
      <c r="N383" s="3">
        <v>8</v>
      </c>
      <c r="O383" s="3">
        <v>39</v>
      </c>
      <c r="P383" s="51">
        <v>47</v>
      </c>
    </row>
    <row r="384" spans="1:16" x14ac:dyDescent="0.35">
      <c r="A384" s="49">
        <v>383</v>
      </c>
      <c r="B384" s="50">
        <v>40560</v>
      </c>
      <c r="C384" s="3">
        <v>1</v>
      </c>
      <c r="D384" s="3">
        <v>0</v>
      </c>
      <c r="E384" s="3" t="s">
        <v>104</v>
      </c>
      <c r="F384" s="3">
        <v>10</v>
      </c>
      <c r="G384" s="3" t="b">
        <v>1</v>
      </c>
      <c r="H384" s="3" t="s">
        <v>108</v>
      </c>
      <c r="I384" s="3" t="s">
        <v>114</v>
      </c>
      <c r="J384" s="3">
        <v>0.16</v>
      </c>
      <c r="K384" s="3">
        <v>0.1515</v>
      </c>
      <c r="L384" s="3">
        <v>0.5</v>
      </c>
      <c r="M384" s="3">
        <v>0.25369999999999998</v>
      </c>
      <c r="N384" s="3">
        <v>7</v>
      </c>
      <c r="O384" s="3">
        <v>50</v>
      </c>
      <c r="P384" s="51">
        <v>57</v>
      </c>
    </row>
    <row r="385" spans="1:16" x14ac:dyDescent="0.35">
      <c r="A385" s="49">
        <v>384</v>
      </c>
      <c r="B385" s="50">
        <v>40560</v>
      </c>
      <c r="C385" s="3">
        <v>1</v>
      </c>
      <c r="D385" s="3">
        <v>0</v>
      </c>
      <c r="E385" s="3" t="s">
        <v>104</v>
      </c>
      <c r="F385" s="3">
        <v>11</v>
      </c>
      <c r="G385" s="3" t="b">
        <v>1</v>
      </c>
      <c r="H385" s="3" t="s">
        <v>108</v>
      </c>
      <c r="I385" s="3" t="s">
        <v>114</v>
      </c>
      <c r="J385" s="3">
        <v>0.16</v>
      </c>
      <c r="K385" s="3">
        <v>0.1515</v>
      </c>
      <c r="L385" s="3">
        <v>0.55000000000000004</v>
      </c>
      <c r="M385" s="3">
        <v>0.19400000000000001</v>
      </c>
      <c r="N385" s="3">
        <v>9</v>
      </c>
      <c r="O385" s="3">
        <v>55</v>
      </c>
      <c r="P385" s="51">
        <v>64</v>
      </c>
    </row>
    <row r="386" spans="1:16" x14ac:dyDescent="0.35">
      <c r="A386" s="49">
        <v>385</v>
      </c>
      <c r="B386" s="50">
        <v>40560</v>
      </c>
      <c r="C386" s="3">
        <v>1</v>
      </c>
      <c r="D386" s="3">
        <v>0</v>
      </c>
      <c r="E386" s="3" t="s">
        <v>104</v>
      </c>
      <c r="F386" s="3">
        <v>12</v>
      </c>
      <c r="G386" s="3" t="b">
        <v>1</v>
      </c>
      <c r="H386" s="3" t="s">
        <v>108</v>
      </c>
      <c r="I386" s="3" t="s">
        <v>114</v>
      </c>
      <c r="J386" s="3">
        <v>0.18</v>
      </c>
      <c r="K386" s="3">
        <v>0.19700000000000001</v>
      </c>
      <c r="L386" s="3">
        <v>0.47</v>
      </c>
      <c r="M386" s="3">
        <v>0.1343</v>
      </c>
      <c r="N386" s="3">
        <v>10</v>
      </c>
      <c r="O386" s="3">
        <v>70</v>
      </c>
      <c r="P386" s="51">
        <v>80</v>
      </c>
    </row>
    <row r="387" spans="1:16" x14ac:dyDescent="0.35">
      <c r="A387" s="49">
        <v>386</v>
      </c>
      <c r="B387" s="50">
        <v>40560</v>
      </c>
      <c r="C387" s="3">
        <v>1</v>
      </c>
      <c r="D387" s="3">
        <v>0</v>
      </c>
      <c r="E387" s="3" t="s">
        <v>104</v>
      </c>
      <c r="F387" s="3">
        <v>13</v>
      </c>
      <c r="G387" s="3" t="b">
        <v>1</v>
      </c>
      <c r="H387" s="3" t="s">
        <v>108</v>
      </c>
      <c r="I387" s="3" t="s">
        <v>114</v>
      </c>
      <c r="J387" s="3">
        <v>0.18</v>
      </c>
      <c r="K387" s="3">
        <v>0.19700000000000001</v>
      </c>
      <c r="L387" s="3">
        <v>0.47</v>
      </c>
      <c r="M387" s="3">
        <v>0.1343</v>
      </c>
      <c r="N387" s="3">
        <v>13</v>
      </c>
      <c r="O387" s="3">
        <v>80</v>
      </c>
      <c r="P387" s="51">
        <v>93</v>
      </c>
    </row>
    <row r="388" spans="1:16" x14ac:dyDescent="0.35">
      <c r="A388" s="49">
        <v>387</v>
      </c>
      <c r="B388" s="50">
        <v>40560</v>
      </c>
      <c r="C388" s="3">
        <v>1</v>
      </c>
      <c r="D388" s="3">
        <v>0</v>
      </c>
      <c r="E388" s="3" t="s">
        <v>104</v>
      </c>
      <c r="F388" s="3">
        <v>14</v>
      </c>
      <c r="G388" s="3" t="b">
        <v>1</v>
      </c>
      <c r="H388" s="3" t="s">
        <v>108</v>
      </c>
      <c r="I388" s="3" t="s">
        <v>114</v>
      </c>
      <c r="J388" s="3">
        <v>0.18</v>
      </c>
      <c r="K388" s="3">
        <v>0.21210000000000001</v>
      </c>
      <c r="L388" s="3">
        <v>0.43</v>
      </c>
      <c r="M388" s="3">
        <v>0.1045</v>
      </c>
      <c r="N388" s="3">
        <v>12</v>
      </c>
      <c r="O388" s="3">
        <v>74</v>
      </c>
      <c r="P388" s="51">
        <v>86</v>
      </c>
    </row>
    <row r="389" spans="1:16" x14ac:dyDescent="0.35">
      <c r="A389" s="49">
        <v>388</v>
      </c>
      <c r="B389" s="50">
        <v>40560</v>
      </c>
      <c r="C389" s="3">
        <v>1</v>
      </c>
      <c r="D389" s="3">
        <v>0</v>
      </c>
      <c r="E389" s="3" t="s">
        <v>104</v>
      </c>
      <c r="F389" s="3">
        <v>15</v>
      </c>
      <c r="G389" s="3" t="b">
        <v>1</v>
      </c>
      <c r="H389" s="3" t="s">
        <v>108</v>
      </c>
      <c r="I389" s="3" t="s">
        <v>114</v>
      </c>
      <c r="J389" s="3">
        <v>0.2</v>
      </c>
      <c r="K389" s="3">
        <v>0.21210000000000001</v>
      </c>
      <c r="L389" s="3">
        <v>0.47</v>
      </c>
      <c r="M389" s="3">
        <v>0.16420000000000001</v>
      </c>
      <c r="N389" s="3">
        <v>21</v>
      </c>
      <c r="O389" s="3">
        <v>72</v>
      </c>
      <c r="P389" s="51">
        <v>93</v>
      </c>
    </row>
    <row r="390" spans="1:16" x14ac:dyDescent="0.35">
      <c r="A390" s="49">
        <v>389</v>
      </c>
      <c r="B390" s="50">
        <v>40560</v>
      </c>
      <c r="C390" s="3">
        <v>1</v>
      </c>
      <c r="D390" s="3">
        <v>0</v>
      </c>
      <c r="E390" s="3" t="s">
        <v>104</v>
      </c>
      <c r="F390" s="3">
        <v>16</v>
      </c>
      <c r="G390" s="3" t="b">
        <v>1</v>
      </c>
      <c r="H390" s="3" t="s">
        <v>108</v>
      </c>
      <c r="I390" s="3" t="s">
        <v>114</v>
      </c>
      <c r="J390" s="3">
        <v>0.2</v>
      </c>
      <c r="K390" s="3">
        <v>0.21210000000000001</v>
      </c>
      <c r="L390" s="3">
        <v>0.47</v>
      </c>
      <c r="M390" s="3">
        <v>0.16420000000000001</v>
      </c>
      <c r="N390" s="3">
        <v>6</v>
      </c>
      <c r="O390" s="3">
        <v>76</v>
      </c>
      <c r="P390" s="51">
        <v>82</v>
      </c>
    </row>
    <row r="391" spans="1:16" x14ac:dyDescent="0.35">
      <c r="A391" s="49">
        <v>390</v>
      </c>
      <c r="B391" s="50">
        <v>40560</v>
      </c>
      <c r="C391" s="3">
        <v>1</v>
      </c>
      <c r="D391" s="3">
        <v>0</v>
      </c>
      <c r="E391" s="3" t="s">
        <v>104</v>
      </c>
      <c r="F391" s="3">
        <v>17</v>
      </c>
      <c r="G391" s="3" t="b">
        <v>1</v>
      </c>
      <c r="H391" s="3" t="s">
        <v>108</v>
      </c>
      <c r="I391" s="3" t="s">
        <v>113</v>
      </c>
      <c r="J391" s="3">
        <v>0.2</v>
      </c>
      <c r="K391" s="3">
        <v>0.19700000000000001</v>
      </c>
      <c r="L391" s="3">
        <v>0.51</v>
      </c>
      <c r="M391" s="3">
        <v>0.19400000000000001</v>
      </c>
      <c r="N391" s="3">
        <v>4</v>
      </c>
      <c r="O391" s="3">
        <v>67</v>
      </c>
      <c r="P391" s="51">
        <v>71</v>
      </c>
    </row>
    <row r="392" spans="1:16" x14ac:dyDescent="0.35">
      <c r="A392" s="49">
        <v>391</v>
      </c>
      <c r="B392" s="50">
        <v>40560</v>
      </c>
      <c r="C392" s="3">
        <v>1</v>
      </c>
      <c r="D392" s="3">
        <v>0</v>
      </c>
      <c r="E392" s="3" t="s">
        <v>104</v>
      </c>
      <c r="F392" s="3">
        <v>18</v>
      </c>
      <c r="G392" s="3" t="b">
        <v>1</v>
      </c>
      <c r="H392" s="3" t="s">
        <v>108</v>
      </c>
      <c r="I392" s="3" t="s">
        <v>114</v>
      </c>
      <c r="J392" s="3">
        <v>0.18</v>
      </c>
      <c r="K392" s="3">
        <v>0.16669999999999999</v>
      </c>
      <c r="L392" s="3">
        <v>0.55000000000000004</v>
      </c>
      <c r="M392" s="3">
        <v>0.25369999999999998</v>
      </c>
      <c r="N392" s="3">
        <v>7</v>
      </c>
      <c r="O392" s="3">
        <v>85</v>
      </c>
      <c r="P392" s="51">
        <v>92</v>
      </c>
    </row>
    <row r="393" spans="1:16" x14ac:dyDescent="0.35">
      <c r="A393" s="49">
        <v>392</v>
      </c>
      <c r="B393" s="50">
        <v>40560</v>
      </c>
      <c r="C393" s="3">
        <v>1</v>
      </c>
      <c r="D393" s="3">
        <v>0</v>
      </c>
      <c r="E393" s="3" t="s">
        <v>104</v>
      </c>
      <c r="F393" s="3">
        <v>19</v>
      </c>
      <c r="G393" s="3" t="b">
        <v>1</v>
      </c>
      <c r="H393" s="3" t="s">
        <v>108</v>
      </c>
      <c r="I393" s="3" t="s">
        <v>115</v>
      </c>
      <c r="J393" s="3">
        <v>0.18</v>
      </c>
      <c r="K393" s="3">
        <v>0.18179999999999999</v>
      </c>
      <c r="L393" s="3">
        <v>0.59</v>
      </c>
      <c r="M393" s="3">
        <v>0.19400000000000001</v>
      </c>
      <c r="N393" s="3">
        <v>2</v>
      </c>
      <c r="O393" s="3">
        <v>58</v>
      </c>
      <c r="P393" s="51">
        <v>60</v>
      </c>
    </row>
    <row r="394" spans="1:16" x14ac:dyDescent="0.35">
      <c r="A394" s="49">
        <v>393</v>
      </c>
      <c r="B394" s="50">
        <v>40560</v>
      </c>
      <c r="C394" s="3">
        <v>1</v>
      </c>
      <c r="D394" s="3">
        <v>0</v>
      </c>
      <c r="E394" s="3" t="s">
        <v>104</v>
      </c>
      <c r="F394" s="3">
        <v>20</v>
      </c>
      <c r="G394" s="3" t="b">
        <v>1</v>
      </c>
      <c r="H394" s="3" t="s">
        <v>108</v>
      </c>
      <c r="I394" s="3" t="s">
        <v>115</v>
      </c>
      <c r="J394" s="3">
        <v>0.16</v>
      </c>
      <c r="K394" s="3">
        <v>0.1515</v>
      </c>
      <c r="L394" s="3">
        <v>0.8</v>
      </c>
      <c r="M394" s="3">
        <v>0.19400000000000001</v>
      </c>
      <c r="N394" s="3">
        <v>4</v>
      </c>
      <c r="O394" s="3">
        <v>29</v>
      </c>
      <c r="P394" s="51">
        <v>33</v>
      </c>
    </row>
    <row r="395" spans="1:16" x14ac:dyDescent="0.35">
      <c r="A395" s="49">
        <v>394</v>
      </c>
      <c r="B395" s="50">
        <v>40560</v>
      </c>
      <c r="C395" s="3">
        <v>1</v>
      </c>
      <c r="D395" s="3">
        <v>0</v>
      </c>
      <c r="E395" s="3" t="s">
        <v>104</v>
      </c>
      <c r="F395" s="3">
        <v>21</v>
      </c>
      <c r="G395" s="3" t="b">
        <v>1</v>
      </c>
      <c r="H395" s="3" t="s">
        <v>108</v>
      </c>
      <c r="I395" s="3" t="s">
        <v>115</v>
      </c>
      <c r="J395" s="3">
        <v>0.16</v>
      </c>
      <c r="K395" s="3">
        <v>0.1515</v>
      </c>
      <c r="L395" s="3">
        <v>0.8</v>
      </c>
      <c r="M395" s="3">
        <v>0.19400000000000001</v>
      </c>
      <c r="N395" s="3">
        <v>3</v>
      </c>
      <c r="O395" s="3">
        <v>24</v>
      </c>
      <c r="P395" s="51">
        <v>27</v>
      </c>
    </row>
    <row r="396" spans="1:16" x14ac:dyDescent="0.35">
      <c r="A396" s="49">
        <v>395</v>
      </c>
      <c r="B396" s="50">
        <v>40560</v>
      </c>
      <c r="C396" s="3">
        <v>1</v>
      </c>
      <c r="D396" s="3">
        <v>0</v>
      </c>
      <c r="E396" s="3" t="s">
        <v>104</v>
      </c>
      <c r="F396" s="3">
        <v>22</v>
      </c>
      <c r="G396" s="3" t="b">
        <v>1</v>
      </c>
      <c r="H396" s="3" t="s">
        <v>108</v>
      </c>
      <c r="I396" s="3" t="s">
        <v>115</v>
      </c>
      <c r="J396" s="3">
        <v>0.14000000000000001</v>
      </c>
      <c r="K396" s="3">
        <v>0.1212</v>
      </c>
      <c r="L396" s="3">
        <v>0.93</v>
      </c>
      <c r="M396" s="3">
        <v>0.25369999999999998</v>
      </c>
      <c r="N396" s="3">
        <v>0</v>
      </c>
      <c r="O396" s="3">
        <v>13</v>
      </c>
      <c r="P396" s="51">
        <v>13</v>
      </c>
    </row>
    <row r="397" spans="1:16" x14ac:dyDescent="0.35">
      <c r="A397" s="49">
        <v>396</v>
      </c>
      <c r="B397" s="50">
        <v>40560</v>
      </c>
      <c r="C397" s="3">
        <v>1</v>
      </c>
      <c r="D397" s="3">
        <v>0</v>
      </c>
      <c r="E397" s="3" t="s">
        <v>104</v>
      </c>
      <c r="F397" s="3">
        <v>23</v>
      </c>
      <c r="G397" s="3" t="b">
        <v>1</v>
      </c>
      <c r="H397" s="3" t="s">
        <v>108</v>
      </c>
      <c r="I397" s="3" t="s">
        <v>115</v>
      </c>
      <c r="J397" s="3">
        <v>0.16</v>
      </c>
      <c r="K397" s="3">
        <v>0.13639999999999999</v>
      </c>
      <c r="L397" s="3">
        <v>0.86</v>
      </c>
      <c r="M397" s="3">
        <v>0.28360000000000002</v>
      </c>
      <c r="N397" s="3">
        <v>1</v>
      </c>
      <c r="O397" s="3">
        <v>3</v>
      </c>
      <c r="P397" s="51">
        <v>4</v>
      </c>
    </row>
    <row r="398" spans="1:16" x14ac:dyDescent="0.35">
      <c r="A398" s="49">
        <v>397</v>
      </c>
      <c r="B398" s="50">
        <v>40561</v>
      </c>
      <c r="C398" s="3">
        <v>1</v>
      </c>
      <c r="D398" s="3">
        <v>0</v>
      </c>
      <c r="E398" s="3" t="s">
        <v>104</v>
      </c>
      <c r="F398" s="3">
        <v>12</v>
      </c>
      <c r="G398" s="3" t="b">
        <v>0</v>
      </c>
      <c r="H398" s="3" t="s">
        <v>109</v>
      </c>
      <c r="I398" s="3" t="s">
        <v>114</v>
      </c>
      <c r="J398" s="3">
        <v>0.2</v>
      </c>
      <c r="K398" s="3">
        <v>0.18179999999999999</v>
      </c>
      <c r="L398" s="3">
        <v>0.86</v>
      </c>
      <c r="M398" s="3">
        <v>0.32840000000000003</v>
      </c>
      <c r="N398" s="3">
        <v>0</v>
      </c>
      <c r="O398" s="3">
        <v>3</v>
      </c>
      <c r="P398" s="51">
        <v>3</v>
      </c>
    </row>
    <row r="399" spans="1:16" x14ac:dyDescent="0.35">
      <c r="A399" s="49">
        <v>398</v>
      </c>
      <c r="B399" s="50">
        <v>40561</v>
      </c>
      <c r="C399" s="3">
        <v>1</v>
      </c>
      <c r="D399" s="3">
        <v>0</v>
      </c>
      <c r="E399" s="3" t="s">
        <v>104</v>
      </c>
      <c r="F399" s="3">
        <v>13</v>
      </c>
      <c r="G399" s="3" t="b">
        <v>0</v>
      </c>
      <c r="H399" s="3" t="s">
        <v>109</v>
      </c>
      <c r="I399" s="3" t="s">
        <v>114</v>
      </c>
      <c r="J399" s="3">
        <v>0.2</v>
      </c>
      <c r="K399" s="3">
        <v>0.19700000000000001</v>
      </c>
      <c r="L399" s="3">
        <v>0.86</v>
      </c>
      <c r="M399" s="3">
        <v>0.22389999999999999</v>
      </c>
      <c r="N399" s="3">
        <v>0</v>
      </c>
      <c r="O399" s="3">
        <v>22</v>
      </c>
      <c r="P399" s="51">
        <v>22</v>
      </c>
    </row>
    <row r="400" spans="1:16" x14ac:dyDescent="0.35">
      <c r="A400" s="49">
        <v>399</v>
      </c>
      <c r="B400" s="50">
        <v>40561</v>
      </c>
      <c r="C400" s="3">
        <v>1</v>
      </c>
      <c r="D400" s="3">
        <v>0</v>
      </c>
      <c r="E400" s="3" t="s">
        <v>104</v>
      </c>
      <c r="F400" s="3">
        <v>14</v>
      </c>
      <c r="G400" s="3" t="b">
        <v>0</v>
      </c>
      <c r="H400" s="3" t="s">
        <v>109</v>
      </c>
      <c r="I400" s="3" t="s">
        <v>114</v>
      </c>
      <c r="J400" s="3">
        <v>0.22</v>
      </c>
      <c r="K400" s="3">
        <v>0.2273</v>
      </c>
      <c r="L400" s="3">
        <v>0.8</v>
      </c>
      <c r="M400" s="3">
        <v>0.16420000000000001</v>
      </c>
      <c r="N400" s="3">
        <v>2</v>
      </c>
      <c r="O400" s="3">
        <v>26</v>
      </c>
      <c r="P400" s="51">
        <v>28</v>
      </c>
    </row>
    <row r="401" spans="1:16" x14ac:dyDescent="0.35">
      <c r="A401" s="49">
        <v>400</v>
      </c>
      <c r="B401" s="50">
        <v>40561</v>
      </c>
      <c r="C401" s="3">
        <v>1</v>
      </c>
      <c r="D401" s="3">
        <v>0</v>
      </c>
      <c r="E401" s="3" t="s">
        <v>104</v>
      </c>
      <c r="F401" s="3">
        <v>15</v>
      </c>
      <c r="G401" s="3" t="b">
        <v>0</v>
      </c>
      <c r="H401" s="3" t="s">
        <v>109</v>
      </c>
      <c r="I401" s="3" t="s">
        <v>114</v>
      </c>
      <c r="J401" s="3">
        <v>0.22</v>
      </c>
      <c r="K401" s="3">
        <v>0.2273</v>
      </c>
      <c r="L401" s="3">
        <v>0.87</v>
      </c>
      <c r="M401" s="3">
        <v>0.16420000000000001</v>
      </c>
      <c r="N401" s="3">
        <v>3</v>
      </c>
      <c r="O401" s="3">
        <v>32</v>
      </c>
      <c r="P401" s="51">
        <v>35</v>
      </c>
    </row>
    <row r="402" spans="1:16" x14ac:dyDescent="0.35">
      <c r="A402" s="49">
        <v>401</v>
      </c>
      <c r="B402" s="50">
        <v>40561</v>
      </c>
      <c r="C402" s="3">
        <v>1</v>
      </c>
      <c r="D402" s="3">
        <v>0</v>
      </c>
      <c r="E402" s="3" t="s">
        <v>104</v>
      </c>
      <c r="F402" s="3">
        <v>16</v>
      </c>
      <c r="G402" s="3" t="b">
        <v>0</v>
      </c>
      <c r="H402" s="3" t="s">
        <v>109</v>
      </c>
      <c r="I402" s="3" t="s">
        <v>114</v>
      </c>
      <c r="J402" s="3">
        <v>0.22</v>
      </c>
      <c r="K402" s="3">
        <v>0.2273</v>
      </c>
      <c r="L402" s="3">
        <v>0.87</v>
      </c>
      <c r="M402" s="3">
        <v>0.19400000000000001</v>
      </c>
      <c r="N402" s="3">
        <v>0</v>
      </c>
      <c r="O402" s="3">
        <v>61</v>
      </c>
      <c r="P402" s="51">
        <v>61</v>
      </c>
    </row>
    <row r="403" spans="1:16" x14ac:dyDescent="0.35">
      <c r="A403" s="49">
        <v>402</v>
      </c>
      <c r="B403" s="50">
        <v>40561</v>
      </c>
      <c r="C403" s="3">
        <v>1</v>
      </c>
      <c r="D403" s="3">
        <v>0</v>
      </c>
      <c r="E403" s="3" t="s">
        <v>104</v>
      </c>
      <c r="F403" s="3">
        <v>17</v>
      </c>
      <c r="G403" s="3" t="b">
        <v>0</v>
      </c>
      <c r="H403" s="3" t="s">
        <v>109</v>
      </c>
      <c r="I403" s="3" t="s">
        <v>114</v>
      </c>
      <c r="J403" s="3">
        <v>0.22</v>
      </c>
      <c r="K403" s="3">
        <v>0.2273</v>
      </c>
      <c r="L403" s="3">
        <v>0.82</v>
      </c>
      <c r="M403" s="3">
        <v>0.19400000000000001</v>
      </c>
      <c r="N403" s="3">
        <v>1</v>
      </c>
      <c r="O403" s="3">
        <v>124</v>
      </c>
      <c r="P403" s="51">
        <v>125</v>
      </c>
    </row>
    <row r="404" spans="1:16" x14ac:dyDescent="0.35">
      <c r="A404" s="49">
        <v>403</v>
      </c>
      <c r="B404" s="50">
        <v>40561</v>
      </c>
      <c r="C404" s="3">
        <v>1</v>
      </c>
      <c r="D404" s="3">
        <v>0</v>
      </c>
      <c r="E404" s="3" t="s">
        <v>104</v>
      </c>
      <c r="F404" s="3">
        <v>18</v>
      </c>
      <c r="G404" s="3" t="b">
        <v>0</v>
      </c>
      <c r="H404" s="3" t="s">
        <v>109</v>
      </c>
      <c r="I404" s="3" t="s">
        <v>114</v>
      </c>
      <c r="J404" s="3">
        <v>0.22</v>
      </c>
      <c r="K404" s="3">
        <v>0.2273</v>
      </c>
      <c r="L404" s="3">
        <v>0.8</v>
      </c>
      <c r="M404" s="3">
        <v>0.16420000000000001</v>
      </c>
      <c r="N404" s="3">
        <v>1</v>
      </c>
      <c r="O404" s="3">
        <v>132</v>
      </c>
      <c r="P404" s="51">
        <v>133</v>
      </c>
    </row>
    <row r="405" spans="1:16" x14ac:dyDescent="0.35">
      <c r="A405" s="49">
        <v>404</v>
      </c>
      <c r="B405" s="50">
        <v>40561</v>
      </c>
      <c r="C405" s="3">
        <v>1</v>
      </c>
      <c r="D405" s="3">
        <v>0</v>
      </c>
      <c r="E405" s="3" t="s">
        <v>104</v>
      </c>
      <c r="F405" s="3">
        <v>19</v>
      </c>
      <c r="G405" s="3" t="b">
        <v>0</v>
      </c>
      <c r="H405" s="3" t="s">
        <v>109</v>
      </c>
      <c r="I405" s="3" t="s">
        <v>114</v>
      </c>
      <c r="J405" s="3">
        <v>0.22</v>
      </c>
      <c r="K405" s="3">
        <v>0.2273</v>
      </c>
      <c r="L405" s="3">
        <v>0.8</v>
      </c>
      <c r="M405" s="3">
        <v>0.1343</v>
      </c>
      <c r="N405" s="3">
        <v>1</v>
      </c>
      <c r="O405" s="3">
        <v>98</v>
      </c>
      <c r="P405" s="51">
        <v>99</v>
      </c>
    </row>
    <row r="406" spans="1:16" x14ac:dyDescent="0.35">
      <c r="A406" s="49">
        <v>405</v>
      </c>
      <c r="B406" s="50">
        <v>40561</v>
      </c>
      <c r="C406" s="3">
        <v>1</v>
      </c>
      <c r="D406" s="3">
        <v>0</v>
      </c>
      <c r="E406" s="3" t="s">
        <v>104</v>
      </c>
      <c r="F406" s="3">
        <v>20</v>
      </c>
      <c r="G406" s="3" t="b">
        <v>0</v>
      </c>
      <c r="H406" s="3" t="s">
        <v>109</v>
      </c>
      <c r="I406" s="3" t="s">
        <v>114</v>
      </c>
      <c r="J406" s="3">
        <v>0.22</v>
      </c>
      <c r="K406" s="3">
        <v>0.2727</v>
      </c>
      <c r="L406" s="3">
        <v>0.87</v>
      </c>
      <c r="M406" s="3">
        <v>0</v>
      </c>
      <c r="N406" s="3">
        <v>0</v>
      </c>
      <c r="O406" s="3">
        <v>83</v>
      </c>
      <c r="P406" s="51">
        <v>83</v>
      </c>
    </row>
    <row r="407" spans="1:16" x14ac:dyDescent="0.35">
      <c r="A407" s="49">
        <v>406</v>
      </c>
      <c r="B407" s="50">
        <v>40561</v>
      </c>
      <c r="C407" s="3">
        <v>1</v>
      </c>
      <c r="D407" s="3">
        <v>0</v>
      </c>
      <c r="E407" s="3" t="s">
        <v>104</v>
      </c>
      <c r="F407" s="3">
        <v>21</v>
      </c>
      <c r="G407" s="3" t="b">
        <v>0</v>
      </c>
      <c r="H407" s="3" t="s">
        <v>109</v>
      </c>
      <c r="I407" s="3" t="s">
        <v>114</v>
      </c>
      <c r="J407" s="3">
        <v>0.22</v>
      </c>
      <c r="K407" s="3">
        <v>0.2424</v>
      </c>
      <c r="L407" s="3">
        <v>0.93</v>
      </c>
      <c r="M407" s="3">
        <v>0.1045</v>
      </c>
      <c r="N407" s="3">
        <v>0</v>
      </c>
      <c r="O407" s="3">
        <v>41</v>
      </c>
      <c r="P407" s="51">
        <v>41</v>
      </c>
    </row>
    <row r="408" spans="1:16" x14ac:dyDescent="0.35">
      <c r="A408" s="49">
        <v>407</v>
      </c>
      <c r="B408" s="50">
        <v>40561</v>
      </c>
      <c r="C408" s="3">
        <v>1</v>
      </c>
      <c r="D408" s="3">
        <v>0</v>
      </c>
      <c r="E408" s="3" t="s">
        <v>104</v>
      </c>
      <c r="F408" s="3">
        <v>22</v>
      </c>
      <c r="G408" s="3" t="b">
        <v>0</v>
      </c>
      <c r="H408" s="3" t="s">
        <v>109</v>
      </c>
      <c r="I408" s="3" t="s">
        <v>114</v>
      </c>
      <c r="J408" s="3">
        <v>0.22</v>
      </c>
      <c r="K408" s="3">
        <v>0.2576</v>
      </c>
      <c r="L408" s="3">
        <v>0.93</v>
      </c>
      <c r="M408" s="3">
        <v>8.9599999999999999E-2</v>
      </c>
      <c r="N408" s="3">
        <v>0</v>
      </c>
      <c r="O408" s="3">
        <v>33</v>
      </c>
      <c r="P408" s="51">
        <v>33</v>
      </c>
    </row>
    <row r="409" spans="1:16" x14ac:dyDescent="0.35">
      <c r="A409" s="49">
        <v>408</v>
      </c>
      <c r="B409" s="50">
        <v>40561</v>
      </c>
      <c r="C409" s="3">
        <v>1</v>
      </c>
      <c r="D409" s="3">
        <v>0</v>
      </c>
      <c r="E409" s="3" t="s">
        <v>104</v>
      </c>
      <c r="F409" s="3">
        <v>23</v>
      </c>
      <c r="G409" s="3" t="b">
        <v>0</v>
      </c>
      <c r="H409" s="3" t="s">
        <v>109</v>
      </c>
      <c r="I409" s="3" t="s">
        <v>114</v>
      </c>
      <c r="J409" s="3">
        <v>0.22</v>
      </c>
      <c r="K409" s="3">
        <v>0.2727</v>
      </c>
      <c r="L409" s="3">
        <v>0.93</v>
      </c>
      <c r="M409" s="3">
        <v>0</v>
      </c>
      <c r="N409" s="3">
        <v>1</v>
      </c>
      <c r="O409" s="3">
        <v>19</v>
      </c>
      <c r="P409" s="51">
        <v>20</v>
      </c>
    </row>
    <row r="410" spans="1:16" x14ac:dyDescent="0.35">
      <c r="A410" s="49">
        <v>409</v>
      </c>
      <c r="B410" s="50">
        <v>40562</v>
      </c>
      <c r="C410" s="3">
        <v>1</v>
      </c>
      <c r="D410" s="3">
        <v>0</v>
      </c>
      <c r="E410" s="3" t="s">
        <v>104</v>
      </c>
      <c r="F410" s="3">
        <v>0</v>
      </c>
      <c r="G410" s="3" t="b">
        <v>0</v>
      </c>
      <c r="H410" s="3" t="s">
        <v>110</v>
      </c>
      <c r="I410" s="3" t="s">
        <v>114</v>
      </c>
      <c r="J410" s="3">
        <v>0.22</v>
      </c>
      <c r="K410" s="3">
        <v>0.2727</v>
      </c>
      <c r="L410" s="3">
        <v>0.93</v>
      </c>
      <c r="M410" s="3">
        <v>0</v>
      </c>
      <c r="N410" s="3">
        <v>0</v>
      </c>
      <c r="O410" s="3">
        <v>3</v>
      </c>
      <c r="P410" s="51">
        <v>3</v>
      </c>
    </row>
    <row r="411" spans="1:16" x14ac:dyDescent="0.35">
      <c r="A411" s="49">
        <v>410</v>
      </c>
      <c r="B411" s="50">
        <v>40562</v>
      </c>
      <c r="C411" s="3">
        <v>1</v>
      </c>
      <c r="D411" s="3">
        <v>0</v>
      </c>
      <c r="E411" s="3" t="s">
        <v>104</v>
      </c>
      <c r="F411" s="3">
        <v>1</v>
      </c>
      <c r="G411" s="3" t="b">
        <v>0</v>
      </c>
      <c r="H411" s="3" t="s">
        <v>110</v>
      </c>
      <c r="I411" s="3" t="s">
        <v>115</v>
      </c>
      <c r="J411" s="3">
        <v>0.22</v>
      </c>
      <c r="K411" s="3">
        <v>0.2273</v>
      </c>
      <c r="L411" s="3">
        <v>0.93</v>
      </c>
      <c r="M411" s="3">
        <v>0.1343</v>
      </c>
      <c r="N411" s="3">
        <v>1</v>
      </c>
      <c r="O411" s="3">
        <v>6</v>
      </c>
      <c r="P411" s="51">
        <v>7</v>
      </c>
    </row>
    <row r="412" spans="1:16" x14ac:dyDescent="0.35">
      <c r="A412" s="49">
        <v>411</v>
      </c>
      <c r="B412" s="50">
        <v>40562</v>
      </c>
      <c r="C412" s="3">
        <v>1</v>
      </c>
      <c r="D412" s="3">
        <v>0</v>
      </c>
      <c r="E412" s="3" t="s">
        <v>104</v>
      </c>
      <c r="F412" s="3">
        <v>2</v>
      </c>
      <c r="G412" s="3" t="b">
        <v>0</v>
      </c>
      <c r="H412" s="3" t="s">
        <v>110</v>
      </c>
      <c r="I412" s="3" t="s">
        <v>115</v>
      </c>
      <c r="J412" s="3">
        <v>0.22</v>
      </c>
      <c r="K412" s="3">
        <v>0.2273</v>
      </c>
      <c r="L412" s="3">
        <v>0.93</v>
      </c>
      <c r="M412" s="3">
        <v>0.1343</v>
      </c>
      <c r="N412" s="3">
        <v>0</v>
      </c>
      <c r="O412" s="3">
        <v>3</v>
      </c>
      <c r="P412" s="51">
        <v>3</v>
      </c>
    </row>
    <row r="413" spans="1:16" x14ac:dyDescent="0.35">
      <c r="A413" s="49">
        <v>412</v>
      </c>
      <c r="B413" s="50">
        <v>40562</v>
      </c>
      <c r="C413" s="3">
        <v>1</v>
      </c>
      <c r="D413" s="3">
        <v>0</v>
      </c>
      <c r="E413" s="3" t="s">
        <v>104</v>
      </c>
      <c r="F413" s="3">
        <v>4</v>
      </c>
      <c r="G413" s="3" t="b">
        <v>0</v>
      </c>
      <c r="H413" s="3" t="s">
        <v>110</v>
      </c>
      <c r="I413" s="3" t="s">
        <v>115</v>
      </c>
      <c r="J413" s="3">
        <v>0.22</v>
      </c>
      <c r="K413" s="3">
        <v>0.2273</v>
      </c>
      <c r="L413" s="3">
        <v>0.93</v>
      </c>
      <c r="M413" s="3">
        <v>0.1343</v>
      </c>
      <c r="N413" s="3">
        <v>1</v>
      </c>
      <c r="O413" s="3">
        <v>1</v>
      </c>
      <c r="P413" s="51">
        <v>2</v>
      </c>
    </row>
    <row r="414" spans="1:16" x14ac:dyDescent="0.35">
      <c r="A414" s="49">
        <v>413</v>
      </c>
      <c r="B414" s="50">
        <v>40562</v>
      </c>
      <c r="C414" s="3">
        <v>1</v>
      </c>
      <c r="D414" s="3">
        <v>0</v>
      </c>
      <c r="E414" s="3" t="s">
        <v>104</v>
      </c>
      <c r="F414" s="3">
        <v>5</v>
      </c>
      <c r="G414" s="3" t="b">
        <v>0</v>
      </c>
      <c r="H414" s="3" t="s">
        <v>110</v>
      </c>
      <c r="I414" s="3" t="s">
        <v>114</v>
      </c>
      <c r="J414" s="3">
        <v>0.22</v>
      </c>
      <c r="K414" s="3">
        <v>0.2576</v>
      </c>
      <c r="L414" s="3">
        <v>0.93</v>
      </c>
      <c r="M414" s="3">
        <v>8.9599999999999999E-2</v>
      </c>
      <c r="N414" s="3">
        <v>0</v>
      </c>
      <c r="O414" s="3">
        <v>7</v>
      </c>
      <c r="P414" s="51">
        <v>7</v>
      </c>
    </row>
    <row r="415" spans="1:16" x14ac:dyDescent="0.35">
      <c r="A415" s="49">
        <v>414</v>
      </c>
      <c r="B415" s="50">
        <v>40562</v>
      </c>
      <c r="C415" s="3">
        <v>1</v>
      </c>
      <c r="D415" s="3">
        <v>0</v>
      </c>
      <c r="E415" s="3" t="s">
        <v>104</v>
      </c>
      <c r="F415" s="3">
        <v>6</v>
      </c>
      <c r="G415" s="3" t="b">
        <v>0</v>
      </c>
      <c r="H415" s="3" t="s">
        <v>110</v>
      </c>
      <c r="I415" s="3" t="s">
        <v>114</v>
      </c>
      <c r="J415" s="3">
        <v>0.22</v>
      </c>
      <c r="K415" s="3">
        <v>0.2576</v>
      </c>
      <c r="L415" s="3">
        <v>0.93</v>
      </c>
      <c r="M415" s="3">
        <v>8.9599999999999999E-2</v>
      </c>
      <c r="N415" s="3">
        <v>0</v>
      </c>
      <c r="O415" s="3">
        <v>32</v>
      </c>
      <c r="P415" s="51">
        <v>32</v>
      </c>
    </row>
    <row r="416" spans="1:16" x14ac:dyDescent="0.35">
      <c r="A416" s="49">
        <v>415</v>
      </c>
      <c r="B416" s="50">
        <v>40562</v>
      </c>
      <c r="C416" s="3">
        <v>1</v>
      </c>
      <c r="D416" s="3">
        <v>0</v>
      </c>
      <c r="E416" s="3" t="s">
        <v>104</v>
      </c>
      <c r="F416" s="3">
        <v>7</v>
      </c>
      <c r="G416" s="3" t="b">
        <v>0</v>
      </c>
      <c r="H416" s="3" t="s">
        <v>110</v>
      </c>
      <c r="I416" s="3" t="s">
        <v>114</v>
      </c>
      <c r="J416" s="3">
        <v>0.24</v>
      </c>
      <c r="K416" s="3">
        <v>0.2576</v>
      </c>
      <c r="L416" s="3">
        <v>0.92</v>
      </c>
      <c r="M416" s="3">
        <v>0.1045</v>
      </c>
      <c r="N416" s="3">
        <v>1</v>
      </c>
      <c r="O416" s="3">
        <v>89</v>
      </c>
      <c r="P416" s="51">
        <v>90</v>
      </c>
    </row>
    <row r="417" spans="1:16" x14ac:dyDescent="0.35">
      <c r="A417" s="49">
        <v>416</v>
      </c>
      <c r="B417" s="50">
        <v>40562</v>
      </c>
      <c r="C417" s="3">
        <v>1</v>
      </c>
      <c r="D417" s="3">
        <v>0</v>
      </c>
      <c r="E417" s="3" t="s">
        <v>104</v>
      </c>
      <c r="F417" s="3">
        <v>8</v>
      </c>
      <c r="G417" s="3" t="b">
        <v>0</v>
      </c>
      <c r="H417" s="3" t="s">
        <v>110</v>
      </c>
      <c r="I417" s="3" t="s">
        <v>114</v>
      </c>
      <c r="J417" s="3">
        <v>0.24</v>
      </c>
      <c r="K417" s="3">
        <v>0.2576</v>
      </c>
      <c r="L417" s="3">
        <v>0.93</v>
      </c>
      <c r="M417" s="3">
        <v>0.1045</v>
      </c>
      <c r="N417" s="3">
        <v>1</v>
      </c>
      <c r="O417" s="3">
        <v>196</v>
      </c>
      <c r="P417" s="51">
        <v>197</v>
      </c>
    </row>
    <row r="418" spans="1:16" x14ac:dyDescent="0.35">
      <c r="A418" s="49">
        <v>417</v>
      </c>
      <c r="B418" s="50">
        <v>40562</v>
      </c>
      <c r="C418" s="3">
        <v>1</v>
      </c>
      <c r="D418" s="3">
        <v>0</v>
      </c>
      <c r="E418" s="3" t="s">
        <v>104</v>
      </c>
      <c r="F418" s="3">
        <v>9</v>
      </c>
      <c r="G418" s="3" t="b">
        <v>0</v>
      </c>
      <c r="H418" s="3" t="s">
        <v>110</v>
      </c>
      <c r="I418" s="3" t="s">
        <v>114</v>
      </c>
      <c r="J418" s="3">
        <v>0.24</v>
      </c>
      <c r="K418" s="3">
        <v>0.2576</v>
      </c>
      <c r="L418" s="3">
        <v>0.93</v>
      </c>
      <c r="M418" s="3">
        <v>0.1045</v>
      </c>
      <c r="N418" s="3">
        <v>2</v>
      </c>
      <c r="O418" s="3">
        <v>107</v>
      </c>
      <c r="P418" s="51">
        <v>109</v>
      </c>
    </row>
    <row r="419" spans="1:16" x14ac:dyDescent="0.35">
      <c r="A419" s="49">
        <v>418</v>
      </c>
      <c r="B419" s="50">
        <v>40562</v>
      </c>
      <c r="C419" s="3">
        <v>1</v>
      </c>
      <c r="D419" s="3">
        <v>0</v>
      </c>
      <c r="E419" s="3" t="s">
        <v>104</v>
      </c>
      <c r="F419" s="3">
        <v>10</v>
      </c>
      <c r="G419" s="3" t="b">
        <v>0</v>
      </c>
      <c r="H419" s="3" t="s">
        <v>110</v>
      </c>
      <c r="I419" s="3" t="s">
        <v>114</v>
      </c>
      <c r="J419" s="3">
        <v>0.26</v>
      </c>
      <c r="K419" s="3">
        <v>0.2727</v>
      </c>
      <c r="L419" s="3">
        <v>0.93</v>
      </c>
      <c r="M419" s="3">
        <v>0.1343</v>
      </c>
      <c r="N419" s="3">
        <v>1</v>
      </c>
      <c r="O419" s="3">
        <v>46</v>
      </c>
      <c r="P419" s="51">
        <v>47</v>
      </c>
    </row>
    <row r="420" spans="1:16" x14ac:dyDescent="0.35">
      <c r="A420" s="49">
        <v>419</v>
      </c>
      <c r="B420" s="50">
        <v>40562</v>
      </c>
      <c r="C420" s="3">
        <v>1</v>
      </c>
      <c r="D420" s="3">
        <v>0</v>
      </c>
      <c r="E420" s="3" t="s">
        <v>104</v>
      </c>
      <c r="F420" s="3">
        <v>11</v>
      </c>
      <c r="G420" s="3" t="b">
        <v>0</v>
      </c>
      <c r="H420" s="3" t="s">
        <v>110</v>
      </c>
      <c r="I420" s="3" t="s">
        <v>114</v>
      </c>
      <c r="J420" s="3">
        <v>0.28000000000000003</v>
      </c>
      <c r="K420" s="3">
        <v>0.30299999999999999</v>
      </c>
      <c r="L420" s="3">
        <v>0.87</v>
      </c>
      <c r="M420" s="3">
        <v>8.9599999999999999E-2</v>
      </c>
      <c r="N420" s="3">
        <v>5</v>
      </c>
      <c r="O420" s="3">
        <v>47</v>
      </c>
      <c r="P420" s="51">
        <v>52</v>
      </c>
    </row>
    <row r="421" spans="1:16" x14ac:dyDescent="0.35">
      <c r="A421" s="49">
        <v>420</v>
      </c>
      <c r="B421" s="50">
        <v>40562</v>
      </c>
      <c r="C421" s="3">
        <v>1</v>
      </c>
      <c r="D421" s="3">
        <v>0</v>
      </c>
      <c r="E421" s="3" t="s">
        <v>104</v>
      </c>
      <c r="F421" s="3">
        <v>12</v>
      </c>
      <c r="G421" s="3" t="b">
        <v>0</v>
      </c>
      <c r="H421" s="3" t="s">
        <v>110</v>
      </c>
      <c r="I421" s="3" t="s">
        <v>114</v>
      </c>
      <c r="J421" s="3">
        <v>0.3</v>
      </c>
      <c r="K421" s="3">
        <v>0.31819999999999998</v>
      </c>
      <c r="L421" s="3">
        <v>0.81</v>
      </c>
      <c r="M421" s="3">
        <v>8.9599999999999999E-2</v>
      </c>
      <c r="N421" s="3">
        <v>5</v>
      </c>
      <c r="O421" s="3">
        <v>65</v>
      </c>
      <c r="P421" s="51">
        <v>70</v>
      </c>
    </row>
    <row r="422" spans="1:16" x14ac:dyDescent="0.35">
      <c r="A422" s="49">
        <v>421</v>
      </c>
      <c r="B422" s="50">
        <v>40562</v>
      </c>
      <c r="C422" s="3">
        <v>1</v>
      </c>
      <c r="D422" s="3">
        <v>0</v>
      </c>
      <c r="E422" s="3" t="s">
        <v>104</v>
      </c>
      <c r="F422" s="3">
        <v>13</v>
      </c>
      <c r="G422" s="3" t="b">
        <v>0</v>
      </c>
      <c r="H422" s="3" t="s">
        <v>110</v>
      </c>
      <c r="I422" s="3" t="s">
        <v>113</v>
      </c>
      <c r="J422" s="3">
        <v>0.4</v>
      </c>
      <c r="K422" s="3">
        <v>0.40910000000000002</v>
      </c>
      <c r="L422" s="3">
        <v>0.62</v>
      </c>
      <c r="M422" s="3">
        <v>0.28360000000000002</v>
      </c>
      <c r="N422" s="3">
        <v>11</v>
      </c>
      <c r="O422" s="3">
        <v>67</v>
      </c>
      <c r="P422" s="51">
        <v>78</v>
      </c>
    </row>
    <row r="423" spans="1:16" x14ac:dyDescent="0.35">
      <c r="A423" s="49">
        <v>422</v>
      </c>
      <c r="B423" s="50">
        <v>40562</v>
      </c>
      <c r="C423" s="3">
        <v>1</v>
      </c>
      <c r="D423" s="3">
        <v>0</v>
      </c>
      <c r="E423" s="3" t="s">
        <v>104</v>
      </c>
      <c r="F423" s="3">
        <v>14</v>
      </c>
      <c r="G423" s="3" t="b">
        <v>0</v>
      </c>
      <c r="H423" s="3" t="s">
        <v>110</v>
      </c>
      <c r="I423" s="3" t="s">
        <v>113</v>
      </c>
      <c r="J423" s="3">
        <v>0.4</v>
      </c>
      <c r="K423" s="3">
        <v>0.40910000000000002</v>
      </c>
      <c r="L423" s="3">
        <v>0.57999999999999996</v>
      </c>
      <c r="M423" s="3">
        <v>0.25369999999999998</v>
      </c>
      <c r="N423" s="3">
        <v>7</v>
      </c>
      <c r="O423" s="3">
        <v>68</v>
      </c>
      <c r="P423" s="51">
        <v>75</v>
      </c>
    </row>
    <row r="424" spans="1:16" x14ac:dyDescent="0.35">
      <c r="A424" s="49">
        <v>423</v>
      </c>
      <c r="B424" s="50">
        <v>40562</v>
      </c>
      <c r="C424" s="3">
        <v>1</v>
      </c>
      <c r="D424" s="3">
        <v>0</v>
      </c>
      <c r="E424" s="3" t="s">
        <v>104</v>
      </c>
      <c r="F424" s="3">
        <v>15</v>
      </c>
      <c r="G424" s="3" t="b">
        <v>0</v>
      </c>
      <c r="H424" s="3" t="s">
        <v>110</v>
      </c>
      <c r="I424" s="3" t="s">
        <v>113</v>
      </c>
      <c r="J424" s="3">
        <v>0.4</v>
      </c>
      <c r="K424" s="3">
        <v>0.40910000000000002</v>
      </c>
      <c r="L424" s="3">
        <v>0.54</v>
      </c>
      <c r="M424" s="3">
        <v>0.28360000000000002</v>
      </c>
      <c r="N424" s="3">
        <v>4</v>
      </c>
      <c r="O424" s="3">
        <v>78</v>
      </c>
      <c r="P424" s="51">
        <v>82</v>
      </c>
    </row>
    <row r="425" spans="1:16" x14ac:dyDescent="0.35">
      <c r="A425" s="49">
        <v>424</v>
      </c>
      <c r="B425" s="50">
        <v>40562</v>
      </c>
      <c r="C425" s="3">
        <v>1</v>
      </c>
      <c r="D425" s="3">
        <v>0</v>
      </c>
      <c r="E425" s="3" t="s">
        <v>104</v>
      </c>
      <c r="F425" s="3">
        <v>16</v>
      </c>
      <c r="G425" s="3" t="b">
        <v>0</v>
      </c>
      <c r="H425" s="3" t="s">
        <v>110</v>
      </c>
      <c r="I425" s="3" t="s">
        <v>113</v>
      </c>
      <c r="J425" s="3">
        <v>0.38</v>
      </c>
      <c r="K425" s="3">
        <v>0.39389999999999997</v>
      </c>
      <c r="L425" s="3">
        <v>0.57999999999999996</v>
      </c>
      <c r="M425" s="3">
        <v>0.3881</v>
      </c>
      <c r="N425" s="3">
        <v>10</v>
      </c>
      <c r="O425" s="3">
        <v>94</v>
      </c>
      <c r="P425" s="51">
        <v>104</v>
      </c>
    </row>
    <row r="426" spans="1:16" x14ac:dyDescent="0.35">
      <c r="A426" s="49">
        <v>425</v>
      </c>
      <c r="B426" s="50">
        <v>40562</v>
      </c>
      <c r="C426" s="3">
        <v>1</v>
      </c>
      <c r="D426" s="3">
        <v>0</v>
      </c>
      <c r="E426" s="3" t="s">
        <v>104</v>
      </c>
      <c r="F426" s="3">
        <v>17</v>
      </c>
      <c r="G426" s="3" t="b">
        <v>0</v>
      </c>
      <c r="H426" s="3" t="s">
        <v>110</v>
      </c>
      <c r="I426" s="3" t="s">
        <v>113</v>
      </c>
      <c r="J426" s="3">
        <v>0.36</v>
      </c>
      <c r="K426" s="3">
        <v>0.33329999999999999</v>
      </c>
      <c r="L426" s="3">
        <v>0.56999999999999995</v>
      </c>
      <c r="M426" s="3">
        <v>0.32840000000000003</v>
      </c>
      <c r="N426" s="3">
        <v>7</v>
      </c>
      <c r="O426" s="3">
        <v>190</v>
      </c>
      <c r="P426" s="51">
        <v>197</v>
      </c>
    </row>
    <row r="427" spans="1:16" x14ac:dyDescent="0.35">
      <c r="A427" s="49">
        <v>426</v>
      </c>
      <c r="B427" s="50">
        <v>40562</v>
      </c>
      <c r="C427" s="3">
        <v>1</v>
      </c>
      <c r="D427" s="3">
        <v>0</v>
      </c>
      <c r="E427" s="3" t="s">
        <v>104</v>
      </c>
      <c r="F427" s="3">
        <v>18</v>
      </c>
      <c r="G427" s="3" t="b">
        <v>0</v>
      </c>
      <c r="H427" s="3" t="s">
        <v>110</v>
      </c>
      <c r="I427" s="3" t="s">
        <v>113</v>
      </c>
      <c r="J427" s="3">
        <v>0.34</v>
      </c>
      <c r="K427" s="3">
        <v>0.31819999999999998</v>
      </c>
      <c r="L427" s="3">
        <v>0.61</v>
      </c>
      <c r="M427" s="3">
        <v>0.28360000000000002</v>
      </c>
      <c r="N427" s="3">
        <v>5</v>
      </c>
      <c r="O427" s="3">
        <v>156</v>
      </c>
      <c r="P427" s="51">
        <v>161</v>
      </c>
    </row>
    <row r="428" spans="1:16" x14ac:dyDescent="0.35">
      <c r="A428" s="49">
        <v>427</v>
      </c>
      <c r="B428" s="50">
        <v>40562</v>
      </c>
      <c r="C428" s="3">
        <v>1</v>
      </c>
      <c r="D428" s="3">
        <v>0</v>
      </c>
      <c r="E428" s="3" t="s">
        <v>104</v>
      </c>
      <c r="F428" s="3">
        <v>19</v>
      </c>
      <c r="G428" s="3" t="b">
        <v>0</v>
      </c>
      <c r="H428" s="3" t="s">
        <v>110</v>
      </c>
      <c r="I428" s="3" t="s">
        <v>113</v>
      </c>
      <c r="J428" s="3">
        <v>0.32</v>
      </c>
      <c r="K428" s="3">
        <v>0.28789999999999999</v>
      </c>
      <c r="L428" s="3">
        <v>0.56999999999999995</v>
      </c>
      <c r="M428" s="3">
        <v>0.41789999999999999</v>
      </c>
      <c r="N428" s="3">
        <v>4</v>
      </c>
      <c r="O428" s="3">
        <v>108</v>
      </c>
      <c r="P428" s="51">
        <v>112</v>
      </c>
    </row>
    <row r="429" spans="1:16" x14ac:dyDescent="0.35">
      <c r="A429" s="49">
        <v>428</v>
      </c>
      <c r="B429" s="50">
        <v>40562</v>
      </c>
      <c r="C429" s="3">
        <v>1</v>
      </c>
      <c r="D429" s="3">
        <v>0</v>
      </c>
      <c r="E429" s="3" t="s">
        <v>104</v>
      </c>
      <c r="F429" s="3">
        <v>20</v>
      </c>
      <c r="G429" s="3" t="b">
        <v>0</v>
      </c>
      <c r="H429" s="3" t="s">
        <v>110</v>
      </c>
      <c r="I429" s="3" t="s">
        <v>113</v>
      </c>
      <c r="J429" s="3">
        <v>0.32</v>
      </c>
      <c r="K429" s="3">
        <v>0.30299999999999999</v>
      </c>
      <c r="L429" s="3">
        <v>0.49</v>
      </c>
      <c r="M429" s="3">
        <v>0.29849999999999999</v>
      </c>
      <c r="N429" s="3">
        <v>2</v>
      </c>
      <c r="O429" s="3">
        <v>74</v>
      </c>
      <c r="P429" s="51">
        <v>76</v>
      </c>
    </row>
    <row r="430" spans="1:16" x14ac:dyDescent="0.35">
      <c r="A430" s="49">
        <v>429</v>
      </c>
      <c r="B430" s="50">
        <v>40562</v>
      </c>
      <c r="C430" s="3">
        <v>1</v>
      </c>
      <c r="D430" s="3">
        <v>0</v>
      </c>
      <c r="E430" s="3" t="s">
        <v>104</v>
      </c>
      <c r="F430" s="3">
        <v>21</v>
      </c>
      <c r="G430" s="3" t="b">
        <v>0</v>
      </c>
      <c r="H430" s="3" t="s">
        <v>110</v>
      </c>
      <c r="I430" s="3" t="s">
        <v>113</v>
      </c>
      <c r="J430" s="3">
        <v>0.32</v>
      </c>
      <c r="K430" s="3">
        <v>0.28789999999999999</v>
      </c>
      <c r="L430" s="3">
        <v>0.49</v>
      </c>
      <c r="M430" s="3">
        <v>0.41789999999999999</v>
      </c>
      <c r="N430" s="3">
        <v>4</v>
      </c>
      <c r="O430" s="3">
        <v>55</v>
      </c>
      <c r="P430" s="51">
        <v>59</v>
      </c>
    </row>
    <row r="431" spans="1:16" x14ac:dyDescent="0.35">
      <c r="A431" s="49">
        <v>430</v>
      </c>
      <c r="B431" s="50">
        <v>40562</v>
      </c>
      <c r="C431" s="3">
        <v>1</v>
      </c>
      <c r="D431" s="3">
        <v>0</v>
      </c>
      <c r="E431" s="3" t="s">
        <v>104</v>
      </c>
      <c r="F431" s="3">
        <v>22</v>
      </c>
      <c r="G431" s="3" t="b">
        <v>0</v>
      </c>
      <c r="H431" s="3" t="s">
        <v>110</v>
      </c>
      <c r="I431" s="3" t="s">
        <v>113</v>
      </c>
      <c r="J431" s="3">
        <v>0.3</v>
      </c>
      <c r="K431" s="3">
        <v>0.30299999999999999</v>
      </c>
      <c r="L431" s="3">
        <v>0.52</v>
      </c>
      <c r="M431" s="3">
        <v>0.16420000000000001</v>
      </c>
      <c r="N431" s="3">
        <v>6</v>
      </c>
      <c r="O431" s="3">
        <v>53</v>
      </c>
      <c r="P431" s="51">
        <v>59</v>
      </c>
    </row>
    <row r="432" spans="1:16" x14ac:dyDescent="0.35">
      <c r="A432" s="49">
        <v>431</v>
      </c>
      <c r="B432" s="50">
        <v>40562</v>
      </c>
      <c r="C432" s="3">
        <v>1</v>
      </c>
      <c r="D432" s="3">
        <v>0</v>
      </c>
      <c r="E432" s="3" t="s">
        <v>104</v>
      </c>
      <c r="F432" s="3">
        <v>23</v>
      </c>
      <c r="G432" s="3" t="b">
        <v>0</v>
      </c>
      <c r="H432" s="3" t="s">
        <v>110</v>
      </c>
      <c r="I432" s="3" t="s">
        <v>113</v>
      </c>
      <c r="J432" s="3">
        <v>0.3</v>
      </c>
      <c r="K432" s="3">
        <v>0.2727</v>
      </c>
      <c r="L432" s="3">
        <v>0.52</v>
      </c>
      <c r="M432" s="3">
        <v>0.4627</v>
      </c>
      <c r="N432" s="3">
        <v>1</v>
      </c>
      <c r="O432" s="3">
        <v>27</v>
      </c>
      <c r="P432" s="51">
        <v>28</v>
      </c>
    </row>
    <row r="433" spans="1:16" x14ac:dyDescent="0.35">
      <c r="A433" s="49">
        <v>432</v>
      </c>
      <c r="B433" s="50">
        <v>40563</v>
      </c>
      <c r="C433" s="3">
        <v>1</v>
      </c>
      <c r="D433" s="3">
        <v>0</v>
      </c>
      <c r="E433" s="3" t="s">
        <v>104</v>
      </c>
      <c r="F433" s="3">
        <v>0</v>
      </c>
      <c r="G433" s="3" t="b">
        <v>0</v>
      </c>
      <c r="H433" s="3" t="s">
        <v>111</v>
      </c>
      <c r="I433" s="3" t="s">
        <v>113</v>
      </c>
      <c r="J433" s="3">
        <v>0.26</v>
      </c>
      <c r="K433" s="3">
        <v>0.2273</v>
      </c>
      <c r="L433" s="3">
        <v>0.56000000000000005</v>
      </c>
      <c r="M433" s="3">
        <v>0.3881</v>
      </c>
      <c r="N433" s="3">
        <v>5</v>
      </c>
      <c r="O433" s="3">
        <v>8</v>
      </c>
      <c r="P433" s="51">
        <v>13</v>
      </c>
    </row>
    <row r="434" spans="1:16" x14ac:dyDescent="0.35">
      <c r="A434" s="49">
        <v>433</v>
      </c>
      <c r="B434" s="50">
        <v>40563</v>
      </c>
      <c r="C434" s="3">
        <v>1</v>
      </c>
      <c r="D434" s="3">
        <v>0</v>
      </c>
      <c r="E434" s="3" t="s">
        <v>104</v>
      </c>
      <c r="F434" s="3">
        <v>1</v>
      </c>
      <c r="G434" s="3" t="b">
        <v>0</v>
      </c>
      <c r="H434" s="3" t="s">
        <v>111</v>
      </c>
      <c r="I434" s="3" t="s">
        <v>113</v>
      </c>
      <c r="J434" s="3">
        <v>0.26</v>
      </c>
      <c r="K434" s="3">
        <v>0.2727</v>
      </c>
      <c r="L434" s="3">
        <v>0.56000000000000005</v>
      </c>
      <c r="M434" s="3">
        <v>0</v>
      </c>
      <c r="N434" s="3">
        <v>2</v>
      </c>
      <c r="O434" s="3">
        <v>3</v>
      </c>
      <c r="P434" s="51">
        <v>5</v>
      </c>
    </row>
    <row r="435" spans="1:16" x14ac:dyDescent="0.35">
      <c r="A435" s="49">
        <v>434</v>
      </c>
      <c r="B435" s="50">
        <v>40563</v>
      </c>
      <c r="C435" s="3">
        <v>1</v>
      </c>
      <c r="D435" s="3">
        <v>0</v>
      </c>
      <c r="E435" s="3" t="s">
        <v>104</v>
      </c>
      <c r="F435" s="3">
        <v>2</v>
      </c>
      <c r="G435" s="3" t="b">
        <v>0</v>
      </c>
      <c r="H435" s="3" t="s">
        <v>111</v>
      </c>
      <c r="I435" s="3" t="s">
        <v>113</v>
      </c>
      <c r="J435" s="3">
        <v>0.26</v>
      </c>
      <c r="K435" s="3">
        <v>0.2727</v>
      </c>
      <c r="L435" s="3">
        <v>0.56000000000000005</v>
      </c>
      <c r="M435" s="3">
        <v>0</v>
      </c>
      <c r="N435" s="3">
        <v>0</v>
      </c>
      <c r="O435" s="3">
        <v>2</v>
      </c>
      <c r="P435" s="51">
        <v>2</v>
      </c>
    </row>
    <row r="436" spans="1:16" x14ac:dyDescent="0.35">
      <c r="A436" s="49">
        <v>435</v>
      </c>
      <c r="B436" s="50">
        <v>40563</v>
      </c>
      <c r="C436" s="3">
        <v>1</v>
      </c>
      <c r="D436" s="3">
        <v>0</v>
      </c>
      <c r="E436" s="3" t="s">
        <v>104</v>
      </c>
      <c r="F436" s="3">
        <v>3</v>
      </c>
      <c r="G436" s="3" t="b">
        <v>0</v>
      </c>
      <c r="H436" s="3" t="s">
        <v>111</v>
      </c>
      <c r="I436" s="3" t="s">
        <v>113</v>
      </c>
      <c r="J436" s="3">
        <v>0.26</v>
      </c>
      <c r="K436" s="3">
        <v>0.2576</v>
      </c>
      <c r="L436" s="3">
        <v>0.56000000000000005</v>
      </c>
      <c r="M436" s="3">
        <v>0.16420000000000001</v>
      </c>
      <c r="N436" s="3">
        <v>0</v>
      </c>
      <c r="O436" s="3">
        <v>1</v>
      </c>
      <c r="P436" s="51">
        <v>1</v>
      </c>
    </row>
    <row r="437" spans="1:16" x14ac:dyDescent="0.35">
      <c r="A437" s="49">
        <v>436</v>
      </c>
      <c r="B437" s="50">
        <v>40563</v>
      </c>
      <c r="C437" s="3">
        <v>1</v>
      </c>
      <c r="D437" s="3">
        <v>0</v>
      </c>
      <c r="E437" s="3" t="s">
        <v>104</v>
      </c>
      <c r="F437" s="3">
        <v>4</v>
      </c>
      <c r="G437" s="3" t="b">
        <v>0</v>
      </c>
      <c r="H437" s="3" t="s">
        <v>111</v>
      </c>
      <c r="I437" s="3" t="s">
        <v>113</v>
      </c>
      <c r="J437" s="3">
        <v>0.26</v>
      </c>
      <c r="K437" s="3">
        <v>0.2576</v>
      </c>
      <c r="L437" s="3">
        <v>0.56000000000000005</v>
      </c>
      <c r="M437" s="3">
        <v>0.16420000000000001</v>
      </c>
      <c r="N437" s="3">
        <v>0</v>
      </c>
      <c r="O437" s="3">
        <v>1</v>
      </c>
      <c r="P437" s="51">
        <v>1</v>
      </c>
    </row>
    <row r="438" spans="1:16" x14ac:dyDescent="0.35">
      <c r="A438" s="49">
        <v>437</v>
      </c>
      <c r="B438" s="50">
        <v>40563</v>
      </c>
      <c r="C438" s="3">
        <v>1</v>
      </c>
      <c r="D438" s="3">
        <v>0</v>
      </c>
      <c r="E438" s="3" t="s">
        <v>104</v>
      </c>
      <c r="F438" s="3">
        <v>5</v>
      </c>
      <c r="G438" s="3" t="b">
        <v>0</v>
      </c>
      <c r="H438" s="3" t="s">
        <v>111</v>
      </c>
      <c r="I438" s="3" t="s">
        <v>113</v>
      </c>
      <c r="J438" s="3">
        <v>0.24</v>
      </c>
      <c r="K438" s="3">
        <v>0.2273</v>
      </c>
      <c r="L438" s="3">
        <v>0.6</v>
      </c>
      <c r="M438" s="3">
        <v>0.22389999999999999</v>
      </c>
      <c r="N438" s="3">
        <v>0</v>
      </c>
      <c r="O438" s="3">
        <v>6</v>
      </c>
      <c r="P438" s="51">
        <v>6</v>
      </c>
    </row>
    <row r="439" spans="1:16" x14ac:dyDescent="0.35">
      <c r="A439" s="49">
        <v>438</v>
      </c>
      <c r="B439" s="50">
        <v>40563</v>
      </c>
      <c r="C439" s="3">
        <v>1</v>
      </c>
      <c r="D439" s="3">
        <v>0</v>
      </c>
      <c r="E439" s="3" t="s">
        <v>104</v>
      </c>
      <c r="F439" s="3">
        <v>6</v>
      </c>
      <c r="G439" s="3" t="b">
        <v>0</v>
      </c>
      <c r="H439" s="3" t="s">
        <v>111</v>
      </c>
      <c r="I439" s="3" t="s">
        <v>113</v>
      </c>
      <c r="J439" s="3">
        <v>0.22</v>
      </c>
      <c r="K439" s="3">
        <v>0.21210000000000001</v>
      </c>
      <c r="L439" s="3">
        <v>0.6</v>
      </c>
      <c r="M439" s="3">
        <v>0.22389999999999999</v>
      </c>
      <c r="N439" s="3">
        <v>0</v>
      </c>
      <c r="O439" s="3">
        <v>35</v>
      </c>
      <c r="P439" s="51">
        <v>35</v>
      </c>
    </row>
    <row r="440" spans="1:16" x14ac:dyDescent="0.35">
      <c r="A440" s="49">
        <v>439</v>
      </c>
      <c r="B440" s="50">
        <v>40563</v>
      </c>
      <c r="C440" s="3">
        <v>1</v>
      </c>
      <c r="D440" s="3">
        <v>0</v>
      </c>
      <c r="E440" s="3" t="s">
        <v>104</v>
      </c>
      <c r="F440" s="3">
        <v>7</v>
      </c>
      <c r="G440" s="3" t="b">
        <v>0</v>
      </c>
      <c r="H440" s="3" t="s">
        <v>111</v>
      </c>
      <c r="I440" s="3" t="s">
        <v>113</v>
      </c>
      <c r="J440" s="3">
        <v>0.22</v>
      </c>
      <c r="K440" s="3">
        <v>0.21210000000000001</v>
      </c>
      <c r="L440" s="3">
        <v>0.55000000000000004</v>
      </c>
      <c r="M440" s="3">
        <v>0.22389999999999999</v>
      </c>
      <c r="N440" s="3">
        <v>1</v>
      </c>
      <c r="O440" s="3">
        <v>100</v>
      </c>
      <c r="P440" s="51">
        <v>101</v>
      </c>
    </row>
    <row r="441" spans="1:16" x14ac:dyDescent="0.35">
      <c r="A441" s="49">
        <v>440</v>
      </c>
      <c r="B441" s="50">
        <v>40563</v>
      </c>
      <c r="C441" s="3">
        <v>1</v>
      </c>
      <c r="D441" s="3">
        <v>0</v>
      </c>
      <c r="E441" s="3" t="s">
        <v>104</v>
      </c>
      <c r="F441" s="3">
        <v>8</v>
      </c>
      <c r="G441" s="3" t="b">
        <v>0</v>
      </c>
      <c r="H441" s="3" t="s">
        <v>111</v>
      </c>
      <c r="I441" s="3" t="s">
        <v>113</v>
      </c>
      <c r="J441" s="3">
        <v>0.22</v>
      </c>
      <c r="K441" s="3">
        <v>0.21210000000000001</v>
      </c>
      <c r="L441" s="3">
        <v>0.55000000000000004</v>
      </c>
      <c r="M441" s="3">
        <v>0.28360000000000002</v>
      </c>
      <c r="N441" s="3">
        <v>2</v>
      </c>
      <c r="O441" s="3">
        <v>247</v>
      </c>
      <c r="P441" s="51">
        <v>249</v>
      </c>
    </row>
    <row r="442" spans="1:16" x14ac:dyDescent="0.35">
      <c r="A442" s="49">
        <v>441</v>
      </c>
      <c r="B442" s="50">
        <v>40563</v>
      </c>
      <c r="C442" s="3">
        <v>1</v>
      </c>
      <c r="D442" s="3">
        <v>0</v>
      </c>
      <c r="E442" s="3" t="s">
        <v>104</v>
      </c>
      <c r="F442" s="3">
        <v>9</v>
      </c>
      <c r="G442" s="3" t="b">
        <v>0</v>
      </c>
      <c r="H442" s="3" t="s">
        <v>111</v>
      </c>
      <c r="I442" s="3" t="s">
        <v>114</v>
      </c>
      <c r="J442" s="3">
        <v>0.24</v>
      </c>
      <c r="K442" s="3">
        <v>0.2273</v>
      </c>
      <c r="L442" s="3">
        <v>0.52</v>
      </c>
      <c r="M442" s="3">
        <v>0.22389999999999999</v>
      </c>
      <c r="N442" s="3">
        <v>3</v>
      </c>
      <c r="O442" s="3">
        <v>140</v>
      </c>
      <c r="P442" s="51">
        <v>143</v>
      </c>
    </row>
    <row r="443" spans="1:16" x14ac:dyDescent="0.35">
      <c r="A443" s="49">
        <v>442</v>
      </c>
      <c r="B443" s="50">
        <v>40563</v>
      </c>
      <c r="C443" s="3">
        <v>1</v>
      </c>
      <c r="D443" s="3">
        <v>0</v>
      </c>
      <c r="E443" s="3" t="s">
        <v>104</v>
      </c>
      <c r="F443" s="3">
        <v>10</v>
      </c>
      <c r="G443" s="3" t="b">
        <v>0</v>
      </c>
      <c r="H443" s="3" t="s">
        <v>111</v>
      </c>
      <c r="I443" s="3" t="s">
        <v>113</v>
      </c>
      <c r="J443" s="3">
        <v>0.26</v>
      </c>
      <c r="K443" s="3">
        <v>0.2273</v>
      </c>
      <c r="L443" s="3">
        <v>0.48</v>
      </c>
      <c r="M443" s="3">
        <v>0.29849999999999999</v>
      </c>
      <c r="N443" s="3">
        <v>1</v>
      </c>
      <c r="O443" s="3">
        <v>56</v>
      </c>
      <c r="P443" s="51">
        <v>57</v>
      </c>
    </row>
    <row r="444" spans="1:16" x14ac:dyDescent="0.35">
      <c r="A444" s="49">
        <v>443</v>
      </c>
      <c r="B444" s="50">
        <v>40563</v>
      </c>
      <c r="C444" s="3">
        <v>1</v>
      </c>
      <c r="D444" s="3">
        <v>0</v>
      </c>
      <c r="E444" s="3" t="s">
        <v>104</v>
      </c>
      <c r="F444" s="3">
        <v>11</v>
      </c>
      <c r="G444" s="3" t="b">
        <v>0</v>
      </c>
      <c r="H444" s="3" t="s">
        <v>111</v>
      </c>
      <c r="I444" s="3" t="s">
        <v>114</v>
      </c>
      <c r="J444" s="3">
        <v>0.28000000000000003</v>
      </c>
      <c r="K444" s="3">
        <v>0.2727</v>
      </c>
      <c r="L444" s="3">
        <v>0.45</v>
      </c>
      <c r="M444" s="3">
        <v>0.16420000000000001</v>
      </c>
      <c r="N444" s="3">
        <v>5</v>
      </c>
      <c r="O444" s="3">
        <v>63</v>
      </c>
      <c r="P444" s="51">
        <v>68</v>
      </c>
    </row>
    <row r="445" spans="1:16" x14ac:dyDescent="0.35">
      <c r="A445" s="49">
        <v>444</v>
      </c>
      <c r="B445" s="50">
        <v>40563</v>
      </c>
      <c r="C445" s="3">
        <v>1</v>
      </c>
      <c r="D445" s="3">
        <v>0</v>
      </c>
      <c r="E445" s="3" t="s">
        <v>104</v>
      </c>
      <c r="F445" s="3">
        <v>12</v>
      </c>
      <c r="G445" s="3" t="b">
        <v>0</v>
      </c>
      <c r="H445" s="3" t="s">
        <v>111</v>
      </c>
      <c r="I445" s="3" t="s">
        <v>114</v>
      </c>
      <c r="J445" s="3">
        <v>0.3</v>
      </c>
      <c r="K445" s="3">
        <v>0.33329999999999999</v>
      </c>
      <c r="L445" s="3">
        <v>0.42</v>
      </c>
      <c r="M445" s="3">
        <v>0</v>
      </c>
      <c r="N445" s="3">
        <v>7</v>
      </c>
      <c r="O445" s="3">
        <v>77</v>
      </c>
      <c r="P445" s="51">
        <v>84</v>
      </c>
    </row>
    <row r="446" spans="1:16" x14ac:dyDescent="0.35">
      <c r="A446" s="49">
        <v>445</v>
      </c>
      <c r="B446" s="50">
        <v>40563</v>
      </c>
      <c r="C446" s="3">
        <v>1</v>
      </c>
      <c r="D446" s="3">
        <v>0</v>
      </c>
      <c r="E446" s="3" t="s">
        <v>104</v>
      </c>
      <c r="F446" s="3">
        <v>13</v>
      </c>
      <c r="G446" s="3" t="b">
        <v>0</v>
      </c>
      <c r="H446" s="3" t="s">
        <v>111</v>
      </c>
      <c r="I446" s="3" t="s">
        <v>114</v>
      </c>
      <c r="J446" s="3">
        <v>0.28000000000000003</v>
      </c>
      <c r="K446" s="3">
        <v>0.28789999999999999</v>
      </c>
      <c r="L446" s="3">
        <v>0.45</v>
      </c>
      <c r="M446" s="3">
        <v>0.1045</v>
      </c>
      <c r="N446" s="3">
        <v>12</v>
      </c>
      <c r="O446" s="3">
        <v>86</v>
      </c>
      <c r="P446" s="51">
        <v>98</v>
      </c>
    </row>
    <row r="447" spans="1:16" x14ac:dyDescent="0.35">
      <c r="A447" s="49">
        <v>446</v>
      </c>
      <c r="B447" s="50">
        <v>40563</v>
      </c>
      <c r="C447" s="3">
        <v>1</v>
      </c>
      <c r="D447" s="3">
        <v>0</v>
      </c>
      <c r="E447" s="3" t="s">
        <v>104</v>
      </c>
      <c r="F447" s="3">
        <v>14</v>
      </c>
      <c r="G447" s="3" t="b">
        <v>0</v>
      </c>
      <c r="H447" s="3" t="s">
        <v>111</v>
      </c>
      <c r="I447" s="3" t="s">
        <v>114</v>
      </c>
      <c r="J447" s="3">
        <v>0.3</v>
      </c>
      <c r="K447" s="3">
        <v>0.30299999999999999</v>
      </c>
      <c r="L447" s="3">
        <v>0.45</v>
      </c>
      <c r="M447" s="3">
        <v>0.1343</v>
      </c>
      <c r="N447" s="3">
        <v>6</v>
      </c>
      <c r="O447" s="3">
        <v>75</v>
      </c>
      <c r="P447" s="51">
        <v>81</v>
      </c>
    </row>
    <row r="448" spans="1:16" x14ac:dyDescent="0.35">
      <c r="A448" s="49">
        <v>447</v>
      </c>
      <c r="B448" s="50">
        <v>40563</v>
      </c>
      <c r="C448" s="3">
        <v>1</v>
      </c>
      <c r="D448" s="3">
        <v>0</v>
      </c>
      <c r="E448" s="3" t="s">
        <v>104</v>
      </c>
      <c r="F448" s="3">
        <v>15</v>
      </c>
      <c r="G448" s="3" t="b">
        <v>0</v>
      </c>
      <c r="H448" s="3" t="s">
        <v>111</v>
      </c>
      <c r="I448" s="3" t="s">
        <v>114</v>
      </c>
      <c r="J448" s="3">
        <v>0.32</v>
      </c>
      <c r="K448" s="3">
        <v>0.31819999999999998</v>
      </c>
      <c r="L448" s="3">
        <v>0.45</v>
      </c>
      <c r="M448" s="3">
        <v>0.19400000000000001</v>
      </c>
      <c r="N448" s="3">
        <v>8</v>
      </c>
      <c r="O448" s="3">
        <v>62</v>
      </c>
      <c r="P448" s="51">
        <v>70</v>
      </c>
    </row>
    <row r="449" spans="1:16" x14ac:dyDescent="0.35">
      <c r="A449" s="49">
        <v>448</v>
      </c>
      <c r="B449" s="50">
        <v>40563</v>
      </c>
      <c r="C449" s="3">
        <v>1</v>
      </c>
      <c r="D449" s="3">
        <v>0</v>
      </c>
      <c r="E449" s="3" t="s">
        <v>104</v>
      </c>
      <c r="F449" s="3">
        <v>16</v>
      </c>
      <c r="G449" s="3" t="b">
        <v>0</v>
      </c>
      <c r="H449" s="3" t="s">
        <v>111</v>
      </c>
      <c r="I449" s="3" t="s">
        <v>114</v>
      </c>
      <c r="J449" s="3">
        <v>0.3</v>
      </c>
      <c r="K449" s="3">
        <v>0.30299999999999999</v>
      </c>
      <c r="L449" s="3">
        <v>0.49</v>
      </c>
      <c r="M449" s="3">
        <v>0.1343</v>
      </c>
      <c r="N449" s="3">
        <v>8</v>
      </c>
      <c r="O449" s="3">
        <v>83</v>
      </c>
      <c r="P449" s="51">
        <v>91</v>
      </c>
    </row>
    <row r="450" spans="1:16" x14ac:dyDescent="0.35">
      <c r="A450" s="49">
        <v>449</v>
      </c>
      <c r="B450" s="50">
        <v>40563</v>
      </c>
      <c r="C450" s="3">
        <v>1</v>
      </c>
      <c r="D450" s="3">
        <v>0</v>
      </c>
      <c r="E450" s="3" t="s">
        <v>104</v>
      </c>
      <c r="F450" s="3">
        <v>17</v>
      </c>
      <c r="G450" s="3" t="b">
        <v>0</v>
      </c>
      <c r="H450" s="3" t="s">
        <v>111</v>
      </c>
      <c r="I450" s="3" t="s">
        <v>114</v>
      </c>
      <c r="J450" s="3">
        <v>0.3</v>
      </c>
      <c r="K450" s="3">
        <v>0.31819999999999998</v>
      </c>
      <c r="L450" s="3">
        <v>0.49</v>
      </c>
      <c r="M450" s="3">
        <v>0.1045</v>
      </c>
      <c r="N450" s="3">
        <v>8</v>
      </c>
      <c r="O450" s="3">
        <v>207</v>
      </c>
      <c r="P450" s="51">
        <v>215</v>
      </c>
    </row>
    <row r="451" spans="1:16" x14ac:dyDescent="0.35">
      <c r="A451" s="49">
        <v>450</v>
      </c>
      <c r="B451" s="50">
        <v>40563</v>
      </c>
      <c r="C451" s="3">
        <v>1</v>
      </c>
      <c r="D451" s="3">
        <v>0</v>
      </c>
      <c r="E451" s="3" t="s">
        <v>104</v>
      </c>
      <c r="F451" s="3">
        <v>18</v>
      </c>
      <c r="G451" s="3" t="b">
        <v>0</v>
      </c>
      <c r="H451" s="3" t="s">
        <v>111</v>
      </c>
      <c r="I451" s="3" t="s">
        <v>114</v>
      </c>
      <c r="J451" s="3">
        <v>0.26</v>
      </c>
      <c r="K451" s="3">
        <v>0.2576</v>
      </c>
      <c r="L451" s="3">
        <v>0.56000000000000005</v>
      </c>
      <c r="M451" s="3">
        <v>0.19400000000000001</v>
      </c>
      <c r="N451" s="3">
        <v>1</v>
      </c>
      <c r="O451" s="3">
        <v>184</v>
      </c>
      <c r="P451" s="51">
        <v>185</v>
      </c>
    </row>
    <row r="452" spans="1:16" x14ac:dyDescent="0.35">
      <c r="A452" s="49">
        <v>451</v>
      </c>
      <c r="B452" s="50">
        <v>40563</v>
      </c>
      <c r="C452" s="3">
        <v>1</v>
      </c>
      <c r="D452" s="3">
        <v>0</v>
      </c>
      <c r="E452" s="3" t="s">
        <v>104</v>
      </c>
      <c r="F452" s="3">
        <v>19</v>
      </c>
      <c r="G452" s="3" t="b">
        <v>0</v>
      </c>
      <c r="H452" s="3" t="s">
        <v>111</v>
      </c>
      <c r="I452" s="3" t="s">
        <v>113</v>
      </c>
      <c r="J452" s="3">
        <v>0.26</v>
      </c>
      <c r="K452" s="3">
        <v>0.2273</v>
      </c>
      <c r="L452" s="3">
        <v>0.56000000000000005</v>
      </c>
      <c r="M452" s="3">
        <v>0.32840000000000003</v>
      </c>
      <c r="N452" s="3">
        <v>6</v>
      </c>
      <c r="O452" s="3">
        <v>146</v>
      </c>
      <c r="P452" s="51">
        <v>152</v>
      </c>
    </row>
    <row r="453" spans="1:16" x14ac:dyDescent="0.35">
      <c r="A453" s="49">
        <v>452</v>
      </c>
      <c r="B453" s="50">
        <v>40563</v>
      </c>
      <c r="C453" s="3">
        <v>1</v>
      </c>
      <c r="D453" s="3">
        <v>0</v>
      </c>
      <c r="E453" s="3" t="s">
        <v>104</v>
      </c>
      <c r="F453" s="3">
        <v>20</v>
      </c>
      <c r="G453" s="3" t="b">
        <v>0</v>
      </c>
      <c r="H453" s="3" t="s">
        <v>111</v>
      </c>
      <c r="I453" s="3" t="s">
        <v>114</v>
      </c>
      <c r="J453" s="3">
        <v>0.26</v>
      </c>
      <c r="K453" s="3">
        <v>0.2424</v>
      </c>
      <c r="L453" s="3">
        <v>0.6</v>
      </c>
      <c r="M453" s="3">
        <v>0.28360000000000002</v>
      </c>
      <c r="N453" s="3">
        <v>2</v>
      </c>
      <c r="O453" s="3">
        <v>124</v>
      </c>
      <c r="P453" s="51">
        <v>126</v>
      </c>
    </row>
    <row r="454" spans="1:16" x14ac:dyDescent="0.35">
      <c r="A454" s="49">
        <v>453</v>
      </c>
      <c r="B454" s="50">
        <v>40563</v>
      </c>
      <c r="C454" s="3">
        <v>1</v>
      </c>
      <c r="D454" s="3">
        <v>0</v>
      </c>
      <c r="E454" s="3" t="s">
        <v>104</v>
      </c>
      <c r="F454" s="3">
        <v>21</v>
      </c>
      <c r="G454" s="3" t="b">
        <v>0</v>
      </c>
      <c r="H454" s="3" t="s">
        <v>111</v>
      </c>
      <c r="I454" s="3" t="s">
        <v>114</v>
      </c>
      <c r="J454" s="3">
        <v>0.24</v>
      </c>
      <c r="K454" s="3">
        <v>0.2273</v>
      </c>
      <c r="L454" s="3">
        <v>0.6</v>
      </c>
      <c r="M454" s="3">
        <v>0.25369999999999998</v>
      </c>
      <c r="N454" s="3">
        <v>3</v>
      </c>
      <c r="O454" s="3">
        <v>54</v>
      </c>
      <c r="P454" s="51">
        <v>57</v>
      </c>
    </row>
    <row r="455" spans="1:16" x14ac:dyDescent="0.35">
      <c r="A455" s="49">
        <v>454</v>
      </c>
      <c r="B455" s="50">
        <v>40563</v>
      </c>
      <c r="C455" s="3">
        <v>1</v>
      </c>
      <c r="D455" s="3">
        <v>0</v>
      </c>
      <c r="E455" s="3" t="s">
        <v>104</v>
      </c>
      <c r="F455" s="3">
        <v>22</v>
      </c>
      <c r="G455" s="3" t="b">
        <v>0</v>
      </c>
      <c r="H455" s="3" t="s">
        <v>111</v>
      </c>
      <c r="I455" s="3" t="s">
        <v>114</v>
      </c>
      <c r="J455" s="3">
        <v>0.24</v>
      </c>
      <c r="K455" s="3">
        <v>0.21210000000000001</v>
      </c>
      <c r="L455" s="3">
        <v>0.65</v>
      </c>
      <c r="M455" s="3">
        <v>0.28360000000000002</v>
      </c>
      <c r="N455" s="3">
        <v>0</v>
      </c>
      <c r="O455" s="3">
        <v>56</v>
      </c>
      <c r="P455" s="51">
        <v>56</v>
      </c>
    </row>
    <row r="456" spans="1:16" x14ac:dyDescent="0.35">
      <c r="A456" s="49">
        <v>455</v>
      </c>
      <c r="B456" s="50">
        <v>40563</v>
      </c>
      <c r="C456" s="3">
        <v>1</v>
      </c>
      <c r="D456" s="3">
        <v>0</v>
      </c>
      <c r="E456" s="3" t="s">
        <v>104</v>
      </c>
      <c r="F456" s="3">
        <v>23</v>
      </c>
      <c r="G456" s="3" t="b">
        <v>0</v>
      </c>
      <c r="H456" s="3" t="s">
        <v>111</v>
      </c>
      <c r="I456" s="3" t="s">
        <v>114</v>
      </c>
      <c r="J456" s="3">
        <v>0.24</v>
      </c>
      <c r="K456" s="3">
        <v>0.21210000000000001</v>
      </c>
      <c r="L456" s="3">
        <v>0.65</v>
      </c>
      <c r="M456" s="3">
        <v>0.32840000000000003</v>
      </c>
      <c r="N456" s="3">
        <v>3</v>
      </c>
      <c r="O456" s="3">
        <v>28</v>
      </c>
      <c r="P456" s="51">
        <v>31</v>
      </c>
    </row>
    <row r="457" spans="1:16" x14ac:dyDescent="0.35">
      <c r="A457" s="49">
        <v>456</v>
      </c>
      <c r="B457" s="50">
        <v>40564</v>
      </c>
      <c r="C457" s="3">
        <v>1</v>
      </c>
      <c r="D457" s="3">
        <v>0</v>
      </c>
      <c r="E457" s="3" t="s">
        <v>104</v>
      </c>
      <c r="F457" s="3">
        <v>0</v>
      </c>
      <c r="G457" s="3" t="b">
        <v>0</v>
      </c>
      <c r="H457" s="3" t="s">
        <v>112</v>
      </c>
      <c r="I457" s="3" t="s">
        <v>114</v>
      </c>
      <c r="J457" s="3">
        <v>0.24</v>
      </c>
      <c r="K457" s="3">
        <v>0.2273</v>
      </c>
      <c r="L457" s="3">
        <v>0.7</v>
      </c>
      <c r="M457" s="3">
        <v>0.25369999999999998</v>
      </c>
      <c r="N457" s="3">
        <v>1</v>
      </c>
      <c r="O457" s="3">
        <v>20</v>
      </c>
      <c r="P457" s="51">
        <v>21</v>
      </c>
    </row>
    <row r="458" spans="1:16" x14ac:dyDescent="0.35">
      <c r="A458" s="49">
        <v>457</v>
      </c>
      <c r="B458" s="50">
        <v>40564</v>
      </c>
      <c r="C458" s="3">
        <v>1</v>
      </c>
      <c r="D458" s="3">
        <v>0</v>
      </c>
      <c r="E458" s="3" t="s">
        <v>104</v>
      </c>
      <c r="F458" s="3">
        <v>1</v>
      </c>
      <c r="G458" s="3" t="b">
        <v>0</v>
      </c>
      <c r="H458" s="3" t="s">
        <v>112</v>
      </c>
      <c r="I458" s="3" t="s">
        <v>114</v>
      </c>
      <c r="J458" s="3">
        <v>0.24</v>
      </c>
      <c r="K458" s="3">
        <v>0.2273</v>
      </c>
      <c r="L458" s="3">
        <v>0.7</v>
      </c>
      <c r="M458" s="3">
        <v>0.25369999999999998</v>
      </c>
      <c r="N458" s="3">
        <v>0</v>
      </c>
      <c r="O458" s="3">
        <v>6</v>
      </c>
      <c r="P458" s="51">
        <v>6</v>
      </c>
    </row>
    <row r="459" spans="1:16" x14ac:dyDescent="0.35">
      <c r="A459" s="49">
        <v>458</v>
      </c>
      <c r="B459" s="50">
        <v>40564</v>
      </c>
      <c r="C459" s="3">
        <v>1</v>
      </c>
      <c r="D459" s="3">
        <v>0</v>
      </c>
      <c r="E459" s="3" t="s">
        <v>104</v>
      </c>
      <c r="F459" s="3">
        <v>2</v>
      </c>
      <c r="G459" s="3" t="b">
        <v>0</v>
      </c>
      <c r="H459" s="3" t="s">
        <v>112</v>
      </c>
      <c r="I459" s="3" t="s">
        <v>115</v>
      </c>
      <c r="J459" s="3">
        <v>0.24</v>
      </c>
      <c r="K459" s="3">
        <v>0.2424</v>
      </c>
      <c r="L459" s="3">
        <v>0.75</v>
      </c>
      <c r="M459" s="3">
        <v>0.16420000000000001</v>
      </c>
      <c r="N459" s="3">
        <v>0</v>
      </c>
      <c r="O459" s="3">
        <v>2</v>
      </c>
      <c r="P459" s="51">
        <v>2</v>
      </c>
    </row>
    <row r="460" spans="1:16" x14ac:dyDescent="0.35">
      <c r="A460" s="49">
        <v>459</v>
      </c>
      <c r="B460" s="50">
        <v>40564</v>
      </c>
      <c r="C460" s="3">
        <v>1</v>
      </c>
      <c r="D460" s="3">
        <v>0</v>
      </c>
      <c r="E460" s="3" t="s">
        <v>104</v>
      </c>
      <c r="F460" s="3">
        <v>3</v>
      </c>
      <c r="G460" s="3" t="b">
        <v>0</v>
      </c>
      <c r="H460" s="3" t="s">
        <v>112</v>
      </c>
      <c r="I460" s="3" t="s">
        <v>115</v>
      </c>
      <c r="J460" s="3">
        <v>0.22</v>
      </c>
      <c r="K460" s="3">
        <v>0.21210000000000001</v>
      </c>
      <c r="L460" s="3">
        <v>0.8</v>
      </c>
      <c r="M460" s="3">
        <v>0.29849999999999999</v>
      </c>
      <c r="N460" s="3">
        <v>0</v>
      </c>
      <c r="O460" s="3">
        <v>1</v>
      </c>
      <c r="P460" s="51">
        <v>1</v>
      </c>
    </row>
    <row r="461" spans="1:16" x14ac:dyDescent="0.35">
      <c r="A461" s="49">
        <v>460</v>
      </c>
      <c r="B461" s="50">
        <v>40564</v>
      </c>
      <c r="C461" s="3">
        <v>1</v>
      </c>
      <c r="D461" s="3">
        <v>0</v>
      </c>
      <c r="E461" s="3" t="s">
        <v>104</v>
      </c>
      <c r="F461" s="3">
        <v>4</v>
      </c>
      <c r="G461" s="3" t="b">
        <v>0</v>
      </c>
      <c r="H461" s="3" t="s">
        <v>112</v>
      </c>
      <c r="I461" s="3" t="s">
        <v>114</v>
      </c>
      <c r="J461" s="3">
        <v>0.22</v>
      </c>
      <c r="K461" s="3">
        <v>0.2576</v>
      </c>
      <c r="L461" s="3">
        <v>0.87</v>
      </c>
      <c r="M461" s="3">
        <v>8.9599999999999999E-2</v>
      </c>
      <c r="N461" s="3">
        <v>0</v>
      </c>
      <c r="O461" s="3">
        <v>1</v>
      </c>
      <c r="P461" s="51">
        <v>1</v>
      </c>
    </row>
    <row r="462" spans="1:16" x14ac:dyDescent="0.35">
      <c r="A462" s="49">
        <v>461</v>
      </c>
      <c r="B462" s="50">
        <v>40564</v>
      </c>
      <c r="C462" s="3">
        <v>1</v>
      </c>
      <c r="D462" s="3">
        <v>0</v>
      </c>
      <c r="E462" s="3" t="s">
        <v>104</v>
      </c>
      <c r="F462" s="3">
        <v>5</v>
      </c>
      <c r="G462" s="3" t="b">
        <v>0</v>
      </c>
      <c r="H462" s="3" t="s">
        <v>112</v>
      </c>
      <c r="I462" s="3" t="s">
        <v>113</v>
      </c>
      <c r="J462" s="3">
        <v>0.24</v>
      </c>
      <c r="K462" s="3">
        <v>0.19700000000000001</v>
      </c>
      <c r="L462" s="3">
        <v>0.6</v>
      </c>
      <c r="M462" s="3">
        <v>0.41789999999999999</v>
      </c>
      <c r="N462" s="3">
        <v>1</v>
      </c>
      <c r="O462" s="3">
        <v>4</v>
      </c>
      <c r="P462" s="51">
        <v>5</v>
      </c>
    </row>
    <row r="463" spans="1:16" x14ac:dyDescent="0.35">
      <c r="A463" s="49">
        <v>462</v>
      </c>
      <c r="B463" s="50">
        <v>40564</v>
      </c>
      <c r="C463" s="3">
        <v>1</v>
      </c>
      <c r="D463" s="3">
        <v>0</v>
      </c>
      <c r="E463" s="3" t="s">
        <v>104</v>
      </c>
      <c r="F463" s="3">
        <v>6</v>
      </c>
      <c r="G463" s="3" t="b">
        <v>0</v>
      </c>
      <c r="H463" s="3" t="s">
        <v>112</v>
      </c>
      <c r="I463" s="3" t="s">
        <v>113</v>
      </c>
      <c r="J463" s="3">
        <v>0.22</v>
      </c>
      <c r="K463" s="3">
        <v>0.21210000000000001</v>
      </c>
      <c r="L463" s="3">
        <v>0.55000000000000004</v>
      </c>
      <c r="M463" s="3">
        <v>0.25369999999999998</v>
      </c>
      <c r="N463" s="3">
        <v>0</v>
      </c>
      <c r="O463" s="3">
        <v>27</v>
      </c>
      <c r="P463" s="51">
        <v>27</v>
      </c>
    </row>
    <row r="464" spans="1:16" x14ac:dyDescent="0.35">
      <c r="A464" s="49">
        <v>463</v>
      </c>
      <c r="B464" s="50">
        <v>40564</v>
      </c>
      <c r="C464" s="3">
        <v>1</v>
      </c>
      <c r="D464" s="3">
        <v>0</v>
      </c>
      <c r="E464" s="3" t="s">
        <v>104</v>
      </c>
      <c r="F464" s="3">
        <v>7</v>
      </c>
      <c r="G464" s="3" t="b">
        <v>0</v>
      </c>
      <c r="H464" s="3" t="s">
        <v>112</v>
      </c>
      <c r="I464" s="3" t="s">
        <v>113</v>
      </c>
      <c r="J464" s="3">
        <v>0.2</v>
      </c>
      <c r="K464" s="3">
        <v>0.18179999999999999</v>
      </c>
      <c r="L464" s="3">
        <v>0.51</v>
      </c>
      <c r="M464" s="3">
        <v>0.28360000000000002</v>
      </c>
      <c r="N464" s="3">
        <v>2</v>
      </c>
      <c r="O464" s="3">
        <v>66</v>
      </c>
      <c r="P464" s="51">
        <v>68</v>
      </c>
    </row>
    <row r="465" spans="1:16" x14ac:dyDescent="0.35">
      <c r="A465" s="49">
        <v>464</v>
      </c>
      <c r="B465" s="50">
        <v>40564</v>
      </c>
      <c r="C465" s="3">
        <v>1</v>
      </c>
      <c r="D465" s="3">
        <v>0</v>
      </c>
      <c r="E465" s="3" t="s">
        <v>104</v>
      </c>
      <c r="F465" s="3">
        <v>8</v>
      </c>
      <c r="G465" s="3" t="b">
        <v>0</v>
      </c>
      <c r="H465" s="3" t="s">
        <v>112</v>
      </c>
      <c r="I465" s="3" t="s">
        <v>113</v>
      </c>
      <c r="J465" s="3">
        <v>0.2</v>
      </c>
      <c r="K465" s="3">
        <v>0.18179999999999999</v>
      </c>
      <c r="L465" s="3">
        <v>0.47</v>
      </c>
      <c r="M465" s="3">
        <v>0.32840000000000003</v>
      </c>
      <c r="N465" s="3">
        <v>7</v>
      </c>
      <c r="O465" s="3">
        <v>210</v>
      </c>
      <c r="P465" s="51">
        <v>217</v>
      </c>
    </row>
    <row r="466" spans="1:16" x14ac:dyDescent="0.35">
      <c r="A466" s="49">
        <v>465</v>
      </c>
      <c r="B466" s="50">
        <v>40564</v>
      </c>
      <c r="C466" s="3">
        <v>1</v>
      </c>
      <c r="D466" s="3">
        <v>0</v>
      </c>
      <c r="E466" s="3" t="s">
        <v>104</v>
      </c>
      <c r="F466" s="3">
        <v>9</v>
      </c>
      <c r="G466" s="3" t="b">
        <v>0</v>
      </c>
      <c r="H466" s="3" t="s">
        <v>112</v>
      </c>
      <c r="I466" s="3" t="s">
        <v>113</v>
      </c>
      <c r="J466" s="3">
        <v>0.2</v>
      </c>
      <c r="K466" s="3">
        <v>0.18179999999999999</v>
      </c>
      <c r="L466" s="3">
        <v>0.51</v>
      </c>
      <c r="M466" s="3">
        <v>0.35820000000000002</v>
      </c>
      <c r="N466" s="3">
        <v>7</v>
      </c>
      <c r="O466" s="3">
        <v>159</v>
      </c>
      <c r="P466" s="51">
        <v>166</v>
      </c>
    </row>
    <row r="467" spans="1:16" x14ac:dyDescent="0.35">
      <c r="A467" s="49">
        <v>466</v>
      </c>
      <c r="B467" s="50">
        <v>40564</v>
      </c>
      <c r="C467" s="3">
        <v>1</v>
      </c>
      <c r="D467" s="3">
        <v>0</v>
      </c>
      <c r="E467" s="3" t="s">
        <v>104</v>
      </c>
      <c r="F467" s="3">
        <v>10</v>
      </c>
      <c r="G467" s="3" t="b">
        <v>0</v>
      </c>
      <c r="H467" s="3" t="s">
        <v>112</v>
      </c>
      <c r="I467" s="3" t="s">
        <v>113</v>
      </c>
      <c r="J467" s="3">
        <v>0.2</v>
      </c>
      <c r="K467" s="3">
        <v>0.16669999999999999</v>
      </c>
      <c r="L467" s="3">
        <v>0.47</v>
      </c>
      <c r="M467" s="3">
        <v>0.4627</v>
      </c>
      <c r="N467" s="3">
        <v>6</v>
      </c>
      <c r="O467" s="3">
        <v>57</v>
      </c>
      <c r="P467" s="51">
        <v>63</v>
      </c>
    </row>
    <row r="468" spans="1:16" x14ac:dyDescent="0.35">
      <c r="A468" s="49">
        <v>467</v>
      </c>
      <c r="B468" s="50">
        <v>40564</v>
      </c>
      <c r="C468" s="3">
        <v>1</v>
      </c>
      <c r="D468" s="3">
        <v>0</v>
      </c>
      <c r="E468" s="3" t="s">
        <v>104</v>
      </c>
      <c r="F468" s="3">
        <v>11</v>
      </c>
      <c r="G468" s="3" t="b">
        <v>0</v>
      </c>
      <c r="H468" s="3" t="s">
        <v>112</v>
      </c>
      <c r="I468" s="3" t="s">
        <v>113</v>
      </c>
      <c r="J468" s="3">
        <v>0.22</v>
      </c>
      <c r="K468" s="3">
        <v>0.18179999999999999</v>
      </c>
      <c r="L468" s="3">
        <v>0.41</v>
      </c>
      <c r="M468" s="3">
        <v>0.4627</v>
      </c>
      <c r="N468" s="3">
        <v>6</v>
      </c>
      <c r="O468" s="3">
        <v>53</v>
      </c>
      <c r="P468" s="51">
        <v>59</v>
      </c>
    </row>
    <row r="469" spans="1:16" x14ac:dyDescent="0.35">
      <c r="A469" s="49">
        <v>468</v>
      </c>
      <c r="B469" s="50">
        <v>40564</v>
      </c>
      <c r="C469" s="3">
        <v>1</v>
      </c>
      <c r="D469" s="3">
        <v>0</v>
      </c>
      <c r="E469" s="3" t="s">
        <v>104</v>
      </c>
      <c r="F469" s="3">
        <v>12</v>
      </c>
      <c r="G469" s="3" t="b">
        <v>0</v>
      </c>
      <c r="H469" s="3" t="s">
        <v>112</v>
      </c>
      <c r="I469" s="3" t="s">
        <v>113</v>
      </c>
      <c r="J469" s="3">
        <v>0.22</v>
      </c>
      <c r="K469" s="3">
        <v>0.18179999999999999</v>
      </c>
      <c r="L469" s="3">
        <v>0.27</v>
      </c>
      <c r="M469" s="3">
        <v>0.58209999999999995</v>
      </c>
      <c r="N469" s="3">
        <v>11</v>
      </c>
      <c r="O469" s="3">
        <v>67</v>
      </c>
      <c r="P469" s="51">
        <v>78</v>
      </c>
    </row>
    <row r="470" spans="1:16" x14ac:dyDescent="0.35">
      <c r="A470" s="49">
        <v>469</v>
      </c>
      <c r="B470" s="50">
        <v>40564</v>
      </c>
      <c r="C470" s="3">
        <v>1</v>
      </c>
      <c r="D470" s="3">
        <v>0</v>
      </c>
      <c r="E470" s="3" t="s">
        <v>104</v>
      </c>
      <c r="F470" s="3">
        <v>13</v>
      </c>
      <c r="G470" s="3" t="b">
        <v>0</v>
      </c>
      <c r="H470" s="3" t="s">
        <v>112</v>
      </c>
      <c r="I470" s="3" t="s">
        <v>113</v>
      </c>
      <c r="J470" s="3">
        <v>0.2</v>
      </c>
      <c r="K470" s="3">
        <v>0.1515</v>
      </c>
      <c r="L470" s="3">
        <v>0.21</v>
      </c>
      <c r="M470" s="3">
        <v>0.58209999999999995</v>
      </c>
      <c r="N470" s="3">
        <v>8</v>
      </c>
      <c r="O470" s="3">
        <v>65</v>
      </c>
      <c r="P470" s="51">
        <v>73</v>
      </c>
    </row>
    <row r="471" spans="1:16" x14ac:dyDescent="0.35">
      <c r="A471" s="49">
        <v>470</v>
      </c>
      <c r="B471" s="50">
        <v>40564</v>
      </c>
      <c r="C471" s="3">
        <v>1</v>
      </c>
      <c r="D471" s="3">
        <v>0</v>
      </c>
      <c r="E471" s="3" t="s">
        <v>104</v>
      </c>
      <c r="F471" s="3">
        <v>14</v>
      </c>
      <c r="G471" s="3" t="b">
        <v>0</v>
      </c>
      <c r="H471" s="3" t="s">
        <v>112</v>
      </c>
      <c r="I471" s="3" t="s">
        <v>113</v>
      </c>
      <c r="J471" s="3">
        <v>0.2</v>
      </c>
      <c r="K471" s="3">
        <v>0.1515</v>
      </c>
      <c r="L471" s="3">
        <v>0.25</v>
      </c>
      <c r="M471" s="3">
        <v>0.52239999999999998</v>
      </c>
      <c r="N471" s="3">
        <v>6</v>
      </c>
      <c r="O471" s="3">
        <v>56</v>
      </c>
      <c r="P471" s="51">
        <v>62</v>
      </c>
    </row>
    <row r="472" spans="1:16" x14ac:dyDescent="0.35">
      <c r="A472" s="49">
        <v>471</v>
      </c>
      <c r="B472" s="50">
        <v>40564</v>
      </c>
      <c r="C472" s="3">
        <v>1</v>
      </c>
      <c r="D472" s="3">
        <v>0</v>
      </c>
      <c r="E472" s="3" t="s">
        <v>104</v>
      </c>
      <c r="F472" s="3">
        <v>15</v>
      </c>
      <c r="G472" s="3" t="b">
        <v>0</v>
      </c>
      <c r="H472" s="3" t="s">
        <v>112</v>
      </c>
      <c r="I472" s="3" t="s">
        <v>113</v>
      </c>
      <c r="J472" s="3">
        <v>0.16</v>
      </c>
      <c r="K472" s="3">
        <v>0.1212</v>
      </c>
      <c r="L472" s="3">
        <v>0.26</v>
      </c>
      <c r="M472" s="3">
        <v>0.44779999999999998</v>
      </c>
      <c r="N472" s="3">
        <v>4</v>
      </c>
      <c r="O472" s="3">
        <v>61</v>
      </c>
      <c r="P472" s="51">
        <v>65</v>
      </c>
    </row>
    <row r="473" spans="1:16" x14ac:dyDescent="0.35">
      <c r="A473" s="49">
        <v>472</v>
      </c>
      <c r="B473" s="50">
        <v>40564</v>
      </c>
      <c r="C473" s="3">
        <v>1</v>
      </c>
      <c r="D473" s="3">
        <v>0</v>
      </c>
      <c r="E473" s="3" t="s">
        <v>104</v>
      </c>
      <c r="F473" s="3">
        <v>16</v>
      </c>
      <c r="G473" s="3" t="b">
        <v>0</v>
      </c>
      <c r="H473" s="3" t="s">
        <v>112</v>
      </c>
      <c r="I473" s="3" t="s">
        <v>113</v>
      </c>
      <c r="J473" s="3">
        <v>0.16</v>
      </c>
      <c r="K473" s="3">
        <v>0.13639999999999999</v>
      </c>
      <c r="L473" s="3">
        <v>0.26</v>
      </c>
      <c r="M473" s="3">
        <v>0.35820000000000002</v>
      </c>
      <c r="N473" s="3">
        <v>0</v>
      </c>
      <c r="O473" s="3">
        <v>97</v>
      </c>
      <c r="P473" s="51">
        <v>97</v>
      </c>
    </row>
    <row r="474" spans="1:16" x14ac:dyDescent="0.35">
      <c r="A474" s="49">
        <v>473</v>
      </c>
      <c r="B474" s="50">
        <v>40564</v>
      </c>
      <c r="C474" s="3">
        <v>1</v>
      </c>
      <c r="D474" s="3">
        <v>0</v>
      </c>
      <c r="E474" s="3" t="s">
        <v>104</v>
      </c>
      <c r="F474" s="3">
        <v>17</v>
      </c>
      <c r="G474" s="3" t="b">
        <v>0</v>
      </c>
      <c r="H474" s="3" t="s">
        <v>112</v>
      </c>
      <c r="I474" s="3" t="s">
        <v>113</v>
      </c>
      <c r="J474" s="3">
        <v>0.14000000000000001</v>
      </c>
      <c r="K474" s="3">
        <v>0.1212</v>
      </c>
      <c r="L474" s="3">
        <v>0.28000000000000003</v>
      </c>
      <c r="M474" s="3">
        <v>0.35820000000000002</v>
      </c>
      <c r="N474" s="3">
        <v>10</v>
      </c>
      <c r="O474" s="3">
        <v>151</v>
      </c>
      <c r="P474" s="51">
        <v>161</v>
      </c>
    </row>
    <row r="475" spans="1:16" x14ac:dyDescent="0.35">
      <c r="A475" s="49">
        <v>474</v>
      </c>
      <c r="B475" s="50">
        <v>40564</v>
      </c>
      <c r="C475" s="3">
        <v>1</v>
      </c>
      <c r="D475" s="3">
        <v>0</v>
      </c>
      <c r="E475" s="3" t="s">
        <v>104</v>
      </c>
      <c r="F475" s="3">
        <v>18</v>
      </c>
      <c r="G475" s="3" t="b">
        <v>0</v>
      </c>
      <c r="H475" s="3" t="s">
        <v>112</v>
      </c>
      <c r="I475" s="3" t="s">
        <v>113</v>
      </c>
      <c r="J475" s="3">
        <v>0.12</v>
      </c>
      <c r="K475" s="3">
        <v>0.1212</v>
      </c>
      <c r="L475" s="3">
        <v>0.3</v>
      </c>
      <c r="M475" s="3">
        <v>0.25369999999999998</v>
      </c>
      <c r="N475" s="3">
        <v>1</v>
      </c>
      <c r="O475" s="3">
        <v>119</v>
      </c>
      <c r="P475" s="51">
        <v>120</v>
      </c>
    </row>
    <row r="476" spans="1:16" x14ac:dyDescent="0.35">
      <c r="A476" s="49">
        <v>475</v>
      </c>
      <c r="B476" s="50">
        <v>40564</v>
      </c>
      <c r="C476" s="3">
        <v>1</v>
      </c>
      <c r="D476" s="3">
        <v>0</v>
      </c>
      <c r="E476" s="3" t="s">
        <v>104</v>
      </c>
      <c r="F476" s="3">
        <v>19</v>
      </c>
      <c r="G476" s="3" t="b">
        <v>0</v>
      </c>
      <c r="H476" s="3" t="s">
        <v>112</v>
      </c>
      <c r="I476" s="3" t="s">
        <v>113</v>
      </c>
      <c r="J476" s="3">
        <v>0.12</v>
      </c>
      <c r="K476" s="3">
        <v>0.1061</v>
      </c>
      <c r="L476" s="3">
        <v>0.3</v>
      </c>
      <c r="M476" s="3">
        <v>0.32840000000000003</v>
      </c>
      <c r="N476" s="3">
        <v>3</v>
      </c>
      <c r="O476" s="3">
        <v>93</v>
      </c>
      <c r="P476" s="51">
        <v>96</v>
      </c>
    </row>
    <row r="477" spans="1:16" x14ac:dyDescent="0.35">
      <c r="A477" s="49">
        <v>476</v>
      </c>
      <c r="B477" s="50">
        <v>40564</v>
      </c>
      <c r="C477" s="3">
        <v>1</v>
      </c>
      <c r="D477" s="3">
        <v>0</v>
      </c>
      <c r="E477" s="3" t="s">
        <v>104</v>
      </c>
      <c r="F477" s="3">
        <v>20</v>
      </c>
      <c r="G477" s="3" t="b">
        <v>0</v>
      </c>
      <c r="H477" s="3" t="s">
        <v>112</v>
      </c>
      <c r="I477" s="3" t="s">
        <v>113</v>
      </c>
      <c r="J477" s="3">
        <v>0.1</v>
      </c>
      <c r="K477" s="3">
        <v>7.5800000000000006E-2</v>
      </c>
      <c r="L477" s="3">
        <v>0.33</v>
      </c>
      <c r="M477" s="3">
        <v>0.41789999999999999</v>
      </c>
      <c r="N477" s="3">
        <v>1</v>
      </c>
      <c r="O477" s="3">
        <v>52</v>
      </c>
      <c r="P477" s="51">
        <v>53</v>
      </c>
    </row>
    <row r="478" spans="1:16" x14ac:dyDescent="0.35">
      <c r="A478" s="49">
        <v>477</v>
      </c>
      <c r="B478" s="50">
        <v>40564</v>
      </c>
      <c r="C478" s="3">
        <v>1</v>
      </c>
      <c r="D478" s="3">
        <v>0</v>
      </c>
      <c r="E478" s="3" t="s">
        <v>104</v>
      </c>
      <c r="F478" s="3">
        <v>21</v>
      </c>
      <c r="G478" s="3" t="b">
        <v>0</v>
      </c>
      <c r="H478" s="3" t="s">
        <v>112</v>
      </c>
      <c r="I478" s="3" t="s">
        <v>113</v>
      </c>
      <c r="J478" s="3">
        <v>0.08</v>
      </c>
      <c r="K478" s="3">
        <v>7.5800000000000006E-2</v>
      </c>
      <c r="L478" s="3">
        <v>0.38</v>
      </c>
      <c r="M478" s="3">
        <v>0.28360000000000002</v>
      </c>
      <c r="N478" s="3">
        <v>0</v>
      </c>
      <c r="O478" s="3">
        <v>41</v>
      </c>
      <c r="P478" s="51">
        <v>41</v>
      </c>
    </row>
    <row r="479" spans="1:16" x14ac:dyDescent="0.35">
      <c r="A479" s="49">
        <v>478</v>
      </c>
      <c r="B479" s="50">
        <v>40564</v>
      </c>
      <c r="C479" s="3">
        <v>1</v>
      </c>
      <c r="D479" s="3">
        <v>0</v>
      </c>
      <c r="E479" s="3" t="s">
        <v>104</v>
      </c>
      <c r="F479" s="3">
        <v>22</v>
      </c>
      <c r="G479" s="3" t="b">
        <v>0</v>
      </c>
      <c r="H479" s="3" t="s">
        <v>112</v>
      </c>
      <c r="I479" s="3" t="s">
        <v>113</v>
      </c>
      <c r="J479" s="3">
        <v>0.06</v>
      </c>
      <c r="K479" s="3">
        <v>3.0300000000000001E-2</v>
      </c>
      <c r="L479" s="3">
        <v>0.41</v>
      </c>
      <c r="M479" s="3">
        <v>0.3881</v>
      </c>
      <c r="N479" s="3">
        <v>1</v>
      </c>
      <c r="O479" s="3">
        <v>33</v>
      </c>
      <c r="P479" s="51">
        <v>34</v>
      </c>
    </row>
    <row r="480" spans="1:16" x14ac:dyDescent="0.35">
      <c r="A480" s="49">
        <v>479</v>
      </c>
      <c r="B480" s="50">
        <v>40564</v>
      </c>
      <c r="C480" s="3">
        <v>1</v>
      </c>
      <c r="D480" s="3">
        <v>0</v>
      </c>
      <c r="E480" s="3" t="s">
        <v>104</v>
      </c>
      <c r="F480" s="3">
        <v>23</v>
      </c>
      <c r="G480" s="3" t="b">
        <v>0</v>
      </c>
      <c r="H480" s="3" t="s">
        <v>112</v>
      </c>
      <c r="I480" s="3" t="s">
        <v>113</v>
      </c>
      <c r="J480" s="3">
        <v>0.06</v>
      </c>
      <c r="K480" s="3">
        <v>4.5499999999999999E-2</v>
      </c>
      <c r="L480" s="3">
        <v>0.38</v>
      </c>
      <c r="M480" s="3">
        <v>0.32840000000000003</v>
      </c>
      <c r="N480" s="3">
        <v>0</v>
      </c>
      <c r="O480" s="3">
        <v>27</v>
      </c>
      <c r="P480" s="51">
        <v>27</v>
      </c>
    </row>
    <row r="481" spans="1:16" x14ac:dyDescent="0.35">
      <c r="A481" s="49">
        <v>480</v>
      </c>
      <c r="B481" s="50">
        <v>40565</v>
      </c>
      <c r="C481" s="3">
        <v>1</v>
      </c>
      <c r="D481" s="3">
        <v>0</v>
      </c>
      <c r="E481" s="3" t="s">
        <v>104</v>
      </c>
      <c r="F481" s="3">
        <v>0</v>
      </c>
      <c r="G481" s="3" t="b">
        <v>0</v>
      </c>
      <c r="H481" s="3" t="s">
        <v>106</v>
      </c>
      <c r="I481" s="3" t="s">
        <v>113</v>
      </c>
      <c r="J481" s="3">
        <v>0.04</v>
      </c>
      <c r="K481" s="3">
        <v>3.0300000000000001E-2</v>
      </c>
      <c r="L481" s="3">
        <v>0.45</v>
      </c>
      <c r="M481" s="3">
        <v>0.25369999999999998</v>
      </c>
      <c r="N481" s="3">
        <v>0</v>
      </c>
      <c r="O481" s="3">
        <v>13</v>
      </c>
      <c r="P481" s="51">
        <v>13</v>
      </c>
    </row>
    <row r="482" spans="1:16" x14ac:dyDescent="0.35">
      <c r="A482" s="49">
        <v>481</v>
      </c>
      <c r="B482" s="50">
        <v>40565</v>
      </c>
      <c r="C482" s="3">
        <v>1</v>
      </c>
      <c r="D482" s="3">
        <v>0</v>
      </c>
      <c r="E482" s="3" t="s">
        <v>104</v>
      </c>
      <c r="F482" s="3">
        <v>1</v>
      </c>
      <c r="G482" s="3" t="b">
        <v>0</v>
      </c>
      <c r="H482" s="3" t="s">
        <v>106</v>
      </c>
      <c r="I482" s="3" t="s">
        <v>114</v>
      </c>
      <c r="J482" s="3">
        <v>0.04</v>
      </c>
      <c r="K482" s="3">
        <v>0</v>
      </c>
      <c r="L482" s="3">
        <v>0.41</v>
      </c>
      <c r="M482" s="3">
        <v>0.3881</v>
      </c>
      <c r="N482" s="3">
        <v>3</v>
      </c>
      <c r="O482" s="3">
        <v>9</v>
      </c>
      <c r="P482" s="51">
        <v>12</v>
      </c>
    </row>
    <row r="483" spans="1:16" x14ac:dyDescent="0.35">
      <c r="A483" s="49">
        <v>482</v>
      </c>
      <c r="B483" s="50">
        <v>40565</v>
      </c>
      <c r="C483" s="3">
        <v>1</v>
      </c>
      <c r="D483" s="3">
        <v>0</v>
      </c>
      <c r="E483" s="3" t="s">
        <v>104</v>
      </c>
      <c r="F483" s="3">
        <v>2</v>
      </c>
      <c r="G483" s="3" t="b">
        <v>0</v>
      </c>
      <c r="H483" s="3" t="s">
        <v>106</v>
      </c>
      <c r="I483" s="3" t="s">
        <v>114</v>
      </c>
      <c r="J483" s="3">
        <v>0.04</v>
      </c>
      <c r="K483" s="3">
        <v>3.0300000000000001E-2</v>
      </c>
      <c r="L483" s="3">
        <v>0.41</v>
      </c>
      <c r="M483" s="3">
        <v>0.25369999999999998</v>
      </c>
      <c r="N483" s="3">
        <v>0</v>
      </c>
      <c r="O483" s="3">
        <v>11</v>
      </c>
      <c r="P483" s="51">
        <v>11</v>
      </c>
    </row>
    <row r="484" spans="1:16" x14ac:dyDescent="0.35">
      <c r="A484" s="49">
        <v>483</v>
      </c>
      <c r="B484" s="50">
        <v>40565</v>
      </c>
      <c r="C484" s="3">
        <v>1</v>
      </c>
      <c r="D484" s="3">
        <v>0</v>
      </c>
      <c r="E484" s="3" t="s">
        <v>104</v>
      </c>
      <c r="F484" s="3">
        <v>3</v>
      </c>
      <c r="G484" s="3" t="b">
        <v>0</v>
      </c>
      <c r="H484" s="3" t="s">
        <v>106</v>
      </c>
      <c r="I484" s="3" t="s">
        <v>114</v>
      </c>
      <c r="J484" s="3">
        <v>0.04</v>
      </c>
      <c r="K484" s="3">
        <v>3.0300000000000001E-2</v>
      </c>
      <c r="L484" s="3">
        <v>0.41</v>
      </c>
      <c r="M484" s="3">
        <v>0.28360000000000002</v>
      </c>
      <c r="N484" s="3">
        <v>1</v>
      </c>
      <c r="O484" s="3">
        <v>6</v>
      </c>
      <c r="P484" s="51">
        <v>7</v>
      </c>
    </row>
    <row r="485" spans="1:16" x14ac:dyDescent="0.35">
      <c r="A485" s="49">
        <v>484</v>
      </c>
      <c r="B485" s="50">
        <v>40565</v>
      </c>
      <c r="C485" s="3">
        <v>1</v>
      </c>
      <c r="D485" s="3">
        <v>0</v>
      </c>
      <c r="E485" s="3" t="s">
        <v>104</v>
      </c>
      <c r="F485" s="3">
        <v>4</v>
      </c>
      <c r="G485" s="3" t="b">
        <v>0</v>
      </c>
      <c r="H485" s="3" t="s">
        <v>106</v>
      </c>
      <c r="I485" s="3" t="s">
        <v>114</v>
      </c>
      <c r="J485" s="3">
        <v>0.02</v>
      </c>
      <c r="K485" s="3">
        <v>1.52E-2</v>
      </c>
      <c r="L485" s="3">
        <v>0.48</v>
      </c>
      <c r="M485" s="3">
        <v>0.29849999999999999</v>
      </c>
      <c r="N485" s="3">
        <v>0</v>
      </c>
      <c r="O485" s="3">
        <v>3</v>
      </c>
      <c r="P485" s="51">
        <v>3</v>
      </c>
    </row>
    <row r="486" spans="1:16" x14ac:dyDescent="0.35">
      <c r="A486" s="49">
        <v>485</v>
      </c>
      <c r="B486" s="50">
        <v>40565</v>
      </c>
      <c r="C486" s="3">
        <v>1</v>
      </c>
      <c r="D486" s="3">
        <v>0</v>
      </c>
      <c r="E486" s="3" t="s">
        <v>104</v>
      </c>
      <c r="F486" s="3">
        <v>6</v>
      </c>
      <c r="G486" s="3" t="b">
        <v>0</v>
      </c>
      <c r="H486" s="3" t="s">
        <v>106</v>
      </c>
      <c r="I486" s="3" t="s">
        <v>114</v>
      </c>
      <c r="J486" s="3">
        <v>0.02</v>
      </c>
      <c r="K486" s="3">
        <v>3.0300000000000001E-2</v>
      </c>
      <c r="L486" s="3">
        <v>0.44</v>
      </c>
      <c r="M486" s="3">
        <v>0.22389999999999999</v>
      </c>
      <c r="N486" s="3">
        <v>0</v>
      </c>
      <c r="O486" s="3">
        <v>2</v>
      </c>
      <c r="P486" s="51">
        <v>2</v>
      </c>
    </row>
    <row r="487" spans="1:16" x14ac:dyDescent="0.35">
      <c r="A487" s="49">
        <v>486</v>
      </c>
      <c r="B487" s="50">
        <v>40565</v>
      </c>
      <c r="C487" s="3">
        <v>1</v>
      </c>
      <c r="D487" s="3">
        <v>0</v>
      </c>
      <c r="E487" s="3" t="s">
        <v>104</v>
      </c>
      <c r="F487" s="3">
        <v>7</v>
      </c>
      <c r="G487" s="3" t="b">
        <v>0</v>
      </c>
      <c r="H487" s="3" t="s">
        <v>106</v>
      </c>
      <c r="I487" s="3" t="s">
        <v>113</v>
      </c>
      <c r="J487" s="3">
        <v>0.02</v>
      </c>
      <c r="K487" s="3">
        <v>1.52E-2</v>
      </c>
      <c r="L487" s="3">
        <v>0.44</v>
      </c>
      <c r="M487" s="3">
        <v>0.28360000000000002</v>
      </c>
      <c r="N487" s="3">
        <v>0</v>
      </c>
      <c r="O487" s="3">
        <v>8</v>
      </c>
      <c r="P487" s="51">
        <v>8</v>
      </c>
    </row>
    <row r="488" spans="1:16" x14ac:dyDescent="0.35">
      <c r="A488" s="49">
        <v>487</v>
      </c>
      <c r="B488" s="50">
        <v>40565</v>
      </c>
      <c r="C488" s="3">
        <v>1</v>
      </c>
      <c r="D488" s="3">
        <v>0</v>
      </c>
      <c r="E488" s="3" t="s">
        <v>104</v>
      </c>
      <c r="F488" s="3">
        <v>8</v>
      </c>
      <c r="G488" s="3" t="b">
        <v>0</v>
      </c>
      <c r="H488" s="3" t="s">
        <v>106</v>
      </c>
      <c r="I488" s="3" t="s">
        <v>113</v>
      </c>
      <c r="J488" s="3">
        <v>0.02</v>
      </c>
      <c r="K488" s="3">
        <v>0</v>
      </c>
      <c r="L488" s="3">
        <v>0.44</v>
      </c>
      <c r="M488" s="3">
        <v>0.32840000000000003</v>
      </c>
      <c r="N488" s="3">
        <v>1</v>
      </c>
      <c r="O488" s="3">
        <v>26</v>
      </c>
      <c r="P488" s="51">
        <v>27</v>
      </c>
    </row>
    <row r="489" spans="1:16" x14ac:dyDescent="0.35">
      <c r="A489" s="49">
        <v>488</v>
      </c>
      <c r="B489" s="50">
        <v>40565</v>
      </c>
      <c r="C489" s="3">
        <v>1</v>
      </c>
      <c r="D489" s="3">
        <v>0</v>
      </c>
      <c r="E489" s="3" t="s">
        <v>104</v>
      </c>
      <c r="F489" s="3">
        <v>9</v>
      </c>
      <c r="G489" s="3" t="b">
        <v>0</v>
      </c>
      <c r="H489" s="3" t="s">
        <v>106</v>
      </c>
      <c r="I489" s="3" t="s">
        <v>113</v>
      </c>
      <c r="J489" s="3">
        <v>0.04</v>
      </c>
      <c r="K489" s="3">
        <v>3.0300000000000001E-2</v>
      </c>
      <c r="L489" s="3">
        <v>0.41</v>
      </c>
      <c r="M489" s="3">
        <v>0.25369999999999998</v>
      </c>
      <c r="N489" s="3">
        <v>3</v>
      </c>
      <c r="O489" s="3">
        <v>37</v>
      </c>
      <c r="P489" s="51">
        <v>40</v>
      </c>
    </row>
    <row r="490" spans="1:16" x14ac:dyDescent="0.35">
      <c r="A490" s="49">
        <v>489</v>
      </c>
      <c r="B490" s="50">
        <v>40565</v>
      </c>
      <c r="C490" s="3">
        <v>1</v>
      </c>
      <c r="D490" s="3">
        <v>0</v>
      </c>
      <c r="E490" s="3" t="s">
        <v>104</v>
      </c>
      <c r="F490" s="3">
        <v>10</v>
      </c>
      <c r="G490" s="3" t="b">
        <v>0</v>
      </c>
      <c r="H490" s="3" t="s">
        <v>106</v>
      </c>
      <c r="I490" s="3" t="s">
        <v>114</v>
      </c>
      <c r="J490" s="3">
        <v>0.04</v>
      </c>
      <c r="K490" s="3">
        <v>6.0600000000000001E-2</v>
      </c>
      <c r="L490" s="3">
        <v>0.41</v>
      </c>
      <c r="M490" s="3">
        <v>0.16420000000000001</v>
      </c>
      <c r="N490" s="3">
        <v>3</v>
      </c>
      <c r="O490" s="3">
        <v>50</v>
      </c>
      <c r="P490" s="51">
        <v>53</v>
      </c>
    </row>
    <row r="491" spans="1:16" x14ac:dyDescent="0.35">
      <c r="A491" s="49">
        <v>490</v>
      </c>
      <c r="B491" s="50">
        <v>40565</v>
      </c>
      <c r="C491" s="3">
        <v>1</v>
      </c>
      <c r="D491" s="3">
        <v>0</v>
      </c>
      <c r="E491" s="3" t="s">
        <v>104</v>
      </c>
      <c r="F491" s="3">
        <v>11</v>
      </c>
      <c r="G491" s="3" t="b">
        <v>0</v>
      </c>
      <c r="H491" s="3" t="s">
        <v>106</v>
      </c>
      <c r="I491" s="3" t="s">
        <v>114</v>
      </c>
      <c r="J491" s="3">
        <v>0.06</v>
      </c>
      <c r="K491" s="3">
        <v>7.5800000000000006E-2</v>
      </c>
      <c r="L491" s="3">
        <v>0.38</v>
      </c>
      <c r="M491" s="3">
        <v>0.1343</v>
      </c>
      <c r="N491" s="3">
        <v>4</v>
      </c>
      <c r="O491" s="3">
        <v>59</v>
      </c>
      <c r="P491" s="51">
        <v>63</v>
      </c>
    </row>
    <row r="492" spans="1:16" x14ac:dyDescent="0.35">
      <c r="A492" s="49">
        <v>491</v>
      </c>
      <c r="B492" s="50">
        <v>40565</v>
      </c>
      <c r="C492" s="3">
        <v>1</v>
      </c>
      <c r="D492" s="3">
        <v>0</v>
      </c>
      <c r="E492" s="3" t="s">
        <v>104</v>
      </c>
      <c r="F492" s="3">
        <v>12</v>
      </c>
      <c r="G492" s="3" t="b">
        <v>0</v>
      </c>
      <c r="H492" s="3" t="s">
        <v>106</v>
      </c>
      <c r="I492" s="3" t="s">
        <v>114</v>
      </c>
      <c r="J492" s="3">
        <v>0.06</v>
      </c>
      <c r="K492" s="3">
        <v>0.1061</v>
      </c>
      <c r="L492" s="3">
        <v>0.38</v>
      </c>
      <c r="M492" s="3">
        <v>0.1045</v>
      </c>
      <c r="N492" s="3">
        <v>10</v>
      </c>
      <c r="O492" s="3">
        <v>60</v>
      </c>
      <c r="P492" s="51">
        <v>70</v>
      </c>
    </row>
    <row r="493" spans="1:16" x14ac:dyDescent="0.35">
      <c r="A493" s="49">
        <v>492</v>
      </c>
      <c r="B493" s="50">
        <v>40565</v>
      </c>
      <c r="C493" s="3">
        <v>1</v>
      </c>
      <c r="D493" s="3">
        <v>0</v>
      </c>
      <c r="E493" s="3" t="s">
        <v>104</v>
      </c>
      <c r="F493" s="3">
        <v>13</v>
      </c>
      <c r="G493" s="3" t="b">
        <v>0</v>
      </c>
      <c r="H493" s="3" t="s">
        <v>106</v>
      </c>
      <c r="I493" s="3" t="s">
        <v>113</v>
      </c>
      <c r="J493" s="3">
        <v>0.08</v>
      </c>
      <c r="K493" s="3">
        <v>0.16669999999999999</v>
      </c>
      <c r="L493" s="3">
        <v>0.35</v>
      </c>
      <c r="M493" s="3">
        <v>0</v>
      </c>
      <c r="N493" s="3">
        <v>12</v>
      </c>
      <c r="O493" s="3">
        <v>72</v>
      </c>
      <c r="P493" s="51">
        <v>84</v>
      </c>
    </row>
    <row r="494" spans="1:16" x14ac:dyDescent="0.35">
      <c r="A494" s="49">
        <v>493</v>
      </c>
      <c r="B494" s="50">
        <v>40565</v>
      </c>
      <c r="C494" s="3">
        <v>1</v>
      </c>
      <c r="D494" s="3">
        <v>0</v>
      </c>
      <c r="E494" s="3" t="s">
        <v>104</v>
      </c>
      <c r="F494" s="3">
        <v>14</v>
      </c>
      <c r="G494" s="3" t="b">
        <v>0</v>
      </c>
      <c r="H494" s="3" t="s">
        <v>106</v>
      </c>
      <c r="I494" s="3" t="s">
        <v>113</v>
      </c>
      <c r="J494" s="3">
        <v>0.1</v>
      </c>
      <c r="K494" s="3">
        <v>0.13639999999999999</v>
      </c>
      <c r="L494" s="3">
        <v>0.33</v>
      </c>
      <c r="M494" s="3">
        <v>0.1045</v>
      </c>
      <c r="N494" s="3">
        <v>11</v>
      </c>
      <c r="O494" s="3">
        <v>64</v>
      </c>
      <c r="P494" s="51">
        <v>75</v>
      </c>
    </row>
    <row r="495" spans="1:16" x14ac:dyDescent="0.35">
      <c r="A495" s="49">
        <v>494</v>
      </c>
      <c r="B495" s="50">
        <v>40565</v>
      </c>
      <c r="C495" s="3">
        <v>1</v>
      </c>
      <c r="D495" s="3">
        <v>0</v>
      </c>
      <c r="E495" s="3" t="s">
        <v>104</v>
      </c>
      <c r="F495" s="3">
        <v>15</v>
      </c>
      <c r="G495" s="3" t="b">
        <v>0</v>
      </c>
      <c r="H495" s="3" t="s">
        <v>106</v>
      </c>
      <c r="I495" s="3" t="s">
        <v>113</v>
      </c>
      <c r="J495" s="3">
        <v>0.12</v>
      </c>
      <c r="K495" s="3">
        <v>0.1515</v>
      </c>
      <c r="L495" s="3">
        <v>0.28000000000000003</v>
      </c>
      <c r="M495" s="3">
        <v>0</v>
      </c>
      <c r="N495" s="3">
        <v>10</v>
      </c>
      <c r="O495" s="3">
        <v>93</v>
      </c>
      <c r="P495" s="51">
        <v>103</v>
      </c>
    </row>
    <row r="496" spans="1:16" x14ac:dyDescent="0.35">
      <c r="A496" s="49">
        <v>495</v>
      </c>
      <c r="B496" s="50">
        <v>40565</v>
      </c>
      <c r="C496" s="3">
        <v>1</v>
      </c>
      <c r="D496" s="3">
        <v>0</v>
      </c>
      <c r="E496" s="3" t="s">
        <v>104</v>
      </c>
      <c r="F496" s="3">
        <v>16</v>
      </c>
      <c r="G496" s="3" t="b">
        <v>0</v>
      </c>
      <c r="H496" s="3" t="s">
        <v>106</v>
      </c>
      <c r="I496" s="3" t="s">
        <v>113</v>
      </c>
      <c r="J496" s="3">
        <v>0.12</v>
      </c>
      <c r="K496" s="3">
        <v>0.13639999999999999</v>
      </c>
      <c r="L496" s="3">
        <v>0.28000000000000003</v>
      </c>
      <c r="M496" s="3">
        <v>0.19400000000000001</v>
      </c>
      <c r="N496" s="3">
        <v>11</v>
      </c>
      <c r="O496" s="3">
        <v>72</v>
      </c>
      <c r="P496" s="51">
        <v>83</v>
      </c>
    </row>
    <row r="497" spans="1:16" x14ac:dyDescent="0.35">
      <c r="A497" s="49">
        <v>496</v>
      </c>
      <c r="B497" s="50">
        <v>40565</v>
      </c>
      <c r="C497" s="3">
        <v>1</v>
      </c>
      <c r="D497" s="3">
        <v>0</v>
      </c>
      <c r="E497" s="3" t="s">
        <v>104</v>
      </c>
      <c r="F497" s="3">
        <v>17</v>
      </c>
      <c r="G497" s="3" t="b">
        <v>0</v>
      </c>
      <c r="H497" s="3" t="s">
        <v>106</v>
      </c>
      <c r="I497" s="3" t="s">
        <v>113</v>
      </c>
      <c r="J497" s="3">
        <v>0.12</v>
      </c>
      <c r="K497" s="3">
        <v>0.19700000000000001</v>
      </c>
      <c r="L497" s="3">
        <v>0.28000000000000003</v>
      </c>
      <c r="M497" s="3">
        <v>0</v>
      </c>
      <c r="N497" s="3">
        <v>8</v>
      </c>
      <c r="O497" s="3">
        <v>59</v>
      </c>
      <c r="P497" s="51">
        <v>67</v>
      </c>
    </row>
    <row r="498" spans="1:16" x14ac:dyDescent="0.35">
      <c r="A498" s="49">
        <v>497</v>
      </c>
      <c r="B498" s="50">
        <v>40565</v>
      </c>
      <c r="C498" s="3">
        <v>1</v>
      </c>
      <c r="D498" s="3">
        <v>0</v>
      </c>
      <c r="E498" s="3" t="s">
        <v>104</v>
      </c>
      <c r="F498" s="3">
        <v>18</v>
      </c>
      <c r="G498" s="3" t="b">
        <v>0</v>
      </c>
      <c r="H498" s="3" t="s">
        <v>106</v>
      </c>
      <c r="I498" s="3" t="s">
        <v>113</v>
      </c>
      <c r="J498" s="3">
        <v>0.08</v>
      </c>
      <c r="K498" s="3">
        <v>9.0899999999999995E-2</v>
      </c>
      <c r="L498" s="3">
        <v>0.35</v>
      </c>
      <c r="M498" s="3">
        <v>0.19400000000000001</v>
      </c>
      <c r="N498" s="3">
        <v>0</v>
      </c>
      <c r="O498" s="3">
        <v>54</v>
      </c>
      <c r="P498" s="51">
        <v>54</v>
      </c>
    </row>
    <row r="499" spans="1:16" x14ac:dyDescent="0.35">
      <c r="A499" s="49">
        <v>498</v>
      </c>
      <c r="B499" s="50">
        <v>40565</v>
      </c>
      <c r="C499" s="3">
        <v>1</v>
      </c>
      <c r="D499" s="3">
        <v>0</v>
      </c>
      <c r="E499" s="3" t="s">
        <v>104</v>
      </c>
      <c r="F499" s="3">
        <v>19</v>
      </c>
      <c r="G499" s="3" t="b">
        <v>0</v>
      </c>
      <c r="H499" s="3" t="s">
        <v>106</v>
      </c>
      <c r="I499" s="3" t="s">
        <v>113</v>
      </c>
      <c r="J499" s="3">
        <v>0.08</v>
      </c>
      <c r="K499" s="3">
        <v>0.1061</v>
      </c>
      <c r="L499" s="3">
        <v>0.35</v>
      </c>
      <c r="M499" s="3">
        <v>0.1343</v>
      </c>
      <c r="N499" s="3">
        <v>6</v>
      </c>
      <c r="O499" s="3">
        <v>53</v>
      </c>
      <c r="P499" s="51">
        <v>59</v>
      </c>
    </row>
    <row r="500" spans="1:16" x14ac:dyDescent="0.35">
      <c r="A500" s="49">
        <v>499</v>
      </c>
      <c r="B500" s="50">
        <v>40565</v>
      </c>
      <c r="C500" s="3">
        <v>1</v>
      </c>
      <c r="D500" s="3">
        <v>0</v>
      </c>
      <c r="E500" s="3" t="s">
        <v>104</v>
      </c>
      <c r="F500" s="3">
        <v>20</v>
      </c>
      <c r="G500" s="3" t="b">
        <v>0</v>
      </c>
      <c r="H500" s="3" t="s">
        <v>106</v>
      </c>
      <c r="I500" s="3" t="s">
        <v>113</v>
      </c>
      <c r="J500" s="3">
        <v>0.06</v>
      </c>
      <c r="K500" s="3">
        <v>7.5800000000000006E-2</v>
      </c>
      <c r="L500" s="3">
        <v>0.45</v>
      </c>
      <c r="M500" s="3">
        <v>0.16420000000000001</v>
      </c>
      <c r="N500" s="3">
        <v>1</v>
      </c>
      <c r="O500" s="3">
        <v>44</v>
      </c>
      <c r="P500" s="51">
        <v>45</v>
      </c>
    </row>
    <row r="501" spans="1:16" x14ac:dyDescent="0.35">
      <c r="A501" s="49">
        <v>500</v>
      </c>
      <c r="B501" s="50">
        <v>40565</v>
      </c>
      <c r="C501" s="3">
        <v>1</v>
      </c>
      <c r="D501" s="3">
        <v>0</v>
      </c>
      <c r="E501" s="3" t="s">
        <v>104</v>
      </c>
      <c r="F501" s="3">
        <v>21</v>
      </c>
      <c r="G501" s="3" t="b">
        <v>0</v>
      </c>
      <c r="H501" s="3" t="s">
        <v>106</v>
      </c>
      <c r="I501" s="3" t="s">
        <v>113</v>
      </c>
      <c r="J501" s="3">
        <v>0.06</v>
      </c>
      <c r="K501" s="3">
        <v>0.1061</v>
      </c>
      <c r="L501" s="3">
        <v>0.41</v>
      </c>
      <c r="M501" s="3">
        <v>8.9599999999999999E-2</v>
      </c>
      <c r="N501" s="3">
        <v>0</v>
      </c>
      <c r="O501" s="3">
        <v>39</v>
      </c>
      <c r="P501" s="51">
        <v>39</v>
      </c>
    </row>
    <row r="502" spans="1:16" x14ac:dyDescent="0.35">
      <c r="A502" s="49">
        <v>501</v>
      </c>
      <c r="B502" s="50">
        <v>40565</v>
      </c>
      <c r="C502" s="3">
        <v>1</v>
      </c>
      <c r="D502" s="3">
        <v>0</v>
      </c>
      <c r="E502" s="3" t="s">
        <v>104</v>
      </c>
      <c r="F502" s="3">
        <v>22</v>
      </c>
      <c r="G502" s="3" t="b">
        <v>0</v>
      </c>
      <c r="H502" s="3" t="s">
        <v>106</v>
      </c>
      <c r="I502" s="3" t="s">
        <v>113</v>
      </c>
      <c r="J502" s="3">
        <v>0.06</v>
      </c>
      <c r="K502" s="3">
        <v>0.1515</v>
      </c>
      <c r="L502" s="3">
        <v>0.49</v>
      </c>
      <c r="M502" s="3">
        <v>0</v>
      </c>
      <c r="N502" s="3">
        <v>7</v>
      </c>
      <c r="O502" s="3">
        <v>23</v>
      </c>
      <c r="P502" s="51">
        <v>30</v>
      </c>
    </row>
    <row r="503" spans="1:16" x14ac:dyDescent="0.35">
      <c r="A503" s="49">
        <v>502</v>
      </c>
      <c r="B503" s="50">
        <v>40565</v>
      </c>
      <c r="C503" s="3">
        <v>1</v>
      </c>
      <c r="D503" s="3">
        <v>0</v>
      </c>
      <c r="E503" s="3" t="s">
        <v>104</v>
      </c>
      <c r="F503" s="3">
        <v>23</v>
      </c>
      <c r="G503" s="3" t="b">
        <v>0</v>
      </c>
      <c r="H503" s="3" t="s">
        <v>106</v>
      </c>
      <c r="I503" s="3" t="s">
        <v>113</v>
      </c>
      <c r="J503" s="3">
        <v>0.04</v>
      </c>
      <c r="K503" s="3">
        <v>7.5800000000000006E-2</v>
      </c>
      <c r="L503" s="3">
        <v>0.56999999999999995</v>
      </c>
      <c r="M503" s="3">
        <v>0.1045</v>
      </c>
      <c r="N503" s="3">
        <v>2</v>
      </c>
      <c r="O503" s="3">
        <v>31</v>
      </c>
      <c r="P503" s="51">
        <v>33</v>
      </c>
    </row>
    <row r="504" spans="1:16" x14ac:dyDescent="0.35">
      <c r="A504" s="49">
        <v>503</v>
      </c>
      <c r="B504" s="50">
        <v>40566</v>
      </c>
      <c r="C504" s="3">
        <v>1</v>
      </c>
      <c r="D504" s="3">
        <v>0</v>
      </c>
      <c r="E504" s="3" t="s">
        <v>104</v>
      </c>
      <c r="F504" s="3">
        <v>0</v>
      </c>
      <c r="G504" s="3" t="b">
        <v>0</v>
      </c>
      <c r="H504" s="3" t="s">
        <v>107</v>
      </c>
      <c r="I504" s="3" t="s">
        <v>113</v>
      </c>
      <c r="J504" s="3">
        <v>0.04</v>
      </c>
      <c r="K504" s="3">
        <v>7.5800000000000006E-2</v>
      </c>
      <c r="L504" s="3">
        <v>0.56999999999999995</v>
      </c>
      <c r="M504" s="3">
        <v>0.1045</v>
      </c>
      <c r="N504" s="3">
        <v>2</v>
      </c>
      <c r="O504" s="3">
        <v>20</v>
      </c>
      <c r="P504" s="51">
        <v>22</v>
      </c>
    </row>
    <row r="505" spans="1:16" x14ac:dyDescent="0.35">
      <c r="A505" s="49">
        <v>504</v>
      </c>
      <c r="B505" s="50">
        <v>40566</v>
      </c>
      <c r="C505" s="3">
        <v>1</v>
      </c>
      <c r="D505" s="3">
        <v>0</v>
      </c>
      <c r="E505" s="3" t="s">
        <v>104</v>
      </c>
      <c r="F505" s="3">
        <v>1</v>
      </c>
      <c r="G505" s="3" t="b">
        <v>0</v>
      </c>
      <c r="H505" s="3" t="s">
        <v>107</v>
      </c>
      <c r="I505" s="3" t="s">
        <v>113</v>
      </c>
      <c r="J505" s="3">
        <v>0.04</v>
      </c>
      <c r="K505" s="3">
        <v>7.5800000000000006E-2</v>
      </c>
      <c r="L505" s="3">
        <v>0.56999999999999995</v>
      </c>
      <c r="M505" s="3">
        <v>0.1045</v>
      </c>
      <c r="N505" s="3">
        <v>1</v>
      </c>
      <c r="O505" s="3">
        <v>12</v>
      </c>
      <c r="P505" s="51">
        <v>13</v>
      </c>
    </row>
    <row r="506" spans="1:16" x14ac:dyDescent="0.35">
      <c r="A506" s="49">
        <v>505</v>
      </c>
      <c r="B506" s="50">
        <v>40566</v>
      </c>
      <c r="C506" s="3">
        <v>1</v>
      </c>
      <c r="D506" s="3">
        <v>0</v>
      </c>
      <c r="E506" s="3" t="s">
        <v>104</v>
      </c>
      <c r="F506" s="3">
        <v>2</v>
      </c>
      <c r="G506" s="3" t="b">
        <v>0</v>
      </c>
      <c r="H506" s="3" t="s">
        <v>107</v>
      </c>
      <c r="I506" s="3" t="s">
        <v>113</v>
      </c>
      <c r="J506" s="3">
        <v>0.02</v>
      </c>
      <c r="K506" s="3">
        <v>6.0600000000000001E-2</v>
      </c>
      <c r="L506" s="3">
        <v>0.62</v>
      </c>
      <c r="M506" s="3">
        <v>0.1343</v>
      </c>
      <c r="N506" s="3">
        <v>3</v>
      </c>
      <c r="O506" s="3">
        <v>15</v>
      </c>
      <c r="P506" s="51">
        <v>18</v>
      </c>
    </row>
    <row r="507" spans="1:16" x14ac:dyDescent="0.35">
      <c r="A507" s="49">
        <v>506</v>
      </c>
      <c r="B507" s="50">
        <v>40566</v>
      </c>
      <c r="C507" s="3">
        <v>1</v>
      </c>
      <c r="D507" s="3">
        <v>0</v>
      </c>
      <c r="E507" s="3" t="s">
        <v>104</v>
      </c>
      <c r="F507" s="3">
        <v>3</v>
      </c>
      <c r="G507" s="3" t="b">
        <v>0</v>
      </c>
      <c r="H507" s="3" t="s">
        <v>107</v>
      </c>
      <c r="I507" s="3" t="s">
        <v>113</v>
      </c>
      <c r="J507" s="3">
        <v>0.02</v>
      </c>
      <c r="K507" s="3">
        <v>6.0600000000000001E-2</v>
      </c>
      <c r="L507" s="3">
        <v>0.62</v>
      </c>
      <c r="M507" s="3">
        <v>0.1343</v>
      </c>
      <c r="N507" s="3">
        <v>1</v>
      </c>
      <c r="O507" s="3">
        <v>4</v>
      </c>
      <c r="P507" s="51">
        <v>5</v>
      </c>
    </row>
    <row r="508" spans="1:16" x14ac:dyDescent="0.35">
      <c r="A508" s="49">
        <v>507</v>
      </c>
      <c r="B508" s="50">
        <v>40566</v>
      </c>
      <c r="C508" s="3">
        <v>1</v>
      </c>
      <c r="D508" s="3">
        <v>0</v>
      </c>
      <c r="E508" s="3" t="s">
        <v>104</v>
      </c>
      <c r="F508" s="3">
        <v>5</v>
      </c>
      <c r="G508" s="3" t="b">
        <v>0</v>
      </c>
      <c r="H508" s="3" t="s">
        <v>107</v>
      </c>
      <c r="I508" s="3" t="s">
        <v>114</v>
      </c>
      <c r="J508" s="3">
        <v>0.04</v>
      </c>
      <c r="K508" s="3">
        <v>7.5800000000000006E-2</v>
      </c>
      <c r="L508" s="3">
        <v>0.56999999999999995</v>
      </c>
      <c r="M508" s="3">
        <v>0.1045</v>
      </c>
      <c r="N508" s="3">
        <v>0</v>
      </c>
      <c r="O508" s="3">
        <v>3</v>
      </c>
      <c r="P508" s="51">
        <v>3</v>
      </c>
    </row>
    <row r="509" spans="1:16" x14ac:dyDescent="0.35">
      <c r="A509" s="49">
        <v>508</v>
      </c>
      <c r="B509" s="50">
        <v>40566</v>
      </c>
      <c r="C509" s="3">
        <v>1</v>
      </c>
      <c r="D509" s="3">
        <v>0</v>
      </c>
      <c r="E509" s="3" t="s">
        <v>104</v>
      </c>
      <c r="F509" s="3">
        <v>6</v>
      </c>
      <c r="G509" s="3" t="b">
        <v>0</v>
      </c>
      <c r="H509" s="3" t="s">
        <v>107</v>
      </c>
      <c r="I509" s="3" t="s">
        <v>114</v>
      </c>
      <c r="J509" s="3">
        <v>0.04</v>
      </c>
      <c r="K509" s="3">
        <v>7.5800000000000006E-2</v>
      </c>
      <c r="L509" s="3">
        <v>0.56999999999999995</v>
      </c>
      <c r="M509" s="3">
        <v>0.1045</v>
      </c>
      <c r="N509" s="3">
        <v>0</v>
      </c>
      <c r="O509" s="3">
        <v>1</v>
      </c>
      <c r="P509" s="51">
        <v>1</v>
      </c>
    </row>
    <row r="510" spans="1:16" x14ac:dyDescent="0.35">
      <c r="A510" s="49">
        <v>509</v>
      </c>
      <c r="B510" s="50">
        <v>40566</v>
      </c>
      <c r="C510" s="3">
        <v>1</v>
      </c>
      <c r="D510" s="3">
        <v>0</v>
      </c>
      <c r="E510" s="3" t="s">
        <v>104</v>
      </c>
      <c r="F510" s="3">
        <v>7</v>
      </c>
      <c r="G510" s="3" t="b">
        <v>0</v>
      </c>
      <c r="H510" s="3" t="s">
        <v>107</v>
      </c>
      <c r="I510" s="3" t="s">
        <v>113</v>
      </c>
      <c r="J510" s="3">
        <v>0.08</v>
      </c>
      <c r="K510" s="3">
        <v>0.1061</v>
      </c>
      <c r="L510" s="3">
        <v>0.57999999999999996</v>
      </c>
      <c r="M510" s="3">
        <v>0.16420000000000001</v>
      </c>
      <c r="N510" s="3">
        <v>1</v>
      </c>
      <c r="O510" s="3">
        <v>1</v>
      </c>
      <c r="P510" s="51">
        <v>2</v>
      </c>
    </row>
    <row r="511" spans="1:16" x14ac:dyDescent="0.35">
      <c r="A511" s="49">
        <v>510</v>
      </c>
      <c r="B511" s="50">
        <v>40566</v>
      </c>
      <c r="C511" s="3">
        <v>1</v>
      </c>
      <c r="D511" s="3">
        <v>0</v>
      </c>
      <c r="E511" s="3" t="s">
        <v>104</v>
      </c>
      <c r="F511" s="3">
        <v>8</v>
      </c>
      <c r="G511" s="3" t="b">
        <v>0</v>
      </c>
      <c r="H511" s="3" t="s">
        <v>107</v>
      </c>
      <c r="I511" s="3" t="s">
        <v>113</v>
      </c>
      <c r="J511" s="3">
        <v>0.06</v>
      </c>
      <c r="K511" s="3">
        <v>7.5800000000000006E-2</v>
      </c>
      <c r="L511" s="3">
        <v>0.62</v>
      </c>
      <c r="M511" s="3">
        <v>0.16420000000000001</v>
      </c>
      <c r="N511" s="3">
        <v>2</v>
      </c>
      <c r="O511" s="3">
        <v>17</v>
      </c>
      <c r="P511" s="51">
        <v>19</v>
      </c>
    </row>
    <row r="512" spans="1:16" x14ac:dyDescent="0.35">
      <c r="A512" s="49">
        <v>511</v>
      </c>
      <c r="B512" s="50">
        <v>40566</v>
      </c>
      <c r="C512" s="3">
        <v>1</v>
      </c>
      <c r="D512" s="3">
        <v>0</v>
      </c>
      <c r="E512" s="3" t="s">
        <v>104</v>
      </c>
      <c r="F512" s="3">
        <v>9</v>
      </c>
      <c r="G512" s="3" t="b">
        <v>0</v>
      </c>
      <c r="H512" s="3" t="s">
        <v>107</v>
      </c>
      <c r="I512" s="3" t="s">
        <v>113</v>
      </c>
      <c r="J512" s="3">
        <v>0.1</v>
      </c>
      <c r="K512" s="3">
        <v>7.5800000000000006E-2</v>
      </c>
      <c r="L512" s="3">
        <v>0.54</v>
      </c>
      <c r="M512" s="3">
        <v>0.35820000000000002</v>
      </c>
      <c r="N512" s="3">
        <v>3</v>
      </c>
      <c r="O512" s="3">
        <v>25</v>
      </c>
      <c r="P512" s="51">
        <v>28</v>
      </c>
    </row>
    <row r="513" spans="1:16" x14ac:dyDescent="0.35">
      <c r="A513" s="49">
        <v>512</v>
      </c>
      <c r="B513" s="50">
        <v>40566</v>
      </c>
      <c r="C513" s="3">
        <v>1</v>
      </c>
      <c r="D513" s="3">
        <v>0</v>
      </c>
      <c r="E513" s="3" t="s">
        <v>104</v>
      </c>
      <c r="F513" s="3">
        <v>10</v>
      </c>
      <c r="G513" s="3" t="b">
        <v>0</v>
      </c>
      <c r="H513" s="3" t="s">
        <v>107</v>
      </c>
      <c r="I513" s="3" t="s">
        <v>113</v>
      </c>
      <c r="J513" s="3">
        <v>0.14000000000000001</v>
      </c>
      <c r="K513" s="3">
        <v>0.1061</v>
      </c>
      <c r="L513" s="3">
        <v>0.46</v>
      </c>
      <c r="M513" s="3">
        <v>0.3881</v>
      </c>
      <c r="N513" s="3">
        <v>7</v>
      </c>
      <c r="O513" s="3">
        <v>51</v>
      </c>
      <c r="P513" s="51">
        <v>58</v>
      </c>
    </row>
    <row r="514" spans="1:16" x14ac:dyDescent="0.35">
      <c r="A514" s="49">
        <v>513</v>
      </c>
      <c r="B514" s="50">
        <v>40566</v>
      </c>
      <c r="C514" s="3">
        <v>1</v>
      </c>
      <c r="D514" s="3">
        <v>0</v>
      </c>
      <c r="E514" s="3" t="s">
        <v>104</v>
      </c>
      <c r="F514" s="3">
        <v>11</v>
      </c>
      <c r="G514" s="3" t="b">
        <v>0</v>
      </c>
      <c r="H514" s="3" t="s">
        <v>107</v>
      </c>
      <c r="I514" s="3" t="s">
        <v>113</v>
      </c>
      <c r="J514" s="3">
        <v>0.14000000000000001</v>
      </c>
      <c r="K514" s="3">
        <v>0.13639999999999999</v>
      </c>
      <c r="L514" s="3">
        <v>0.43</v>
      </c>
      <c r="M514" s="3">
        <v>0.22389999999999999</v>
      </c>
      <c r="N514" s="3">
        <v>22</v>
      </c>
      <c r="O514" s="3">
        <v>77</v>
      </c>
      <c r="P514" s="51">
        <v>99</v>
      </c>
    </row>
    <row r="515" spans="1:16" x14ac:dyDescent="0.35">
      <c r="A515" s="49">
        <v>514</v>
      </c>
      <c r="B515" s="50">
        <v>40566</v>
      </c>
      <c r="C515" s="3">
        <v>1</v>
      </c>
      <c r="D515" s="3">
        <v>0</v>
      </c>
      <c r="E515" s="3" t="s">
        <v>104</v>
      </c>
      <c r="F515" s="3">
        <v>12</v>
      </c>
      <c r="G515" s="3" t="b">
        <v>0</v>
      </c>
      <c r="H515" s="3" t="s">
        <v>107</v>
      </c>
      <c r="I515" s="3" t="s">
        <v>113</v>
      </c>
      <c r="J515" s="3">
        <v>0.16</v>
      </c>
      <c r="K515" s="3">
        <v>0.1212</v>
      </c>
      <c r="L515" s="3">
        <v>0.37</v>
      </c>
      <c r="M515" s="3">
        <v>0.4627</v>
      </c>
      <c r="N515" s="3">
        <v>24</v>
      </c>
      <c r="O515" s="3">
        <v>92</v>
      </c>
      <c r="P515" s="51">
        <v>116</v>
      </c>
    </row>
    <row r="516" spans="1:16" x14ac:dyDescent="0.35">
      <c r="A516" s="49">
        <v>515</v>
      </c>
      <c r="B516" s="50">
        <v>40566</v>
      </c>
      <c r="C516" s="3">
        <v>1</v>
      </c>
      <c r="D516" s="3">
        <v>0</v>
      </c>
      <c r="E516" s="3" t="s">
        <v>104</v>
      </c>
      <c r="F516" s="3">
        <v>13</v>
      </c>
      <c r="G516" s="3" t="b">
        <v>0</v>
      </c>
      <c r="H516" s="3" t="s">
        <v>107</v>
      </c>
      <c r="I516" s="3" t="s">
        <v>113</v>
      </c>
      <c r="J516" s="3">
        <v>0.14000000000000001</v>
      </c>
      <c r="K516" s="3">
        <v>0.1061</v>
      </c>
      <c r="L516" s="3">
        <v>0.33</v>
      </c>
      <c r="M516" s="3">
        <v>0.3881</v>
      </c>
      <c r="N516" s="3">
        <v>12</v>
      </c>
      <c r="O516" s="3">
        <v>75</v>
      </c>
      <c r="P516" s="51">
        <v>87</v>
      </c>
    </row>
    <row r="517" spans="1:16" x14ac:dyDescent="0.35">
      <c r="A517" s="49">
        <v>516</v>
      </c>
      <c r="B517" s="50">
        <v>40566</v>
      </c>
      <c r="C517" s="3">
        <v>1</v>
      </c>
      <c r="D517" s="3">
        <v>0</v>
      </c>
      <c r="E517" s="3" t="s">
        <v>104</v>
      </c>
      <c r="F517" s="3">
        <v>14</v>
      </c>
      <c r="G517" s="3" t="b">
        <v>0</v>
      </c>
      <c r="H517" s="3" t="s">
        <v>107</v>
      </c>
      <c r="I517" s="3" t="s">
        <v>113</v>
      </c>
      <c r="J517" s="3">
        <v>0.16</v>
      </c>
      <c r="K517" s="3">
        <v>0.13639999999999999</v>
      </c>
      <c r="L517" s="3">
        <v>0.28000000000000003</v>
      </c>
      <c r="M517" s="3">
        <v>0.35820000000000002</v>
      </c>
      <c r="N517" s="3">
        <v>17</v>
      </c>
      <c r="O517" s="3">
        <v>93</v>
      </c>
      <c r="P517" s="51">
        <v>110</v>
      </c>
    </row>
    <row r="518" spans="1:16" x14ac:dyDescent="0.35">
      <c r="A518" s="49">
        <v>517</v>
      </c>
      <c r="B518" s="50">
        <v>40566</v>
      </c>
      <c r="C518" s="3">
        <v>1</v>
      </c>
      <c r="D518" s="3">
        <v>0</v>
      </c>
      <c r="E518" s="3" t="s">
        <v>104</v>
      </c>
      <c r="F518" s="3">
        <v>15</v>
      </c>
      <c r="G518" s="3" t="b">
        <v>0</v>
      </c>
      <c r="H518" s="3" t="s">
        <v>107</v>
      </c>
      <c r="I518" s="3" t="s">
        <v>113</v>
      </c>
      <c r="J518" s="3">
        <v>0.16</v>
      </c>
      <c r="K518" s="3">
        <v>0.13639999999999999</v>
      </c>
      <c r="L518" s="3">
        <v>0.28000000000000003</v>
      </c>
      <c r="M518" s="3">
        <v>0.35820000000000002</v>
      </c>
      <c r="N518" s="3">
        <v>13</v>
      </c>
      <c r="O518" s="3">
        <v>64</v>
      </c>
      <c r="P518" s="51">
        <v>77</v>
      </c>
    </row>
    <row r="519" spans="1:16" x14ac:dyDescent="0.35">
      <c r="A519" s="49">
        <v>518</v>
      </c>
      <c r="B519" s="50">
        <v>40566</v>
      </c>
      <c r="C519" s="3">
        <v>1</v>
      </c>
      <c r="D519" s="3">
        <v>0</v>
      </c>
      <c r="E519" s="3" t="s">
        <v>104</v>
      </c>
      <c r="F519" s="3">
        <v>16</v>
      </c>
      <c r="G519" s="3" t="b">
        <v>0</v>
      </c>
      <c r="H519" s="3" t="s">
        <v>107</v>
      </c>
      <c r="I519" s="3" t="s">
        <v>113</v>
      </c>
      <c r="J519" s="3">
        <v>0.16</v>
      </c>
      <c r="K519" s="3">
        <v>0.13639999999999999</v>
      </c>
      <c r="L519" s="3">
        <v>0.26</v>
      </c>
      <c r="M519" s="3">
        <v>0.32840000000000003</v>
      </c>
      <c r="N519" s="3">
        <v>9</v>
      </c>
      <c r="O519" s="3">
        <v>56</v>
      </c>
      <c r="P519" s="51">
        <v>65</v>
      </c>
    </row>
    <row r="520" spans="1:16" x14ac:dyDescent="0.35">
      <c r="A520" s="49">
        <v>519</v>
      </c>
      <c r="B520" s="50">
        <v>40566</v>
      </c>
      <c r="C520" s="3">
        <v>1</v>
      </c>
      <c r="D520" s="3">
        <v>0</v>
      </c>
      <c r="E520" s="3" t="s">
        <v>104</v>
      </c>
      <c r="F520" s="3">
        <v>17</v>
      </c>
      <c r="G520" s="3" t="b">
        <v>0</v>
      </c>
      <c r="H520" s="3" t="s">
        <v>107</v>
      </c>
      <c r="I520" s="3" t="s">
        <v>113</v>
      </c>
      <c r="J520" s="3">
        <v>0.14000000000000001</v>
      </c>
      <c r="K520" s="3">
        <v>0.1061</v>
      </c>
      <c r="L520" s="3">
        <v>0.26</v>
      </c>
      <c r="M520" s="3">
        <v>0.3881</v>
      </c>
      <c r="N520" s="3">
        <v>5</v>
      </c>
      <c r="O520" s="3">
        <v>50</v>
      </c>
      <c r="P520" s="51">
        <v>55</v>
      </c>
    </row>
    <row r="521" spans="1:16" x14ac:dyDescent="0.35">
      <c r="A521" s="49">
        <v>520</v>
      </c>
      <c r="B521" s="50">
        <v>40566</v>
      </c>
      <c r="C521" s="3">
        <v>1</v>
      </c>
      <c r="D521" s="3">
        <v>0</v>
      </c>
      <c r="E521" s="3" t="s">
        <v>104</v>
      </c>
      <c r="F521" s="3">
        <v>18</v>
      </c>
      <c r="G521" s="3" t="b">
        <v>0</v>
      </c>
      <c r="H521" s="3" t="s">
        <v>107</v>
      </c>
      <c r="I521" s="3" t="s">
        <v>113</v>
      </c>
      <c r="J521" s="3">
        <v>0.12</v>
      </c>
      <c r="K521" s="3">
        <v>0.1212</v>
      </c>
      <c r="L521" s="3">
        <v>0.3</v>
      </c>
      <c r="M521" s="3">
        <v>0.25369999999999998</v>
      </c>
      <c r="N521" s="3">
        <v>5</v>
      </c>
      <c r="O521" s="3">
        <v>44</v>
      </c>
      <c r="P521" s="51">
        <v>49</v>
      </c>
    </row>
    <row r="522" spans="1:16" x14ac:dyDescent="0.35">
      <c r="A522" s="49">
        <v>521</v>
      </c>
      <c r="B522" s="50">
        <v>40566</v>
      </c>
      <c r="C522" s="3">
        <v>1</v>
      </c>
      <c r="D522" s="3">
        <v>0</v>
      </c>
      <c r="E522" s="3" t="s">
        <v>104</v>
      </c>
      <c r="F522" s="3">
        <v>19</v>
      </c>
      <c r="G522" s="3" t="b">
        <v>0</v>
      </c>
      <c r="H522" s="3" t="s">
        <v>107</v>
      </c>
      <c r="I522" s="3" t="s">
        <v>113</v>
      </c>
      <c r="J522" s="3">
        <v>0.12</v>
      </c>
      <c r="K522" s="3">
        <v>0.1212</v>
      </c>
      <c r="L522" s="3">
        <v>0.3</v>
      </c>
      <c r="M522" s="3">
        <v>0.28360000000000002</v>
      </c>
      <c r="N522" s="3">
        <v>5</v>
      </c>
      <c r="O522" s="3">
        <v>45</v>
      </c>
      <c r="P522" s="51">
        <v>50</v>
      </c>
    </row>
    <row r="523" spans="1:16" x14ac:dyDescent="0.35">
      <c r="A523" s="49">
        <v>522</v>
      </c>
      <c r="B523" s="50">
        <v>40566</v>
      </c>
      <c r="C523" s="3">
        <v>1</v>
      </c>
      <c r="D523" s="3">
        <v>0</v>
      </c>
      <c r="E523" s="3" t="s">
        <v>104</v>
      </c>
      <c r="F523" s="3">
        <v>20</v>
      </c>
      <c r="G523" s="3" t="b">
        <v>0</v>
      </c>
      <c r="H523" s="3" t="s">
        <v>107</v>
      </c>
      <c r="I523" s="3" t="s">
        <v>113</v>
      </c>
      <c r="J523" s="3">
        <v>0.1</v>
      </c>
      <c r="K523" s="3">
        <v>0.1061</v>
      </c>
      <c r="L523" s="3">
        <v>0.36</v>
      </c>
      <c r="M523" s="3">
        <v>0.25369999999999998</v>
      </c>
      <c r="N523" s="3">
        <v>4</v>
      </c>
      <c r="O523" s="3">
        <v>31</v>
      </c>
      <c r="P523" s="51">
        <v>35</v>
      </c>
    </row>
    <row r="524" spans="1:16" x14ac:dyDescent="0.35">
      <c r="A524" s="49">
        <v>523</v>
      </c>
      <c r="B524" s="50">
        <v>40566</v>
      </c>
      <c r="C524" s="3">
        <v>1</v>
      </c>
      <c r="D524" s="3">
        <v>0</v>
      </c>
      <c r="E524" s="3" t="s">
        <v>104</v>
      </c>
      <c r="F524" s="3">
        <v>21</v>
      </c>
      <c r="G524" s="3" t="b">
        <v>0</v>
      </c>
      <c r="H524" s="3" t="s">
        <v>107</v>
      </c>
      <c r="I524" s="3" t="s">
        <v>113</v>
      </c>
      <c r="J524" s="3">
        <v>0.1</v>
      </c>
      <c r="K524" s="3">
        <v>0.1061</v>
      </c>
      <c r="L524" s="3">
        <v>0.36</v>
      </c>
      <c r="M524" s="3">
        <v>0.19400000000000001</v>
      </c>
      <c r="N524" s="3">
        <v>5</v>
      </c>
      <c r="O524" s="3">
        <v>20</v>
      </c>
      <c r="P524" s="51">
        <v>25</v>
      </c>
    </row>
    <row r="525" spans="1:16" x14ac:dyDescent="0.35">
      <c r="A525" s="49">
        <v>524</v>
      </c>
      <c r="B525" s="50">
        <v>40566</v>
      </c>
      <c r="C525" s="3">
        <v>1</v>
      </c>
      <c r="D525" s="3">
        <v>0</v>
      </c>
      <c r="E525" s="3" t="s">
        <v>104</v>
      </c>
      <c r="F525" s="3">
        <v>22</v>
      </c>
      <c r="G525" s="3" t="b">
        <v>0</v>
      </c>
      <c r="H525" s="3" t="s">
        <v>107</v>
      </c>
      <c r="I525" s="3" t="s">
        <v>113</v>
      </c>
      <c r="J525" s="3">
        <v>0.08</v>
      </c>
      <c r="K525" s="3">
        <v>9.0899999999999995E-2</v>
      </c>
      <c r="L525" s="3">
        <v>0.38</v>
      </c>
      <c r="M525" s="3">
        <v>0.19400000000000001</v>
      </c>
      <c r="N525" s="3">
        <v>5</v>
      </c>
      <c r="O525" s="3">
        <v>23</v>
      </c>
      <c r="P525" s="51">
        <v>28</v>
      </c>
    </row>
    <row r="526" spans="1:16" x14ac:dyDescent="0.35">
      <c r="A526" s="49">
        <v>525</v>
      </c>
      <c r="B526" s="50">
        <v>40566</v>
      </c>
      <c r="C526" s="3">
        <v>1</v>
      </c>
      <c r="D526" s="3">
        <v>0</v>
      </c>
      <c r="E526" s="3" t="s">
        <v>104</v>
      </c>
      <c r="F526" s="3">
        <v>23</v>
      </c>
      <c r="G526" s="3" t="b">
        <v>0</v>
      </c>
      <c r="H526" s="3" t="s">
        <v>107</v>
      </c>
      <c r="I526" s="3" t="s">
        <v>113</v>
      </c>
      <c r="J526" s="3">
        <v>0.06</v>
      </c>
      <c r="K526" s="3">
        <v>6.0600000000000001E-2</v>
      </c>
      <c r="L526" s="3">
        <v>0.41</v>
      </c>
      <c r="M526" s="3">
        <v>0.22389999999999999</v>
      </c>
      <c r="N526" s="3">
        <v>4</v>
      </c>
      <c r="O526" s="3">
        <v>17</v>
      </c>
      <c r="P526" s="51">
        <v>21</v>
      </c>
    </row>
    <row r="527" spans="1:16" x14ac:dyDescent="0.35">
      <c r="A527" s="49">
        <v>526</v>
      </c>
      <c r="B527" s="50">
        <v>40567</v>
      </c>
      <c r="C527" s="3">
        <v>1</v>
      </c>
      <c r="D527" s="3">
        <v>0</v>
      </c>
      <c r="E527" s="3" t="s">
        <v>104</v>
      </c>
      <c r="F527" s="3">
        <v>0</v>
      </c>
      <c r="G527" s="3" t="b">
        <v>0</v>
      </c>
      <c r="H527" s="3" t="s">
        <v>108</v>
      </c>
      <c r="I527" s="3" t="s">
        <v>113</v>
      </c>
      <c r="J527" s="3">
        <v>0.06</v>
      </c>
      <c r="K527" s="3">
        <v>6.0600000000000001E-2</v>
      </c>
      <c r="L527" s="3">
        <v>0.41</v>
      </c>
      <c r="M527" s="3">
        <v>0.19400000000000001</v>
      </c>
      <c r="N527" s="3">
        <v>0</v>
      </c>
      <c r="O527" s="3">
        <v>7</v>
      </c>
      <c r="P527" s="51">
        <v>7</v>
      </c>
    </row>
    <row r="528" spans="1:16" x14ac:dyDescent="0.35">
      <c r="A528" s="49">
        <v>527</v>
      </c>
      <c r="B528" s="50">
        <v>40567</v>
      </c>
      <c r="C528" s="3">
        <v>1</v>
      </c>
      <c r="D528" s="3">
        <v>0</v>
      </c>
      <c r="E528" s="3" t="s">
        <v>104</v>
      </c>
      <c r="F528" s="3">
        <v>1</v>
      </c>
      <c r="G528" s="3" t="b">
        <v>0</v>
      </c>
      <c r="H528" s="3" t="s">
        <v>108</v>
      </c>
      <c r="I528" s="3" t="s">
        <v>113</v>
      </c>
      <c r="J528" s="3">
        <v>0.04</v>
      </c>
      <c r="K528" s="3">
        <v>4.5499999999999999E-2</v>
      </c>
      <c r="L528" s="3">
        <v>0.45</v>
      </c>
      <c r="M528" s="3">
        <v>0.19400000000000001</v>
      </c>
      <c r="N528" s="3">
        <v>0</v>
      </c>
      <c r="O528" s="3">
        <v>1</v>
      </c>
      <c r="P528" s="51">
        <v>1</v>
      </c>
    </row>
    <row r="529" spans="1:16" x14ac:dyDescent="0.35">
      <c r="A529" s="49">
        <v>528</v>
      </c>
      <c r="B529" s="50">
        <v>40567</v>
      </c>
      <c r="C529" s="3">
        <v>1</v>
      </c>
      <c r="D529" s="3">
        <v>0</v>
      </c>
      <c r="E529" s="3" t="s">
        <v>104</v>
      </c>
      <c r="F529" s="3">
        <v>3</v>
      </c>
      <c r="G529" s="3" t="b">
        <v>0</v>
      </c>
      <c r="H529" s="3" t="s">
        <v>108</v>
      </c>
      <c r="I529" s="3" t="s">
        <v>113</v>
      </c>
      <c r="J529" s="3">
        <v>0.04</v>
      </c>
      <c r="K529" s="3">
        <v>3.0300000000000001E-2</v>
      </c>
      <c r="L529" s="3">
        <v>0.45</v>
      </c>
      <c r="M529" s="3">
        <v>0.25369999999999998</v>
      </c>
      <c r="N529" s="3">
        <v>0</v>
      </c>
      <c r="O529" s="3">
        <v>1</v>
      </c>
      <c r="P529" s="51">
        <v>1</v>
      </c>
    </row>
    <row r="530" spans="1:16" x14ac:dyDescent="0.35">
      <c r="A530" s="49">
        <v>529</v>
      </c>
      <c r="B530" s="50">
        <v>40567</v>
      </c>
      <c r="C530" s="3">
        <v>1</v>
      </c>
      <c r="D530" s="3">
        <v>0</v>
      </c>
      <c r="E530" s="3" t="s">
        <v>104</v>
      </c>
      <c r="F530" s="3">
        <v>4</v>
      </c>
      <c r="G530" s="3" t="b">
        <v>0</v>
      </c>
      <c r="H530" s="3" t="s">
        <v>108</v>
      </c>
      <c r="I530" s="3" t="s">
        <v>113</v>
      </c>
      <c r="J530" s="3">
        <v>0.02</v>
      </c>
      <c r="K530" s="3">
        <v>6.0600000000000001E-2</v>
      </c>
      <c r="L530" s="3">
        <v>0.48</v>
      </c>
      <c r="M530" s="3">
        <v>0.1343</v>
      </c>
      <c r="N530" s="3">
        <v>0</v>
      </c>
      <c r="O530" s="3">
        <v>1</v>
      </c>
      <c r="P530" s="51">
        <v>1</v>
      </c>
    </row>
    <row r="531" spans="1:16" x14ac:dyDescent="0.35">
      <c r="A531" s="49">
        <v>530</v>
      </c>
      <c r="B531" s="50">
        <v>40567</v>
      </c>
      <c r="C531" s="3">
        <v>1</v>
      </c>
      <c r="D531" s="3">
        <v>0</v>
      </c>
      <c r="E531" s="3" t="s">
        <v>104</v>
      </c>
      <c r="F531" s="3">
        <v>5</v>
      </c>
      <c r="G531" s="3" t="b">
        <v>0</v>
      </c>
      <c r="H531" s="3" t="s">
        <v>108</v>
      </c>
      <c r="I531" s="3" t="s">
        <v>113</v>
      </c>
      <c r="J531" s="3">
        <v>0.02</v>
      </c>
      <c r="K531" s="3">
        <v>6.0600000000000001E-2</v>
      </c>
      <c r="L531" s="3">
        <v>0.48</v>
      </c>
      <c r="M531" s="3">
        <v>0.1343</v>
      </c>
      <c r="N531" s="3">
        <v>0</v>
      </c>
      <c r="O531" s="3">
        <v>5</v>
      </c>
      <c r="P531" s="51">
        <v>5</v>
      </c>
    </row>
    <row r="532" spans="1:16" x14ac:dyDescent="0.35">
      <c r="A532" s="49">
        <v>531</v>
      </c>
      <c r="B532" s="50">
        <v>40567</v>
      </c>
      <c r="C532" s="3">
        <v>1</v>
      </c>
      <c r="D532" s="3">
        <v>0</v>
      </c>
      <c r="E532" s="3" t="s">
        <v>104</v>
      </c>
      <c r="F532" s="3">
        <v>6</v>
      </c>
      <c r="G532" s="3" t="b">
        <v>0</v>
      </c>
      <c r="H532" s="3" t="s">
        <v>108</v>
      </c>
      <c r="I532" s="3" t="s">
        <v>113</v>
      </c>
      <c r="J532" s="3">
        <v>0.02</v>
      </c>
      <c r="K532" s="3">
        <v>7.5800000000000006E-2</v>
      </c>
      <c r="L532" s="3">
        <v>0.48</v>
      </c>
      <c r="M532" s="3">
        <v>8.9599999999999999E-2</v>
      </c>
      <c r="N532" s="3">
        <v>0</v>
      </c>
      <c r="O532" s="3">
        <v>15</v>
      </c>
      <c r="P532" s="51">
        <v>15</v>
      </c>
    </row>
    <row r="533" spans="1:16" x14ac:dyDescent="0.35">
      <c r="A533" s="49">
        <v>532</v>
      </c>
      <c r="B533" s="50">
        <v>40567</v>
      </c>
      <c r="C533" s="3">
        <v>1</v>
      </c>
      <c r="D533" s="3">
        <v>0</v>
      </c>
      <c r="E533" s="3" t="s">
        <v>104</v>
      </c>
      <c r="F533" s="3">
        <v>7</v>
      </c>
      <c r="G533" s="3" t="b">
        <v>0</v>
      </c>
      <c r="H533" s="3" t="s">
        <v>108</v>
      </c>
      <c r="I533" s="3" t="s">
        <v>113</v>
      </c>
      <c r="J533" s="3">
        <v>0.02</v>
      </c>
      <c r="K533" s="3">
        <v>0.1212</v>
      </c>
      <c r="L533" s="3">
        <v>0.48</v>
      </c>
      <c r="M533" s="3">
        <v>0</v>
      </c>
      <c r="N533" s="3">
        <v>5</v>
      </c>
      <c r="O533" s="3">
        <v>79</v>
      </c>
      <c r="P533" s="51">
        <v>84</v>
      </c>
    </row>
    <row r="534" spans="1:16" x14ac:dyDescent="0.35">
      <c r="A534" s="49">
        <v>533</v>
      </c>
      <c r="B534" s="50">
        <v>40567</v>
      </c>
      <c r="C534" s="3">
        <v>1</v>
      </c>
      <c r="D534" s="3">
        <v>0</v>
      </c>
      <c r="E534" s="3" t="s">
        <v>104</v>
      </c>
      <c r="F534" s="3">
        <v>8</v>
      </c>
      <c r="G534" s="3" t="b">
        <v>0</v>
      </c>
      <c r="H534" s="3" t="s">
        <v>108</v>
      </c>
      <c r="I534" s="3" t="s">
        <v>113</v>
      </c>
      <c r="J534" s="3">
        <v>0.04</v>
      </c>
      <c r="K534" s="3">
        <v>0.13639999999999999</v>
      </c>
      <c r="L534" s="3">
        <v>0.49</v>
      </c>
      <c r="M534" s="3">
        <v>0</v>
      </c>
      <c r="N534" s="3">
        <v>6</v>
      </c>
      <c r="O534" s="3">
        <v>171</v>
      </c>
      <c r="P534" s="51">
        <v>177</v>
      </c>
    </row>
    <row r="535" spans="1:16" x14ac:dyDescent="0.35">
      <c r="A535" s="49">
        <v>534</v>
      </c>
      <c r="B535" s="50">
        <v>40567</v>
      </c>
      <c r="C535" s="3">
        <v>1</v>
      </c>
      <c r="D535" s="3">
        <v>0</v>
      </c>
      <c r="E535" s="3" t="s">
        <v>104</v>
      </c>
      <c r="F535" s="3">
        <v>9</v>
      </c>
      <c r="G535" s="3" t="b">
        <v>0</v>
      </c>
      <c r="H535" s="3" t="s">
        <v>108</v>
      </c>
      <c r="I535" s="3" t="s">
        <v>113</v>
      </c>
      <c r="J535" s="3">
        <v>0.06</v>
      </c>
      <c r="K535" s="3">
        <v>0.1515</v>
      </c>
      <c r="L535" s="3">
        <v>0.41</v>
      </c>
      <c r="M535" s="3">
        <v>0</v>
      </c>
      <c r="N535" s="3">
        <v>4</v>
      </c>
      <c r="O535" s="3">
        <v>98</v>
      </c>
      <c r="P535" s="51">
        <v>102</v>
      </c>
    </row>
    <row r="536" spans="1:16" x14ac:dyDescent="0.35">
      <c r="A536" s="49">
        <v>535</v>
      </c>
      <c r="B536" s="50">
        <v>40567</v>
      </c>
      <c r="C536" s="3">
        <v>1</v>
      </c>
      <c r="D536" s="3">
        <v>0</v>
      </c>
      <c r="E536" s="3" t="s">
        <v>104</v>
      </c>
      <c r="F536" s="3">
        <v>10</v>
      </c>
      <c r="G536" s="3" t="b">
        <v>0</v>
      </c>
      <c r="H536" s="3" t="s">
        <v>108</v>
      </c>
      <c r="I536" s="3" t="s">
        <v>113</v>
      </c>
      <c r="J536" s="3">
        <v>0.1</v>
      </c>
      <c r="K536" s="3">
        <v>0.13639999999999999</v>
      </c>
      <c r="L536" s="3">
        <v>0.42</v>
      </c>
      <c r="M536" s="3">
        <v>0</v>
      </c>
      <c r="N536" s="3">
        <v>6</v>
      </c>
      <c r="O536" s="3">
        <v>34</v>
      </c>
      <c r="P536" s="51">
        <v>40</v>
      </c>
    </row>
    <row r="537" spans="1:16" x14ac:dyDescent="0.35">
      <c r="A537" s="49">
        <v>536</v>
      </c>
      <c r="B537" s="50">
        <v>40567</v>
      </c>
      <c r="C537" s="3">
        <v>1</v>
      </c>
      <c r="D537" s="3">
        <v>0</v>
      </c>
      <c r="E537" s="3" t="s">
        <v>104</v>
      </c>
      <c r="F537" s="3">
        <v>11</v>
      </c>
      <c r="G537" s="3" t="b">
        <v>0</v>
      </c>
      <c r="H537" s="3" t="s">
        <v>108</v>
      </c>
      <c r="I537" s="3" t="s">
        <v>113</v>
      </c>
      <c r="J537" s="3">
        <v>0.1</v>
      </c>
      <c r="K537" s="3">
        <v>0.1212</v>
      </c>
      <c r="L537" s="3">
        <v>0.46</v>
      </c>
      <c r="M537" s="3">
        <v>0.1343</v>
      </c>
      <c r="N537" s="3">
        <v>3</v>
      </c>
      <c r="O537" s="3">
        <v>43</v>
      </c>
      <c r="P537" s="51">
        <v>46</v>
      </c>
    </row>
    <row r="538" spans="1:16" x14ac:dyDescent="0.35">
      <c r="A538" s="49">
        <v>537</v>
      </c>
      <c r="B538" s="50">
        <v>40567</v>
      </c>
      <c r="C538" s="3">
        <v>1</v>
      </c>
      <c r="D538" s="3">
        <v>0</v>
      </c>
      <c r="E538" s="3" t="s">
        <v>104</v>
      </c>
      <c r="F538" s="3">
        <v>12</v>
      </c>
      <c r="G538" s="3" t="b">
        <v>0</v>
      </c>
      <c r="H538" s="3" t="s">
        <v>108</v>
      </c>
      <c r="I538" s="3" t="s">
        <v>114</v>
      </c>
      <c r="J538" s="3">
        <v>0.12</v>
      </c>
      <c r="K538" s="3">
        <v>0.13639999999999999</v>
      </c>
      <c r="L538" s="3">
        <v>0.42</v>
      </c>
      <c r="M538" s="3">
        <v>0.19400000000000001</v>
      </c>
      <c r="N538" s="3">
        <v>11</v>
      </c>
      <c r="O538" s="3">
        <v>52</v>
      </c>
      <c r="P538" s="51">
        <v>63</v>
      </c>
    </row>
    <row r="539" spans="1:16" x14ac:dyDescent="0.35">
      <c r="A539" s="49">
        <v>538</v>
      </c>
      <c r="B539" s="50">
        <v>40567</v>
      </c>
      <c r="C539" s="3">
        <v>1</v>
      </c>
      <c r="D539" s="3">
        <v>0</v>
      </c>
      <c r="E539" s="3" t="s">
        <v>104</v>
      </c>
      <c r="F539" s="3">
        <v>13</v>
      </c>
      <c r="G539" s="3" t="b">
        <v>0</v>
      </c>
      <c r="H539" s="3" t="s">
        <v>108</v>
      </c>
      <c r="I539" s="3" t="s">
        <v>114</v>
      </c>
      <c r="J539" s="3">
        <v>0.14000000000000001</v>
      </c>
      <c r="K539" s="3">
        <v>0.13639999999999999</v>
      </c>
      <c r="L539" s="3">
        <v>0.43</v>
      </c>
      <c r="M539" s="3">
        <v>0.22389999999999999</v>
      </c>
      <c r="N539" s="3">
        <v>6</v>
      </c>
      <c r="O539" s="3">
        <v>54</v>
      </c>
      <c r="P539" s="51">
        <v>60</v>
      </c>
    </row>
    <row r="540" spans="1:16" x14ac:dyDescent="0.35">
      <c r="A540" s="49">
        <v>539</v>
      </c>
      <c r="B540" s="50">
        <v>40567</v>
      </c>
      <c r="C540" s="3">
        <v>1</v>
      </c>
      <c r="D540" s="3">
        <v>0</v>
      </c>
      <c r="E540" s="3" t="s">
        <v>104</v>
      </c>
      <c r="F540" s="3">
        <v>14</v>
      </c>
      <c r="G540" s="3" t="b">
        <v>0</v>
      </c>
      <c r="H540" s="3" t="s">
        <v>108</v>
      </c>
      <c r="I540" s="3" t="s">
        <v>114</v>
      </c>
      <c r="J540" s="3">
        <v>0.14000000000000001</v>
      </c>
      <c r="K540" s="3">
        <v>0.13639999999999999</v>
      </c>
      <c r="L540" s="3">
        <v>0.46</v>
      </c>
      <c r="M540" s="3">
        <v>0.22389999999999999</v>
      </c>
      <c r="N540" s="3">
        <v>2</v>
      </c>
      <c r="O540" s="3">
        <v>43</v>
      </c>
      <c r="P540" s="51">
        <v>45</v>
      </c>
    </row>
    <row r="541" spans="1:16" x14ac:dyDescent="0.35">
      <c r="A541" s="49">
        <v>540</v>
      </c>
      <c r="B541" s="50">
        <v>40567</v>
      </c>
      <c r="C541" s="3">
        <v>1</v>
      </c>
      <c r="D541" s="3">
        <v>0</v>
      </c>
      <c r="E541" s="3" t="s">
        <v>104</v>
      </c>
      <c r="F541" s="3">
        <v>15</v>
      </c>
      <c r="G541" s="3" t="b">
        <v>0</v>
      </c>
      <c r="H541" s="3" t="s">
        <v>108</v>
      </c>
      <c r="I541" s="3" t="s">
        <v>113</v>
      </c>
      <c r="J541" s="3">
        <v>0.16</v>
      </c>
      <c r="K541" s="3">
        <v>0.16669999999999999</v>
      </c>
      <c r="L541" s="3">
        <v>0.4</v>
      </c>
      <c r="M541" s="3">
        <v>0.16420000000000001</v>
      </c>
      <c r="N541" s="3">
        <v>7</v>
      </c>
      <c r="O541" s="3">
        <v>50</v>
      </c>
      <c r="P541" s="51">
        <v>57</v>
      </c>
    </row>
    <row r="542" spans="1:16" x14ac:dyDescent="0.35">
      <c r="A542" s="49">
        <v>541</v>
      </c>
      <c r="B542" s="50">
        <v>40567</v>
      </c>
      <c r="C542" s="3">
        <v>1</v>
      </c>
      <c r="D542" s="3">
        <v>0</v>
      </c>
      <c r="E542" s="3" t="s">
        <v>104</v>
      </c>
      <c r="F542" s="3">
        <v>16</v>
      </c>
      <c r="G542" s="3" t="b">
        <v>0</v>
      </c>
      <c r="H542" s="3" t="s">
        <v>108</v>
      </c>
      <c r="I542" s="3" t="s">
        <v>113</v>
      </c>
      <c r="J542" s="3">
        <v>0.16</v>
      </c>
      <c r="K542" s="3">
        <v>0.1515</v>
      </c>
      <c r="L542" s="3">
        <v>0.47</v>
      </c>
      <c r="M542" s="3">
        <v>0.25369999999999998</v>
      </c>
      <c r="N542" s="3">
        <v>4</v>
      </c>
      <c r="O542" s="3">
        <v>66</v>
      </c>
      <c r="P542" s="51">
        <v>70</v>
      </c>
    </row>
    <row r="543" spans="1:16" x14ac:dyDescent="0.35">
      <c r="A543" s="49">
        <v>542</v>
      </c>
      <c r="B543" s="50">
        <v>40567</v>
      </c>
      <c r="C543" s="3">
        <v>1</v>
      </c>
      <c r="D543" s="3">
        <v>0</v>
      </c>
      <c r="E543" s="3" t="s">
        <v>104</v>
      </c>
      <c r="F543" s="3">
        <v>17</v>
      </c>
      <c r="G543" s="3" t="b">
        <v>0</v>
      </c>
      <c r="H543" s="3" t="s">
        <v>108</v>
      </c>
      <c r="I543" s="3" t="s">
        <v>113</v>
      </c>
      <c r="J543" s="3">
        <v>0.14000000000000001</v>
      </c>
      <c r="K543" s="3">
        <v>0.1212</v>
      </c>
      <c r="L543" s="3">
        <v>0.5</v>
      </c>
      <c r="M543" s="3">
        <v>0.25369999999999998</v>
      </c>
      <c r="N543" s="3">
        <v>6</v>
      </c>
      <c r="O543" s="3">
        <v>178</v>
      </c>
      <c r="P543" s="51">
        <v>184</v>
      </c>
    </row>
    <row r="544" spans="1:16" x14ac:dyDescent="0.35">
      <c r="A544" s="49">
        <v>543</v>
      </c>
      <c r="B544" s="50">
        <v>40567</v>
      </c>
      <c r="C544" s="3">
        <v>1</v>
      </c>
      <c r="D544" s="3">
        <v>0</v>
      </c>
      <c r="E544" s="3" t="s">
        <v>104</v>
      </c>
      <c r="F544" s="3">
        <v>18</v>
      </c>
      <c r="G544" s="3" t="b">
        <v>0</v>
      </c>
      <c r="H544" s="3" t="s">
        <v>108</v>
      </c>
      <c r="I544" s="3" t="s">
        <v>113</v>
      </c>
      <c r="J544" s="3">
        <v>0.14000000000000001</v>
      </c>
      <c r="K544" s="3">
        <v>0.13639999999999999</v>
      </c>
      <c r="L544" s="3">
        <v>0.59</v>
      </c>
      <c r="M544" s="3">
        <v>0.19400000000000001</v>
      </c>
      <c r="N544" s="3">
        <v>8</v>
      </c>
      <c r="O544" s="3">
        <v>145</v>
      </c>
      <c r="P544" s="51">
        <v>153</v>
      </c>
    </row>
    <row r="545" spans="1:16" x14ac:dyDescent="0.35">
      <c r="A545" s="49">
        <v>544</v>
      </c>
      <c r="B545" s="50">
        <v>40567</v>
      </c>
      <c r="C545" s="3">
        <v>1</v>
      </c>
      <c r="D545" s="3">
        <v>0</v>
      </c>
      <c r="E545" s="3" t="s">
        <v>104</v>
      </c>
      <c r="F545" s="3">
        <v>19</v>
      </c>
      <c r="G545" s="3" t="b">
        <v>0</v>
      </c>
      <c r="H545" s="3" t="s">
        <v>108</v>
      </c>
      <c r="I545" s="3" t="s">
        <v>113</v>
      </c>
      <c r="J545" s="3">
        <v>0.14000000000000001</v>
      </c>
      <c r="K545" s="3">
        <v>0.1515</v>
      </c>
      <c r="L545" s="3">
        <v>0.54</v>
      </c>
      <c r="M545" s="3">
        <v>0.16420000000000001</v>
      </c>
      <c r="N545" s="3">
        <v>5</v>
      </c>
      <c r="O545" s="3">
        <v>101</v>
      </c>
      <c r="P545" s="51">
        <v>106</v>
      </c>
    </row>
    <row r="546" spans="1:16" x14ac:dyDescent="0.35">
      <c r="A546" s="49">
        <v>545</v>
      </c>
      <c r="B546" s="50">
        <v>40567</v>
      </c>
      <c r="C546" s="3">
        <v>1</v>
      </c>
      <c r="D546" s="3">
        <v>0</v>
      </c>
      <c r="E546" s="3" t="s">
        <v>104</v>
      </c>
      <c r="F546" s="3">
        <v>20</v>
      </c>
      <c r="G546" s="3" t="b">
        <v>0</v>
      </c>
      <c r="H546" s="3" t="s">
        <v>108</v>
      </c>
      <c r="I546" s="3" t="s">
        <v>113</v>
      </c>
      <c r="J546" s="3">
        <v>0.14000000000000001</v>
      </c>
      <c r="K546" s="3">
        <v>0.13639999999999999</v>
      </c>
      <c r="L546" s="3">
        <v>0.59</v>
      </c>
      <c r="M546" s="3">
        <v>0.19400000000000001</v>
      </c>
      <c r="N546" s="3">
        <v>1</v>
      </c>
      <c r="O546" s="3">
        <v>80</v>
      </c>
      <c r="P546" s="51">
        <v>81</v>
      </c>
    </row>
    <row r="547" spans="1:16" x14ac:dyDescent="0.35">
      <c r="A547" s="49">
        <v>546</v>
      </c>
      <c r="B547" s="50">
        <v>40567</v>
      </c>
      <c r="C547" s="3">
        <v>1</v>
      </c>
      <c r="D547" s="3">
        <v>0</v>
      </c>
      <c r="E547" s="3" t="s">
        <v>104</v>
      </c>
      <c r="F547" s="3">
        <v>21</v>
      </c>
      <c r="G547" s="3" t="b">
        <v>0</v>
      </c>
      <c r="H547" s="3" t="s">
        <v>108</v>
      </c>
      <c r="I547" s="3" t="s">
        <v>113</v>
      </c>
      <c r="J547" s="3">
        <v>0.14000000000000001</v>
      </c>
      <c r="K547" s="3">
        <v>0.1515</v>
      </c>
      <c r="L547" s="3">
        <v>0.63</v>
      </c>
      <c r="M547" s="3">
        <v>0.16420000000000001</v>
      </c>
      <c r="N547" s="3">
        <v>6</v>
      </c>
      <c r="O547" s="3">
        <v>53</v>
      </c>
      <c r="P547" s="51">
        <v>59</v>
      </c>
    </row>
    <row r="548" spans="1:16" x14ac:dyDescent="0.35">
      <c r="A548" s="49">
        <v>547</v>
      </c>
      <c r="B548" s="50">
        <v>40567</v>
      </c>
      <c r="C548" s="3">
        <v>1</v>
      </c>
      <c r="D548" s="3">
        <v>0</v>
      </c>
      <c r="E548" s="3" t="s">
        <v>104</v>
      </c>
      <c r="F548" s="3">
        <v>22</v>
      </c>
      <c r="G548" s="3" t="b">
        <v>0</v>
      </c>
      <c r="H548" s="3" t="s">
        <v>108</v>
      </c>
      <c r="I548" s="3" t="s">
        <v>114</v>
      </c>
      <c r="J548" s="3">
        <v>0.14000000000000001</v>
      </c>
      <c r="K548" s="3">
        <v>0.13639999999999999</v>
      </c>
      <c r="L548" s="3">
        <v>0.63</v>
      </c>
      <c r="M548" s="3">
        <v>0.22389999999999999</v>
      </c>
      <c r="N548" s="3">
        <v>3</v>
      </c>
      <c r="O548" s="3">
        <v>32</v>
      </c>
      <c r="P548" s="51">
        <v>35</v>
      </c>
    </row>
    <row r="549" spans="1:16" x14ac:dyDescent="0.35">
      <c r="A549" s="49">
        <v>548</v>
      </c>
      <c r="B549" s="50">
        <v>40567</v>
      </c>
      <c r="C549" s="3">
        <v>1</v>
      </c>
      <c r="D549" s="3">
        <v>0</v>
      </c>
      <c r="E549" s="3" t="s">
        <v>104</v>
      </c>
      <c r="F549" s="3">
        <v>23</v>
      </c>
      <c r="G549" s="3" t="b">
        <v>0</v>
      </c>
      <c r="H549" s="3" t="s">
        <v>108</v>
      </c>
      <c r="I549" s="3" t="s">
        <v>114</v>
      </c>
      <c r="J549" s="3">
        <v>0.16</v>
      </c>
      <c r="K549" s="3">
        <v>0.1515</v>
      </c>
      <c r="L549" s="3">
        <v>0.64</v>
      </c>
      <c r="M549" s="3">
        <v>0.25369999999999998</v>
      </c>
      <c r="N549" s="3">
        <v>3</v>
      </c>
      <c r="O549" s="3">
        <v>21</v>
      </c>
      <c r="P549" s="51">
        <v>24</v>
      </c>
    </row>
    <row r="550" spans="1:16" x14ac:dyDescent="0.35">
      <c r="A550" s="49">
        <v>549</v>
      </c>
      <c r="B550" s="50">
        <v>40568</v>
      </c>
      <c r="C550" s="3">
        <v>1</v>
      </c>
      <c r="D550" s="3">
        <v>0</v>
      </c>
      <c r="E550" s="3" t="s">
        <v>104</v>
      </c>
      <c r="F550" s="3">
        <v>0</v>
      </c>
      <c r="G550" s="3" t="b">
        <v>0</v>
      </c>
      <c r="H550" s="3" t="s">
        <v>109</v>
      </c>
      <c r="I550" s="3" t="s">
        <v>114</v>
      </c>
      <c r="J550" s="3">
        <v>0.16</v>
      </c>
      <c r="K550" s="3">
        <v>0.13639999999999999</v>
      </c>
      <c r="L550" s="3">
        <v>0.69</v>
      </c>
      <c r="M550" s="3">
        <v>0.28360000000000002</v>
      </c>
      <c r="N550" s="3">
        <v>3</v>
      </c>
      <c r="O550" s="3">
        <v>6</v>
      </c>
      <c r="P550" s="51">
        <v>9</v>
      </c>
    </row>
    <row r="551" spans="1:16" x14ac:dyDescent="0.35">
      <c r="A551" s="49">
        <v>550</v>
      </c>
      <c r="B551" s="50">
        <v>40568</v>
      </c>
      <c r="C551" s="3">
        <v>1</v>
      </c>
      <c r="D551" s="3">
        <v>0</v>
      </c>
      <c r="E551" s="3" t="s">
        <v>104</v>
      </c>
      <c r="F551" s="3">
        <v>1</v>
      </c>
      <c r="G551" s="3" t="b">
        <v>0</v>
      </c>
      <c r="H551" s="3" t="s">
        <v>109</v>
      </c>
      <c r="I551" s="3" t="s">
        <v>114</v>
      </c>
      <c r="J551" s="3">
        <v>0.16</v>
      </c>
      <c r="K551" s="3">
        <v>0.16669999999999999</v>
      </c>
      <c r="L551" s="3">
        <v>0.69</v>
      </c>
      <c r="M551" s="3">
        <v>0.16420000000000001</v>
      </c>
      <c r="N551" s="3">
        <v>0</v>
      </c>
      <c r="O551" s="3">
        <v>5</v>
      </c>
      <c r="P551" s="51">
        <v>5</v>
      </c>
    </row>
    <row r="552" spans="1:16" x14ac:dyDescent="0.35">
      <c r="A552" s="49">
        <v>551</v>
      </c>
      <c r="B552" s="50">
        <v>40568</v>
      </c>
      <c r="C552" s="3">
        <v>1</v>
      </c>
      <c r="D552" s="3">
        <v>0</v>
      </c>
      <c r="E552" s="3" t="s">
        <v>104</v>
      </c>
      <c r="F552" s="3">
        <v>2</v>
      </c>
      <c r="G552" s="3" t="b">
        <v>0</v>
      </c>
      <c r="H552" s="3" t="s">
        <v>109</v>
      </c>
      <c r="I552" s="3" t="s">
        <v>113</v>
      </c>
      <c r="J552" s="3">
        <v>0.16</v>
      </c>
      <c r="K552" s="3">
        <v>0.1515</v>
      </c>
      <c r="L552" s="3">
        <v>0.69</v>
      </c>
      <c r="M552" s="3">
        <v>0.22389999999999999</v>
      </c>
      <c r="N552" s="3">
        <v>0</v>
      </c>
      <c r="O552" s="3">
        <v>2</v>
      </c>
      <c r="P552" s="51">
        <v>2</v>
      </c>
    </row>
    <row r="553" spans="1:16" x14ac:dyDescent="0.35">
      <c r="A553" s="49">
        <v>552</v>
      </c>
      <c r="B553" s="50">
        <v>40568</v>
      </c>
      <c r="C553" s="3">
        <v>1</v>
      </c>
      <c r="D553" s="3">
        <v>0</v>
      </c>
      <c r="E553" s="3" t="s">
        <v>104</v>
      </c>
      <c r="F553" s="3">
        <v>4</v>
      </c>
      <c r="G553" s="3" t="b">
        <v>0</v>
      </c>
      <c r="H553" s="3" t="s">
        <v>109</v>
      </c>
      <c r="I553" s="3" t="s">
        <v>113</v>
      </c>
      <c r="J553" s="3">
        <v>0.14000000000000001</v>
      </c>
      <c r="K553" s="3">
        <v>0.16669999999999999</v>
      </c>
      <c r="L553" s="3">
        <v>0.74</v>
      </c>
      <c r="M553" s="3">
        <v>0.1045</v>
      </c>
      <c r="N553" s="3">
        <v>0</v>
      </c>
      <c r="O553" s="3">
        <v>1</v>
      </c>
      <c r="P553" s="51">
        <v>1</v>
      </c>
    </row>
    <row r="554" spans="1:16" x14ac:dyDescent="0.35">
      <c r="A554" s="49">
        <v>553</v>
      </c>
      <c r="B554" s="50">
        <v>40568</v>
      </c>
      <c r="C554" s="3">
        <v>1</v>
      </c>
      <c r="D554" s="3">
        <v>0</v>
      </c>
      <c r="E554" s="3" t="s">
        <v>104</v>
      </c>
      <c r="F554" s="3">
        <v>5</v>
      </c>
      <c r="G554" s="3" t="b">
        <v>0</v>
      </c>
      <c r="H554" s="3" t="s">
        <v>109</v>
      </c>
      <c r="I554" s="3" t="s">
        <v>113</v>
      </c>
      <c r="J554" s="3">
        <v>0.14000000000000001</v>
      </c>
      <c r="K554" s="3">
        <v>0.13639999999999999</v>
      </c>
      <c r="L554" s="3">
        <v>0.74</v>
      </c>
      <c r="M554" s="3">
        <v>0.22389999999999999</v>
      </c>
      <c r="N554" s="3">
        <v>0</v>
      </c>
      <c r="O554" s="3">
        <v>9</v>
      </c>
      <c r="P554" s="51">
        <v>9</v>
      </c>
    </row>
    <row r="555" spans="1:16" x14ac:dyDescent="0.35">
      <c r="A555" s="49">
        <v>554</v>
      </c>
      <c r="B555" s="50">
        <v>40568</v>
      </c>
      <c r="C555" s="3">
        <v>1</v>
      </c>
      <c r="D555" s="3">
        <v>0</v>
      </c>
      <c r="E555" s="3" t="s">
        <v>104</v>
      </c>
      <c r="F555" s="3">
        <v>6</v>
      </c>
      <c r="G555" s="3" t="b">
        <v>0</v>
      </c>
      <c r="H555" s="3" t="s">
        <v>109</v>
      </c>
      <c r="I555" s="3" t="s">
        <v>113</v>
      </c>
      <c r="J555" s="3">
        <v>0.16</v>
      </c>
      <c r="K555" s="3">
        <v>0.18179999999999999</v>
      </c>
      <c r="L555" s="3">
        <v>0.74</v>
      </c>
      <c r="M555" s="3">
        <v>0.1045</v>
      </c>
      <c r="N555" s="3">
        <v>1</v>
      </c>
      <c r="O555" s="3">
        <v>35</v>
      </c>
      <c r="P555" s="51">
        <v>36</v>
      </c>
    </row>
    <row r="556" spans="1:16" x14ac:dyDescent="0.35">
      <c r="A556" s="49">
        <v>555</v>
      </c>
      <c r="B556" s="50">
        <v>40568</v>
      </c>
      <c r="C556" s="3">
        <v>1</v>
      </c>
      <c r="D556" s="3">
        <v>0</v>
      </c>
      <c r="E556" s="3" t="s">
        <v>104</v>
      </c>
      <c r="F556" s="3">
        <v>7</v>
      </c>
      <c r="G556" s="3" t="b">
        <v>0</v>
      </c>
      <c r="H556" s="3" t="s">
        <v>109</v>
      </c>
      <c r="I556" s="3" t="s">
        <v>113</v>
      </c>
      <c r="J556" s="3">
        <v>0.16</v>
      </c>
      <c r="K556" s="3">
        <v>0.1515</v>
      </c>
      <c r="L556" s="3">
        <v>0.74</v>
      </c>
      <c r="M556" s="3">
        <v>0.22389999999999999</v>
      </c>
      <c r="N556" s="3">
        <v>5</v>
      </c>
      <c r="O556" s="3">
        <v>103</v>
      </c>
      <c r="P556" s="51">
        <v>108</v>
      </c>
    </row>
    <row r="557" spans="1:16" x14ac:dyDescent="0.35">
      <c r="A557" s="49">
        <v>556</v>
      </c>
      <c r="B557" s="50">
        <v>40568</v>
      </c>
      <c r="C557" s="3">
        <v>1</v>
      </c>
      <c r="D557" s="3">
        <v>0</v>
      </c>
      <c r="E557" s="3" t="s">
        <v>104</v>
      </c>
      <c r="F557" s="3">
        <v>8</v>
      </c>
      <c r="G557" s="3" t="b">
        <v>0</v>
      </c>
      <c r="H557" s="3" t="s">
        <v>109</v>
      </c>
      <c r="I557" s="3" t="s">
        <v>114</v>
      </c>
      <c r="J557" s="3">
        <v>0.16</v>
      </c>
      <c r="K557" s="3">
        <v>0.18179999999999999</v>
      </c>
      <c r="L557" s="3">
        <v>0.74</v>
      </c>
      <c r="M557" s="3">
        <v>0.1343</v>
      </c>
      <c r="N557" s="3">
        <v>5</v>
      </c>
      <c r="O557" s="3">
        <v>233</v>
      </c>
      <c r="P557" s="51">
        <v>238</v>
      </c>
    </row>
    <row r="558" spans="1:16" x14ac:dyDescent="0.35">
      <c r="A558" s="49">
        <v>557</v>
      </c>
      <c r="B558" s="50">
        <v>40568</v>
      </c>
      <c r="C558" s="3">
        <v>1</v>
      </c>
      <c r="D558" s="3">
        <v>0</v>
      </c>
      <c r="E558" s="3" t="s">
        <v>104</v>
      </c>
      <c r="F558" s="3">
        <v>9</v>
      </c>
      <c r="G558" s="3" t="b">
        <v>0</v>
      </c>
      <c r="H558" s="3" t="s">
        <v>109</v>
      </c>
      <c r="I558" s="3" t="s">
        <v>114</v>
      </c>
      <c r="J558" s="3">
        <v>0.2</v>
      </c>
      <c r="K558" s="3">
        <v>0.2273</v>
      </c>
      <c r="L558" s="3">
        <v>0.64</v>
      </c>
      <c r="M558" s="3">
        <v>8.9599999999999999E-2</v>
      </c>
      <c r="N558" s="3">
        <v>10</v>
      </c>
      <c r="O558" s="3">
        <v>134</v>
      </c>
      <c r="P558" s="51">
        <v>144</v>
      </c>
    </row>
    <row r="559" spans="1:16" x14ac:dyDescent="0.35">
      <c r="A559" s="49">
        <v>558</v>
      </c>
      <c r="B559" s="50">
        <v>40568</v>
      </c>
      <c r="C559" s="3">
        <v>1</v>
      </c>
      <c r="D559" s="3">
        <v>0</v>
      </c>
      <c r="E559" s="3" t="s">
        <v>104</v>
      </c>
      <c r="F559" s="3">
        <v>10</v>
      </c>
      <c r="G559" s="3" t="b">
        <v>0</v>
      </c>
      <c r="H559" s="3" t="s">
        <v>109</v>
      </c>
      <c r="I559" s="3" t="s">
        <v>114</v>
      </c>
      <c r="J559" s="3">
        <v>0.22</v>
      </c>
      <c r="K559" s="3">
        <v>0.2424</v>
      </c>
      <c r="L559" s="3">
        <v>0.6</v>
      </c>
      <c r="M559" s="3">
        <v>0.1045</v>
      </c>
      <c r="N559" s="3">
        <v>6</v>
      </c>
      <c r="O559" s="3">
        <v>49</v>
      </c>
      <c r="P559" s="51">
        <v>55</v>
      </c>
    </row>
    <row r="560" spans="1:16" x14ac:dyDescent="0.35">
      <c r="A560" s="49">
        <v>559</v>
      </c>
      <c r="B560" s="50">
        <v>40568</v>
      </c>
      <c r="C560" s="3">
        <v>1</v>
      </c>
      <c r="D560" s="3">
        <v>0</v>
      </c>
      <c r="E560" s="3" t="s">
        <v>104</v>
      </c>
      <c r="F560" s="3">
        <v>11</v>
      </c>
      <c r="G560" s="3" t="b">
        <v>0</v>
      </c>
      <c r="H560" s="3" t="s">
        <v>109</v>
      </c>
      <c r="I560" s="3" t="s">
        <v>114</v>
      </c>
      <c r="J560" s="3">
        <v>0.24</v>
      </c>
      <c r="K560" s="3">
        <v>0.2424</v>
      </c>
      <c r="L560" s="3">
        <v>0.6</v>
      </c>
      <c r="M560" s="3">
        <v>0.1343</v>
      </c>
      <c r="N560" s="3">
        <v>6</v>
      </c>
      <c r="O560" s="3">
        <v>55</v>
      </c>
      <c r="P560" s="51">
        <v>61</v>
      </c>
    </row>
    <row r="561" spans="1:16" x14ac:dyDescent="0.35">
      <c r="A561" s="49">
        <v>560</v>
      </c>
      <c r="B561" s="50">
        <v>40568</v>
      </c>
      <c r="C561" s="3">
        <v>1</v>
      </c>
      <c r="D561" s="3">
        <v>0</v>
      </c>
      <c r="E561" s="3" t="s">
        <v>104</v>
      </c>
      <c r="F561" s="3">
        <v>12</v>
      </c>
      <c r="G561" s="3" t="b">
        <v>0</v>
      </c>
      <c r="H561" s="3" t="s">
        <v>109</v>
      </c>
      <c r="I561" s="3" t="s">
        <v>114</v>
      </c>
      <c r="J561" s="3">
        <v>0.26</v>
      </c>
      <c r="K561" s="3">
        <v>0.28789999999999999</v>
      </c>
      <c r="L561" s="3">
        <v>0.56000000000000005</v>
      </c>
      <c r="M561" s="3">
        <v>8.9599999999999999E-2</v>
      </c>
      <c r="N561" s="3">
        <v>21</v>
      </c>
      <c r="O561" s="3">
        <v>85</v>
      </c>
      <c r="P561" s="51">
        <v>106</v>
      </c>
    </row>
    <row r="562" spans="1:16" x14ac:dyDescent="0.35">
      <c r="A562" s="49">
        <v>561</v>
      </c>
      <c r="B562" s="50">
        <v>40568</v>
      </c>
      <c r="C562" s="3">
        <v>1</v>
      </c>
      <c r="D562" s="3">
        <v>0</v>
      </c>
      <c r="E562" s="3" t="s">
        <v>104</v>
      </c>
      <c r="F562" s="3">
        <v>13</v>
      </c>
      <c r="G562" s="3" t="b">
        <v>0</v>
      </c>
      <c r="H562" s="3" t="s">
        <v>109</v>
      </c>
      <c r="I562" s="3" t="s">
        <v>114</v>
      </c>
      <c r="J562" s="3">
        <v>0.26</v>
      </c>
      <c r="K562" s="3">
        <v>0.2727</v>
      </c>
      <c r="L562" s="3">
        <v>0.56000000000000005</v>
      </c>
      <c r="M562" s="3">
        <v>0.1343</v>
      </c>
      <c r="N562" s="3">
        <v>21</v>
      </c>
      <c r="O562" s="3">
        <v>72</v>
      </c>
      <c r="P562" s="51">
        <v>93</v>
      </c>
    </row>
    <row r="563" spans="1:16" x14ac:dyDescent="0.35">
      <c r="A563" s="49">
        <v>562</v>
      </c>
      <c r="B563" s="50">
        <v>40568</v>
      </c>
      <c r="C563" s="3">
        <v>1</v>
      </c>
      <c r="D563" s="3">
        <v>0</v>
      </c>
      <c r="E563" s="3" t="s">
        <v>104</v>
      </c>
      <c r="F563" s="3">
        <v>14</v>
      </c>
      <c r="G563" s="3" t="b">
        <v>0</v>
      </c>
      <c r="H563" s="3" t="s">
        <v>109</v>
      </c>
      <c r="I563" s="3" t="s">
        <v>114</v>
      </c>
      <c r="J563" s="3">
        <v>0.3</v>
      </c>
      <c r="K563" s="3">
        <v>0.33329999999999999</v>
      </c>
      <c r="L563" s="3">
        <v>0.45</v>
      </c>
      <c r="M563" s="3">
        <v>0</v>
      </c>
      <c r="N563" s="3">
        <v>11</v>
      </c>
      <c r="O563" s="3">
        <v>57</v>
      </c>
      <c r="P563" s="51">
        <v>68</v>
      </c>
    </row>
    <row r="564" spans="1:16" x14ac:dyDescent="0.35">
      <c r="A564" s="49">
        <v>563</v>
      </c>
      <c r="B564" s="50">
        <v>40568</v>
      </c>
      <c r="C564" s="3">
        <v>1</v>
      </c>
      <c r="D564" s="3">
        <v>0</v>
      </c>
      <c r="E564" s="3" t="s">
        <v>104</v>
      </c>
      <c r="F564" s="3">
        <v>15</v>
      </c>
      <c r="G564" s="3" t="b">
        <v>0</v>
      </c>
      <c r="H564" s="3" t="s">
        <v>109</v>
      </c>
      <c r="I564" s="3" t="s">
        <v>114</v>
      </c>
      <c r="J564" s="3">
        <v>0.32</v>
      </c>
      <c r="K564" s="3">
        <v>0.34849999999999998</v>
      </c>
      <c r="L564" s="3">
        <v>0.42</v>
      </c>
      <c r="M564" s="3">
        <v>0</v>
      </c>
      <c r="N564" s="3">
        <v>21</v>
      </c>
      <c r="O564" s="3">
        <v>63</v>
      </c>
      <c r="P564" s="51">
        <v>84</v>
      </c>
    </row>
    <row r="565" spans="1:16" x14ac:dyDescent="0.35">
      <c r="A565" s="49">
        <v>564</v>
      </c>
      <c r="B565" s="50">
        <v>40568</v>
      </c>
      <c r="C565" s="3">
        <v>1</v>
      </c>
      <c r="D565" s="3">
        <v>0</v>
      </c>
      <c r="E565" s="3" t="s">
        <v>104</v>
      </c>
      <c r="F565" s="3">
        <v>16</v>
      </c>
      <c r="G565" s="3" t="b">
        <v>0</v>
      </c>
      <c r="H565" s="3" t="s">
        <v>109</v>
      </c>
      <c r="I565" s="3" t="s">
        <v>114</v>
      </c>
      <c r="J565" s="3">
        <v>0.32</v>
      </c>
      <c r="K565" s="3">
        <v>0.34849999999999998</v>
      </c>
      <c r="L565" s="3">
        <v>0.42</v>
      </c>
      <c r="M565" s="3">
        <v>0</v>
      </c>
      <c r="N565" s="3">
        <v>14</v>
      </c>
      <c r="O565" s="3">
        <v>102</v>
      </c>
      <c r="P565" s="51">
        <v>116</v>
      </c>
    </row>
    <row r="566" spans="1:16" x14ac:dyDescent="0.35">
      <c r="A566" s="49">
        <v>565</v>
      </c>
      <c r="B566" s="50">
        <v>40568</v>
      </c>
      <c r="C566" s="3">
        <v>1</v>
      </c>
      <c r="D566" s="3">
        <v>0</v>
      </c>
      <c r="E566" s="3" t="s">
        <v>104</v>
      </c>
      <c r="F566" s="3">
        <v>17</v>
      </c>
      <c r="G566" s="3" t="b">
        <v>0</v>
      </c>
      <c r="H566" s="3" t="s">
        <v>109</v>
      </c>
      <c r="I566" s="3" t="s">
        <v>113</v>
      </c>
      <c r="J566" s="3">
        <v>0.3</v>
      </c>
      <c r="K566" s="3">
        <v>0.33329999999999999</v>
      </c>
      <c r="L566" s="3">
        <v>0.45</v>
      </c>
      <c r="M566" s="3">
        <v>0</v>
      </c>
      <c r="N566" s="3">
        <v>14</v>
      </c>
      <c r="O566" s="3">
        <v>208</v>
      </c>
      <c r="P566" s="51">
        <v>222</v>
      </c>
    </row>
    <row r="567" spans="1:16" x14ac:dyDescent="0.35">
      <c r="A567" s="49">
        <v>566</v>
      </c>
      <c r="B567" s="50">
        <v>40568</v>
      </c>
      <c r="C567" s="3">
        <v>1</v>
      </c>
      <c r="D567" s="3">
        <v>0</v>
      </c>
      <c r="E567" s="3" t="s">
        <v>104</v>
      </c>
      <c r="F567" s="3">
        <v>18</v>
      </c>
      <c r="G567" s="3" t="b">
        <v>0</v>
      </c>
      <c r="H567" s="3" t="s">
        <v>109</v>
      </c>
      <c r="I567" s="3" t="s">
        <v>114</v>
      </c>
      <c r="J567" s="3">
        <v>0.3</v>
      </c>
      <c r="K567" s="3">
        <v>0.31819999999999998</v>
      </c>
      <c r="L567" s="3">
        <v>0.49</v>
      </c>
      <c r="M567" s="3">
        <v>8.9599999999999999E-2</v>
      </c>
      <c r="N567" s="3">
        <v>7</v>
      </c>
      <c r="O567" s="3">
        <v>218</v>
      </c>
      <c r="P567" s="51">
        <v>225</v>
      </c>
    </row>
    <row r="568" spans="1:16" x14ac:dyDescent="0.35">
      <c r="A568" s="49">
        <v>567</v>
      </c>
      <c r="B568" s="50">
        <v>40568</v>
      </c>
      <c r="C568" s="3">
        <v>1</v>
      </c>
      <c r="D568" s="3">
        <v>0</v>
      </c>
      <c r="E568" s="3" t="s">
        <v>104</v>
      </c>
      <c r="F568" s="3">
        <v>19</v>
      </c>
      <c r="G568" s="3" t="b">
        <v>0</v>
      </c>
      <c r="H568" s="3" t="s">
        <v>109</v>
      </c>
      <c r="I568" s="3" t="s">
        <v>114</v>
      </c>
      <c r="J568" s="3">
        <v>0.26</v>
      </c>
      <c r="K568" s="3">
        <v>0.2576</v>
      </c>
      <c r="L568" s="3">
        <v>0.65</v>
      </c>
      <c r="M568" s="3">
        <v>0.16420000000000001</v>
      </c>
      <c r="N568" s="3">
        <v>13</v>
      </c>
      <c r="O568" s="3">
        <v>133</v>
      </c>
      <c r="P568" s="51">
        <v>146</v>
      </c>
    </row>
    <row r="569" spans="1:16" x14ac:dyDescent="0.35">
      <c r="A569" s="49">
        <v>568</v>
      </c>
      <c r="B569" s="50">
        <v>40568</v>
      </c>
      <c r="C569" s="3">
        <v>1</v>
      </c>
      <c r="D569" s="3">
        <v>0</v>
      </c>
      <c r="E569" s="3" t="s">
        <v>104</v>
      </c>
      <c r="F569" s="3">
        <v>20</v>
      </c>
      <c r="G569" s="3" t="b">
        <v>0</v>
      </c>
      <c r="H569" s="3" t="s">
        <v>109</v>
      </c>
      <c r="I569" s="3" t="s">
        <v>113</v>
      </c>
      <c r="J569" s="3">
        <v>0.24</v>
      </c>
      <c r="K569" s="3">
        <v>0.2273</v>
      </c>
      <c r="L569" s="3">
        <v>0.65</v>
      </c>
      <c r="M569" s="3">
        <v>0.19400000000000001</v>
      </c>
      <c r="N569" s="3">
        <v>16</v>
      </c>
      <c r="O569" s="3">
        <v>103</v>
      </c>
      <c r="P569" s="51">
        <v>119</v>
      </c>
    </row>
    <row r="570" spans="1:16" x14ac:dyDescent="0.35">
      <c r="A570" s="49">
        <v>569</v>
      </c>
      <c r="B570" s="50">
        <v>40568</v>
      </c>
      <c r="C570" s="3">
        <v>1</v>
      </c>
      <c r="D570" s="3">
        <v>0</v>
      </c>
      <c r="E570" s="3" t="s">
        <v>104</v>
      </c>
      <c r="F570" s="3">
        <v>21</v>
      </c>
      <c r="G570" s="3" t="b">
        <v>0</v>
      </c>
      <c r="H570" s="3" t="s">
        <v>109</v>
      </c>
      <c r="I570" s="3" t="s">
        <v>113</v>
      </c>
      <c r="J570" s="3">
        <v>0.24</v>
      </c>
      <c r="K570" s="3">
        <v>0.2273</v>
      </c>
      <c r="L570" s="3">
        <v>0.65</v>
      </c>
      <c r="M570" s="3">
        <v>0.19400000000000001</v>
      </c>
      <c r="N570" s="3">
        <v>5</v>
      </c>
      <c r="O570" s="3">
        <v>40</v>
      </c>
      <c r="P570" s="51">
        <v>45</v>
      </c>
    </row>
    <row r="571" spans="1:16" x14ac:dyDescent="0.35">
      <c r="A571" s="49">
        <v>570</v>
      </c>
      <c r="B571" s="50">
        <v>40568</v>
      </c>
      <c r="C571" s="3">
        <v>1</v>
      </c>
      <c r="D571" s="3">
        <v>0</v>
      </c>
      <c r="E571" s="3" t="s">
        <v>104</v>
      </c>
      <c r="F571" s="3">
        <v>22</v>
      </c>
      <c r="G571" s="3" t="b">
        <v>0</v>
      </c>
      <c r="H571" s="3" t="s">
        <v>109</v>
      </c>
      <c r="I571" s="3" t="s">
        <v>113</v>
      </c>
      <c r="J571" s="3">
        <v>0.22</v>
      </c>
      <c r="K571" s="3">
        <v>0.2273</v>
      </c>
      <c r="L571" s="3">
        <v>0.64</v>
      </c>
      <c r="M571" s="3">
        <v>0.16420000000000001</v>
      </c>
      <c r="N571" s="3">
        <v>4</v>
      </c>
      <c r="O571" s="3">
        <v>49</v>
      </c>
      <c r="P571" s="51">
        <v>53</v>
      </c>
    </row>
    <row r="572" spans="1:16" x14ac:dyDescent="0.35">
      <c r="A572" s="49">
        <v>571</v>
      </c>
      <c r="B572" s="50">
        <v>40568</v>
      </c>
      <c r="C572" s="3">
        <v>1</v>
      </c>
      <c r="D572" s="3">
        <v>0</v>
      </c>
      <c r="E572" s="3" t="s">
        <v>104</v>
      </c>
      <c r="F572" s="3">
        <v>23</v>
      </c>
      <c r="G572" s="3" t="b">
        <v>0</v>
      </c>
      <c r="H572" s="3" t="s">
        <v>109</v>
      </c>
      <c r="I572" s="3" t="s">
        <v>114</v>
      </c>
      <c r="J572" s="3">
        <v>0.22</v>
      </c>
      <c r="K572" s="3">
        <v>0.2273</v>
      </c>
      <c r="L572" s="3">
        <v>0.64</v>
      </c>
      <c r="M572" s="3">
        <v>0.16420000000000001</v>
      </c>
      <c r="N572" s="3">
        <v>3</v>
      </c>
      <c r="O572" s="3">
        <v>37</v>
      </c>
      <c r="P572" s="51">
        <v>40</v>
      </c>
    </row>
    <row r="573" spans="1:16" x14ac:dyDescent="0.35">
      <c r="A573" s="49">
        <v>572</v>
      </c>
      <c r="B573" s="50">
        <v>40569</v>
      </c>
      <c r="C573" s="3">
        <v>1</v>
      </c>
      <c r="D573" s="3">
        <v>0</v>
      </c>
      <c r="E573" s="3" t="s">
        <v>104</v>
      </c>
      <c r="F573" s="3">
        <v>0</v>
      </c>
      <c r="G573" s="3" t="b">
        <v>0</v>
      </c>
      <c r="H573" s="3" t="s">
        <v>110</v>
      </c>
      <c r="I573" s="3" t="s">
        <v>114</v>
      </c>
      <c r="J573" s="3">
        <v>0.22</v>
      </c>
      <c r="K573" s="3">
        <v>0.2273</v>
      </c>
      <c r="L573" s="3">
        <v>0.69</v>
      </c>
      <c r="M573" s="3">
        <v>0.1343</v>
      </c>
      <c r="N573" s="3">
        <v>3</v>
      </c>
      <c r="O573" s="3">
        <v>14</v>
      </c>
      <c r="P573" s="51">
        <v>17</v>
      </c>
    </row>
    <row r="574" spans="1:16" x14ac:dyDescent="0.35">
      <c r="A574" s="49">
        <v>573</v>
      </c>
      <c r="B574" s="50">
        <v>40569</v>
      </c>
      <c r="C574" s="3">
        <v>1</v>
      </c>
      <c r="D574" s="3">
        <v>0</v>
      </c>
      <c r="E574" s="3" t="s">
        <v>104</v>
      </c>
      <c r="F574" s="3">
        <v>1</v>
      </c>
      <c r="G574" s="3" t="b">
        <v>0</v>
      </c>
      <c r="H574" s="3" t="s">
        <v>110</v>
      </c>
      <c r="I574" s="3" t="s">
        <v>114</v>
      </c>
      <c r="J574" s="3">
        <v>0.24</v>
      </c>
      <c r="K574" s="3">
        <v>0.2424</v>
      </c>
      <c r="L574" s="3">
        <v>0.65</v>
      </c>
      <c r="M574" s="3">
        <v>0.1343</v>
      </c>
      <c r="N574" s="3">
        <v>0</v>
      </c>
      <c r="O574" s="3">
        <v>5</v>
      </c>
      <c r="P574" s="51">
        <v>5</v>
      </c>
    </row>
    <row r="575" spans="1:16" x14ac:dyDescent="0.35">
      <c r="A575" s="49">
        <v>574</v>
      </c>
      <c r="B575" s="50">
        <v>40569</v>
      </c>
      <c r="C575" s="3">
        <v>1</v>
      </c>
      <c r="D575" s="3">
        <v>0</v>
      </c>
      <c r="E575" s="3" t="s">
        <v>104</v>
      </c>
      <c r="F575" s="3">
        <v>2</v>
      </c>
      <c r="G575" s="3" t="b">
        <v>0</v>
      </c>
      <c r="H575" s="3" t="s">
        <v>110</v>
      </c>
      <c r="I575" s="3" t="s">
        <v>115</v>
      </c>
      <c r="J575" s="3">
        <v>0.22</v>
      </c>
      <c r="K575" s="3">
        <v>0.2273</v>
      </c>
      <c r="L575" s="3">
        <v>0.69</v>
      </c>
      <c r="M575" s="3">
        <v>0.19400000000000001</v>
      </c>
      <c r="N575" s="3">
        <v>3</v>
      </c>
      <c r="O575" s="3">
        <v>7</v>
      </c>
      <c r="P575" s="51">
        <v>10</v>
      </c>
    </row>
    <row r="576" spans="1:16" x14ac:dyDescent="0.35">
      <c r="A576" s="49">
        <v>575</v>
      </c>
      <c r="B576" s="50">
        <v>40569</v>
      </c>
      <c r="C576" s="3">
        <v>1</v>
      </c>
      <c r="D576" s="3">
        <v>0</v>
      </c>
      <c r="E576" s="3" t="s">
        <v>104</v>
      </c>
      <c r="F576" s="3">
        <v>5</v>
      </c>
      <c r="G576" s="3" t="b">
        <v>0</v>
      </c>
      <c r="H576" s="3" t="s">
        <v>110</v>
      </c>
      <c r="I576" s="3" t="s">
        <v>115</v>
      </c>
      <c r="J576" s="3">
        <v>0.2</v>
      </c>
      <c r="K576" s="3">
        <v>0.18179999999999999</v>
      </c>
      <c r="L576" s="3">
        <v>0.86</v>
      </c>
      <c r="M576" s="3">
        <v>0.28360000000000002</v>
      </c>
      <c r="N576" s="3">
        <v>0</v>
      </c>
      <c r="O576" s="3">
        <v>1</v>
      </c>
      <c r="P576" s="51">
        <v>1</v>
      </c>
    </row>
    <row r="577" spans="1:16" x14ac:dyDescent="0.35">
      <c r="A577" s="49">
        <v>576</v>
      </c>
      <c r="B577" s="50">
        <v>40569</v>
      </c>
      <c r="C577" s="3">
        <v>1</v>
      </c>
      <c r="D577" s="3">
        <v>0</v>
      </c>
      <c r="E577" s="3" t="s">
        <v>104</v>
      </c>
      <c r="F577" s="3">
        <v>6</v>
      </c>
      <c r="G577" s="3" t="b">
        <v>0</v>
      </c>
      <c r="H577" s="3" t="s">
        <v>110</v>
      </c>
      <c r="I577" s="3" t="s">
        <v>115</v>
      </c>
      <c r="J577" s="3">
        <v>0.2</v>
      </c>
      <c r="K577" s="3">
        <v>0.18179999999999999</v>
      </c>
      <c r="L577" s="3">
        <v>0.86</v>
      </c>
      <c r="M577" s="3">
        <v>0.28360000000000002</v>
      </c>
      <c r="N577" s="3">
        <v>0</v>
      </c>
      <c r="O577" s="3">
        <v>8</v>
      </c>
      <c r="P577" s="51">
        <v>8</v>
      </c>
    </row>
    <row r="578" spans="1:16" x14ac:dyDescent="0.35">
      <c r="A578" s="49">
        <v>577</v>
      </c>
      <c r="B578" s="50">
        <v>40569</v>
      </c>
      <c r="C578" s="3">
        <v>1</v>
      </c>
      <c r="D578" s="3">
        <v>0</v>
      </c>
      <c r="E578" s="3" t="s">
        <v>104</v>
      </c>
      <c r="F578" s="3">
        <v>7</v>
      </c>
      <c r="G578" s="3" t="b">
        <v>0</v>
      </c>
      <c r="H578" s="3" t="s">
        <v>110</v>
      </c>
      <c r="I578" s="3" t="s">
        <v>115</v>
      </c>
      <c r="J578" s="3">
        <v>0.22</v>
      </c>
      <c r="K578" s="3">
        <v>0.21210000000000001</v>
      </c>
      <c r="L578" s="3">
        <v>0.87</v>
      </c>
      <c r="M578" s="3">
        <v>0.29849999999999999</v>
      </c>
      <c r="N578" s="3">
        <v>1</v>
      </c>
      <c r="O578" s="3">
        <v>29</v>
      </c>
      <c r="P578" s="51">
        <v>30</v>
      </c>
    </row>
    <row r="579" spans="1:16" x14ac:dyDescent="0.35">
      <c r="A579" s="49">
        <v>578</v>
      </c>
      <c r="B579" s="50">
        <v>40569</v>
      </c>
      <c r="C579" s="3">
        <v>1</v>
      </c>
      <c r="D579" s="3">
        <v>0</v>
      </c>
      <c r="E579" s="3" t="s">
        <v>104</v>
      </c>
      <c r="F579" s="3">
        <v>8</v>
      </c>
      <c r="G579" s="3" t="b">
        <v>0</v>
      </c>
      <c r="H579" s="3" t="s">
        <v>110</v>
      </c>
      <c r="I579" s="3" t="s">
        <v>115</v>
      </c>
      <c r="J579" s="3">
        <v>0.22</v>
      </c>
      <c r="K579" s="3">
        <v>0.21210000000000001</v>
      </c>
      <c r="L579" s="3">
        <v>0.87</v>
      </c>
      <c r="M579" s="3">
        <v>0.29849999999999999</v>
      </c>
      <c r="N579" s="3">
        <v>3</v>
      </c>
      <c r="O579" s="3">
        <v>69</v>
      </c>
      <c r="P579" s="51">
        <v>72</v>
      </c>
    </row>
    <row r="580" spans="1:16" x14ac:dyDescent="0.35">
      <c r="A580" s="49">
        <v>579</v>
      </c>
      <c r="B580" s="50">
        <v>40569</v>
      </c>
      <c r="C580" s="3">
        <v>1</v>
      </c>
      <c r="D580" s="3">
        <v>0</v>
      </c>
      <c r="E580" s="3" t="s">
        <v>104</v>
      </c>
      <c r="F580" s="3">
        <v>9</v>
      </c>
      <c r="G580" s="3" t="b">
        <v>0</v>
      </c>
      <c r="H580" s="3" t="s">
        <v>110</v>
      </c>
      <c r="I580" s="3" t="s">
        <v>115</v>
      </c>
      <c r="J580" s="3">
        <v>0.22</v>
      </c>
      <c r="K580" s="3">
        <v>0.21210000000000001</v>
      </c>
      <c r="L580" s="3">
        <v>0.87</v>
      </c>
      <c r="M580" s="3">
        <v>0.29849999999999999</v>
      </c>
      <c r="N580" s="3">
        <v>3</v>
      </c>
      <c r="O580" s="3">
        <v>55</v>
      </c>
      <c r="P580" s="51">
        <v>58</v>
      </c>
    </row>
    <row r="581" spans="1:16" x14ac:dyDescent="0.35">
      <c r="A581" s="49">
        <v>580</v>
      </c>
      <c r="B581" s="50">
        <v>40569</v>
      </c>
      <c r="C581" s="3">
        <v>1</v>
      </c>
      <c r="D581" s="3">
        <v>0</v>
      </c>
      <c r="E581" s="3" t="s">
        <v>104</v>
      </c>
      <c r="F581" s="3">
        <v>10</v>
      </c>
      <c r="G581" s="3" t="b">
        <v>0</v>
      </c>
      <c r="H581" s="3" t="s">
        <v>110</v>
      </c>
      <c r="I581" s="3" t="s">
        <v>115</v>
      </c>
      <c r="J581" s="3">
        <v>0.22</v>
      </c>
      <c r="K581" s="3">
        <v>0.21210000000000001</v>
      </c>
      <c r="L581" s="3">
        <v>0.93</v>
      </c>
      <c r="M581" s="3">
        <v>0.28360000000000002</v>
      </c>
      <c r="N581" s="3">
        <v>2</v>
      </c>
      <c r="O581" s="3">
        <v>26</v>
      </c>
      <c r="P581" s="51">
        <v>28</v>
      </c>
    </row>
    <row r="582" spans="1:16" x14ac:dyDescent="0.35">
      <c r="A582" s="49">
        <v>581</v>
      </c>
      <c r="B582" s="50">
        <v>40569</v>
      </c>
      <c r="C582" s="3">
        <v>1</v>
      </c>
      <c r="D582" s="3">
        <v>0</v>
      </c>
      <c r="E582" s="3" t="s">
        <v>104</v>
      </c>
      <c r="F582" s="3">
        <v>11</v>
      </c>
      <c r="G582" s="3" t="b">
        <v>0</v>
      </c>
      <c r="H582" s="3" t="s">
        <v>110</v>
      </c>
      <c r="I582" s="3" t="s">
        <v>115</v>
      </c>
      <c r="J582" s="3">
        <v>0.22</v>
      </c>
      <c r="K582" s="3">
        <v>0.19700000000000001</v>
      </c>
      <c r="L582" s="3">
        <v>0.93</v>
      </c>
      <c r="M582" s="3">
        <v>0.32840000000000003</v>
      </c>
      <c r="N582" s="3">
        <v>6</v>
      </c>
      <c r="O582" s="3">
        <v>35</v>
      </c>
      <c r="P582" s="51">
        <v>41</v>
      </c>
    </row>
    <row r="583" spans="1:16" x14ac:dyDescent="0.35">
      <c r="A583" s="49">
        <v>582</v>
      </c>
      <c r="B583" s="50">
        <v>40569</v>
      </c>
      <c r="C583" s="3">
        <v>1</v>
      </c>
      <c r="D583" s="3">
        <v>0</v>
      </c>
      <c r="E583" s="3" t="s">
        <v>104</v>
      </c>
      <c r="F583" s="3">
        <v>12</v>
      </c>
      <c r="G583" s="3" t="b">
        <v>0</v>
      </c>
      <c r="H583" s="3" t="s">
        <v>110</v>
      </c>
      <c r="I583" s="3" t="s">
        <v>115</v>
      </c>
      <c r="J583" s="3">
        <v>0.22</v>
      </c>
      <c r="K583" s="3">
        <v>0.19700000000000001</v>
      </c>
      <c r="L583" s="3">
        <v>0.93</v>
      </c>
      <c r="M583" s="3">
        <v>0.32840000000000003</v>
      </c>
      <c r="N583" s="3">
        <v>7</v>
      </c>
      <c r="O583" s="3">
        <v>41</v>
      </c>
      <c r="P583" s="51">
        <v>48</v>
      </c>
    </row>
    <row r="584" spans="1:16" x14ac:dyDescent="0.35">
      <c r="A584" s="49">
        <v>583</v>
      </c>
      <c r="B584" s="50">
        <v>40569</v>
      </c>
      <c r="C584" s="3">
        <v>1</v>
      </c>
      <c r="D584" s="3">
        <v>0</v>
      </c>
      <c r="E584" s="3" t="s">
        <v>104</v>
      </c>
      <c r="F584" s="3">
        <v>13</v>
      </c>
      <c r="G584" s="3" t="b">
        <v>0</v>
      </c>
      <c r="H584" s="3" t="s">
        <v>110</v>
      </c>
      <c r="I584" s="3" t="s">
        <v>115</v>
      </c>
      <c r="J584" s="3">
        <v>0.22</v>
      </c>
      <c r="K584" s="3">
        <v>0.19700000000000001</v>
      </c>
      <c r="L584" s="3">
        <v>0.93</v>
      </c>
      <c r="M584" s="3">
        <v>0.32840000000000003</v>
      </c>
      <c r="N584" s="3">
        <v>4</v>
      </c>
      <c r="O584" s="3">
        <v>43</v>
      </c>
      <c r="P584" s="51">
        <v>47</v>
      </c>
    </row>
    <row r="585" spans="1:16" x14ac:dyDescent="0.35">
      <c r="A585" s="49">
        <v>584</v>
      </c>
      <c r="B585" s="50">
        <v>40569</v>
      </c>
      <c r="C585" s="3">
        <v>1</v>
      </c>
      <c r="D585" s="3">
        <v>0</v>
      </c>
      <c r="E585" s="3" t="s">
        <v>104</v>
      </c>
      <c r="F585" s="3">
        <v>14</v>
      </c>
      <c r="G585" s="3" t="b">
        <v>0</v>
      </c>
      <c r="H585" s="3" t="s">
        <v>110</v>
      </c>
      <c r="I585" s="3" t="s">
        <v>115</v>
      </c>
      <c r="J585" s="3">
        <v>0.22</v>
      </c>
      <c r="K585" s="3">
        <v>0.19700000000000001</v>
      </c>
      <c r="L585" s="3">
        <v>0.93</v>
      </c>
      <c r="M585" s="3">
        <v>0.35820000000000002</v>
      </c>
      <c r="N585" s="3">
        <v>0</v>
      </c>
      <c r="O585" s="3">
        <v>36</v>
      </c>
      <c r="P585" s="51">
        <v>36</v>
      </c>
    </row>
    <row r="586" spans="1:16" x14ac:dyDescent="0.35">
      <c r="A586" s="49">
        <v>585</v>
      </c>
      <c r="B586" s="50">
        <v>40569</v>
      </c>
      <c r="C586" s="3">
        <v>1</v>
      </c>
      <c r="D586" s="3">
        <v>0</v>
      </c>
      <c r="E586" s="3" t="s">
        <v>104</v>
      </c>
      <c r="F586" s="3">
        <v>15</v>
      </c>
      <c r="G586" s="3" t="b">
        <v>0</v>
      </c>
      <c r="H586" s="3" t="s">
        <v>110</v>
      </c>
      <c r="I586" s="3" t="s">
        <v>115</v>
      </c>
      <c r="J586" s="3">
        <v>0.22</v>
      </c>
      <c r="K586" s="3">
        <v>0.18179999999999999</v>
      </c>
      <c r="L586" s="3">
        <v>0.93</v>
      </c>
      <c r="M586" s="3">
        <v>0.4627</v>
      </c>
      <c r="N586" s="3">
        <v>1</v>
      </c>
      <c r="O586" s="3">
        <v>42</v>
      </c>
      <c r="P586" s="51">
        <v>43</v>
      </c>
    </row>
    <row r="587" spans="1:16" x14ac:dyDescent="0.35">
      <c r="A587" s="49">
        <v>586</v>
      </c>
      <c r="B587" s="50">
        <v>40569</v>
      </c>
      <c r="C587" s="3">
        <v>1</v>
      </c>
      <c r="D587" s="3">
        <v>0</v>
      </c>
      <c r="E587" s="3" t="s">
        <v>104</v>
      </c>
      <c r="F587" s="3">
        <v>16</v>
      </c>
      <c r="G587" s="3" t="b">
        <v>0</v>
      </c>
      <c r="H587" s="3" t="s">
        <v>110</v>
      </c>
      <c r="I587" s="3" t="s">
        <v>116</v>
      </c>
      <c r="J587" s="3">
        <v>0.22</v>
      </c>
      <c r="K587" s="3">
        <v>0.19700000000000001</v>
      </c>
      <c r="L587" s="3">
        <v>0.93</v>
      </c>
      <c r="M587" s="3">
        <v>0.32840000000000003</v>
      </c>
      <c r="N587" s="3">
        <v>1</v>
      </c>
      <c r="O587" s="3">
        <v>35</v>
      </c>
      <c r="P587" s="51">
        <v>36</v>
      </c>
    </row>
    <row r="588" spans="1:16" x14ac:dyDescent="0.35">
      <c r="A588" s="49">
        <v>587</v>
      </c>
      <c r="B588" s="50">
        <v>40569</v>
      </c>
      <c r="C588" s="3">
        <v>1</v>
      </c>
      <c r="D588" s="3">
        <v>0</v>
      </c>
      <c r="E588" s="3" t="s">
        <v>104</v>
      </c>
      <c r="F588" s="3">
        <v>17</v>
      </c>
      <c r="G588" s="3" t="b">
        <v>0</v>
      </c>
      <c r="H588" s="3" t="s">
        <v>110</v>
      </c>
      <c r="I588" s="3" t="s">
        <v>115</v>
      </c>
      <c r="J588" s="3">
        <v>0.2</v>
      </c>
      <c r="K588" s="3">
        <v>0.18179999999999999</v>
      </c>
      <c r="L588" s="3">
        <v>0.93</v>
      </c>
      <c r="M588" s="3">
        <v>0.35820000000000002</v>
      </c>
      <c r="N588" s="3">
        <v>0</v>
      </c>
      <c r="O588" s="3">
        <v>26</v>
      </c>
      <c r="P588" s="51">
        <v>26</v>
      </c>
    </row>
    <row r="589" spans="1:16" x14ac:dyDescent="0.35">
      <c r="A589" s="49">
        <v>588</v>
      </c>
      <c r="B589" s="50">
        <v>40570</v>
      </c>
      <c r="C589" s="3">
        <v>1</v>
      </c>
      <c r="D589" s="3">
        <v>0</v>
      </c>
      <c r="E589" s="3" t="s">
        <v>104</v>
      </c>
      <c r="F589" s="3">
        <v>16</v>
      </c>
      <c r="G589" s="3" t="b">
        <v>0</v>
      </c>
      <c r="H589" s="3" t="s">
        <v>111</v>
      </c>
      <c r="I589" s="3" t="s">
        <v>113</v>
      </c>
      <c r="J589" s="3">
        <v>0.22</v>
      </c>
      <c r="K589" s="3">
        <v>0.2273</v>
      </c>
      <c r="L589" s="3">
        <v>0.55000000000000004</v>
      </c>
      <c r="M589" s="3">
        <v>0.19400000000000001</v>
      </c>
      <c r="N589" s="3">
        <v>1</v>
      </c>
      <c r="O589" s="3">
        <v>23</v>
      </c>
      <c r="P589" s="51">
        <v>24</v>
      </c>
    </row>
    <row r="590" spans="1:16" x14ac:dyDescent="0.35">
      <c r="A590" s="49">
        <v>589</v>
      </c>
      <c r="B590" s="50">
        <v>40570</v>
      </c>
      <c r="C590" s="3">
        <v>1</v>
      </c>
      <c r="D590" s="3">
        <v>0</v>
      </c>
      <c r="E590" s="3" t="s">
        <v>104</v>
      </c>
      <c r="F590" s="3">
        <v>17</v>
      </c>
      <c r="G590" s="3" t="b">
        <v>0</v>
      </c>
      <c r="H590" s="3" t="s">
        <v>111</v>
      </c>
      <c r="I590" s="3" t="s">
        <v>113</v>
      </c>
      <c r="J590" s="3">
        <v>0.22</v>
      </c>
      <c r="K590" s="3">
        <v>0.2424</v>
      </c>
      <c r="L590" s="3">
        <v>0.55000000000000004</v>
      </c>
      <c r="M590" s="3">
        <v>0.1045</v>
      </c>
      <c r="N590" s="3">
        <v>2</v>
      </c>
      <c r="O590" s="3">
        <v>82</v>
      </c>
      <c r="P590" s="51">
        <v>84</v>
      </c>
    </row>
    <row r="591" spans="1:16" x14ac:dyDescent="0.35">
      <c r="A591" s="49">
        <v>590</v>
      </c>
      <c r="B591" s="50">
        <v>40570</v>
      </c>
      <c r="C591" s="3">
        <v>1</v>
      </c>
      <c r="D591" s="3">
        <v>0</v>
      </c>
      <c r="E591" s="3" t="s">
        <v>104</v>
      </c>
      <c r="F591" s="3">
        <v>18</v>
      </c>
      <c r="G591" s="3" t="b">
        <v>0</v>
      </c>
      <c r="H591" s="3" t="s">
        <v>111</v>
      </c>
      <c r="I591" s="3" t="s">
        <v>113</v>
      </c>
      <c r="J591" s="3">
        <v>0.2</v>
      </c>
      <c r="K591" s="3">
        <v>0.2273</v>
      </c>
      <c r="L591" s="3">
        <v>0.69</v>
      </c>
      <c r="M591" s="3">
        <v>8.9599999999999999E-2</v>
      </c>
      <c r="N591" s="3">
        <v>3</v>
      </c>
      <c r="O591" s="3">
        <v>101</v>
      </c>
      <c r="P591" s="51">
        <v>104</v>
      </c>
    </row>
    <row r="592" spans="1:16" x14ac:dyDescent="0.35">
      <c r="A592" s="49">
        <v>591</v>
      </c>
      <c r="B592" s="50">
        <v>40570</v>
      </c>
      <c r="C592" s="3">
        <v>1</v>
      </c>
      <c r="D592" s="3">
        <v>0</v>
      </c>
      <c r="E592" s="3" t="s">
        <v>104</v>
      </c>
      <c r="F592" s="3">
        <v>19</v>
      </c>
      <c r="G592" s="3" t="b">
        <v>0</v>
      </c>
      <c r="H592" s="3" t="s">
        <v>111</v>
      </c>
      <c r="I592" s="3" t="s">
        <v>113</v>
      </c>
      <c r="J592" s="3">
        <v>0.2</v>
      </c>
      <c r="K592" s="3">
        <v>0.2273</v>
      </c>
      <c r="L592" s="3">
        <v>0.69</v>
      </c>
      <c r="M592" s="3">
        <v>8.9599999999999999E-2</v>
      </c>
      <c r="N592" s="3">
        <v>3</v>
      </c>
      <c r="O592" s="3">
        <v>76</v>
      </c>
      <c r="P592" s="51">
        <v>79</v>
      </c>
    </row>
    <row r="593" spans="1:16" x14ac:dyDescent="0.35">
      <c r="A593" s="49">
        <v>592</v>
      </c>
      <c r="B593" s="50">
        <v>40570</v>
      </c>
      <c r="C593" s="3">
        <v>1</v>
      </c>
      <c r="D593" s="3">
        <v>0</v>
      </c>
      <c r="E593" s="3" t="s">
        <v>104</v>
      </c>
      <c r="F593" s="3">
        <v>20</v>
      </c>
      <c r="G593" s="3" t="b">
        <v>0</v>
      </c>
      <c r="H593" s="3" t="s">
        <v>111</v>
      </c>
      <c r="I593" s="3" t="s">
        <v>113</v>
      </c>
      <c r="J593" s="3">
        <v>0.18</v>
      </c>
      <c r="K593" s="3">
        <v>0.21210000000000001</v>
      </c>
      <c r="L593" s="3">
        <v>0.74</v>
      </c>
      <c r="M593" s="3">
        <v>8.9599999999999999E-2</v>
      </c>
      <c r="N593" s="3">
        <v>4</v>
      </c>
      <c r="O593" s="3">
        <v>55</v>
      </c>
      <c r="P593" s="51">
        <v>59</v>
      </c>
    </row>
    <row r="594" spans="1:16" x14ac:dyDescent="0.35">
      <c r="A594" s="49">
        <v>593</v>
      </c>
      <c r="B594" s="50">
        <v>40570</v>
      </c>
      <c r="C594" s="3">
        <v>1</v>
      </c>
      <c r="D594" s="3">
        <v>0</v>
      </c>
      <c r="E594" s="3" t="s">
        <v>104</v>
      </c>
      <c r="F594" s="3">
        <v>21</v>
      </c>
      <c r="G594" s="3" t="b">
        <v>0</v>
      </c>
      <c r="H594" s="3" t="s">
        <v>111</v>
      </c>
      <c r="I594" s="3" t="s">
        <v>113</v>
      </c>
      <c r="J594" s="3">
        <v>0.18</v>
      </c>
      <c r="K594" s="3">
        <v>0.21210000000000001</v>
      </c>
      <c r="L594" s="3">
        <v>0.74</v>
      </c>
      <c r="M594" s="3">
        <v>8.9599999999999999E-2</v>
      </c>
      <c r="N594" s="3">
        <v>2</v>
      </c>
      <c r="O594" s="3">
        <v>36</v>
      </c>
      <c r="P594" s="51">
        <v>38</v>
      </c>
    </row>
    <row r="595" spans="1:16" x14ac:dyDescent="0.35">
      <c r="A595" s="49">
        <v>594</v>
      </c>
      <c r="B595" s="50">
        <v>40570</v>
      </c>
      <c r="C595" s="3">
        <v>1</v>
      </c>
      <c r="D595" s="3">
        <v>0</v>
      </c>
      <c r="E595" s="3" t="s">
        <v>104</v>
      </c>
      <c r="F595" s="3">
        <v>22</v>
      </c>
      <c r="G595" s="3" t="b">
        <v>0</v>
      </c>
      <c r="H595" s="3" t="s">
        <v>111</v>
      </c>
      <c r="I595" s="3" t="s">
        <v>113</v>
      </c>
      <c r="J595" s="3">
        <v>0.18</v>
      </c>
      <c r="K595" s="3">
        <v>0.21210000000000001</v>
      </c>
      <c r="L595" s="3">
        <v>0.74</v>
      </c>
      <c r="M595" s="3">
        <v>8.9599999999999999E-2</v>
      </c>
      <c r="N595" s="3">
        <v>0</v>
      </c>
      <c r="O595" s="3">
        <v>27</v>
      </c>
      <c r="P595" s="51">
        <v>27</v>
      </c>
    </row>
    <row r="596" spans="1:16" x14ac:dyDescent="0.35">
      <c r="A596" s="49">
        <v>595</v>
      </c>
      <c r="B596" s="50">
        <v>40570</v>
      </c>
      <c r="C596" s="3">
        <v>1</v>
      </c>
      <c r="D596" s="3">
        <v>0</v>
      </c>
      <c r="E596" s="3" t="s">
        <v>104</v>
      </c>
      <c r="F596" s="3">
        <v>23</v>
      </c>
      <c r="G596" s="3" t="b">
        <v>0</v>
      </c>
      <c r="H596" s="3" t="s">
        <v>111</v>
      </c>
      <c r="I596" s="3" t="s">
        <v>113</v>
      </c>
      <c r="J596" s="3">
        <v>0.18</v>
      </c>
      <c r="K596" s="3">
        <v>0.19700000000000001</v>
      </c>
      <c r="L596" s="3">
        <v>0.8</v>
      </c>
      <c r="M596" s="3">
        <v>0.16420000000000001</v>
      </c>
      <c r="N596" s="3">
        <v>0</v>
      </c>
      <c r="O596" s="3">
        <v>16</v>
      </c>
      <c r="P596" s="51">
        <v>16</v>
      </c>
    </row>
    <row r="597" spans="1:16" x14ac:dyDescent="0.35">
      <c r="A597" s="49">
        <v>596</v>
      </c>
      <c r="B597" s="50">
        <v>40571</v>
      </c>
      <c r="C597" s="3">
        <v>1</v>
      </c>
      <c r="D597" s="3">
        <v>0</v>
      </c>
      <c r="E597" s="3" t="s">
        <v>104</v>
      </c>
      <c r="F597" s="3">
        <v>0</v>
      </c>
      <c r="G597" s="3" t="b">
        <v>0</v>
      </c>
      <c r="H597" s="3" t="s">
        <v>112</v>
      </c>
      <c r="I597" s="3" t="s">
        <v>114</v>
      </c>
      <c r="J597" s="3">
        <v>0.2</v>
      </c>
      <c r="K597" s="3">
        <v>0.21210000000000001</v>
      </c>
      <c r="L597" s="3">
        <v>0.75</v>
      </c>
      <c r="M597" s="3">
        <v>0.1343</v>
      </c>
      <c r="N597" s="3">
        <v>0</v>
      </c>
      <c r="O597" s="3">
        <v>9</v>
      </c>
      <c r="P597" s="51">
        <v>9</v>
      </c>
    </row>
    <row r="598" spans="1:16" x14ac:dyDescent="0.35">
      <c r="A598" s="49">
        <v>597</v>
      </c>
      <c r="B598" s="50">
        <v>40571</v>
      </c>
      <c r="C598" s="3">
        <v>1</v>
      </c>
      <c r="D598" s="3">
        <v>0</v>
      </c>
      <c r="E598" s="3" t="s">
        <v>104</v>
      </c>
      <c r="F598" s="3">
        <v>1</v>
      </c>
      <c r="G598" s="3" t="b">
        <v>0</v>
      </c>
      <c r="H598" s="3" t="s">
        <v>112</v>
      </c>
      <c r="I598" s="3" t="s">
        <v>114</v>
      </c>
      <c r="J598" s="3">
        <v>0.2</v>
      </c>
      <c r="K598" s="3">
        <v>0.21210000000000001</v>
      </c>
      <c r="L598" s="3">
        <v>0.75</v>
      </c>
      <c r="M598" s="3">
        <v>0.1343</v>
      </c>
      <c r="N598" s="3">
        <v>1</v>
      </c>
      <c r="O598" s="3">
        <v>2</v>
      </c>
      <c r="P598" s="51">
        <v>3</v>
      </c>
    </row>
    <row r="599" spans="1:16" x14ac:dyDescent="0.35">
      <c r="A599" s="49">
        <v>598</v>
      </c>
      <c r="B599" s="50">
        <v>40571</v>
      </c>
      <c r="C599" s="3">
        <v>1</v>
      </c>
      <c r="D599" s="3">
        <v>0</v>
      </c>
      <c r="E599" s="3" t="s">
        <v>104</v>
      </c>
      <c r="F599" s="3">
        <v>2</v>
      </c>
      <c r="G599" s="3" t="b">
        <v>0</v>
      </c>
      <c r="H599" s="3" t="s">
        <v>112</v>
      </c>
      <c r="I599" s="3" t="s">
        <v>114</v>
      </c>
      <c r="J599" s="3">
        <v>0.2</v>
      </c>
      <c r="K599" s="3">
        <v>0.21210000000000001</v>
      </c>
      <c r="L599" s="3">
        <v>0.75</v>
      </c>
      <c r="M599" s="3">
        <v>0.16420000000000001</v>
      </c>
      <c r="N599" s="3">
        <v>0</v>
      </c>
      <c r="O599" s="3">
        <v>2</v>
      </c>
      <c r="P599" s="51">
        <v>2</v>
      </c>
    </row>
    <row r="600" spans="1:16" x14ac:dyDescent="0.35">
      <c r="A600" s="49">
        <v>599</v>
      </c>
      <c r="B600" s="50">
        <v>40571</v>
      </c>
      <c r="C600" s="3">
        <v>1</v>
      </c>
      <c r="D600" s="3">
        <v>0</v>
      </c>
      <c r="E600" s="3" t="s">
        <v>104</v>
      </c>
      <c r="F600" s="3">
        <v>3</v>
      </c>
      <c r="G600" s="3" t="b">
        <v>0</v>
      </c>
      <c r="H600" s="3" t="s">
        <v>112</v>
      </c>
      <c r="I600" s="3" t="s">
        <v>114</v>
      </c>
      <c r="J600" s="3">
        <v>0.2</v>
      </c>
      <c r="K600" s="3">
        <v>0.2273</v>
      </c>
      <c r="L600" s="3">
        <v>0.75</v>
      </c>
      <c r="M600" s="3">
        <v>0.1045</v>
      </c>
      <c r="N600" s="3">
        <v>1</v>
      </c>
      <c r="O600" s="3">
        <v>0</v>
      </c>
      <c r="P600" s="51">
        <v>1</v>
      </c>
    </row>
    <row r="601" spans="1:16" x14ac:dyDescent="0.35">
      <c r="A601" s="49">
        <v>600</v>
      </c>
      <c r="B601" s="50">
        <v>40571</v>
      </c>
      <c r="C601" s="3">
        <v>1</v>
      </c>
      <c r="D601" s="3">
        <v>0</v>
      </c>
      <c r="E601" s="3" t="s">
        <v>104</v>
      </c>
      <c r="F601" s="3">
        <v>5</v>
      </c>
      <c r="G601" s="3" t="b">
        <v>0</v>
      </c>
      <c r="H601" s="3" t="s">
        <v>112</v>
      </c>
      <c r="I601" s="3" t="s">
        <v>114</v>
      </c>
      <c r="J601" s="3">
        <v>0.18</v>
      </c>
      <c r="K601" s="3">
        <v>0.21210000000000001</v>
      </c>
      <c r="L601" s="3">
        <v>0.8</v>
      </c>
      <c r="M601" s="3">
        <v>0.1045</v>
      </c>
      <c r="N601" s="3">
        <v>0</v>
      </c>
      <c r="O601" s="3">
        <v>4</v>
      </c>
      <c r="P601" s="51">
        <v>4</v>
      </c>
    </row>
    <row r="602" spans="1:16" x14ac:dyDescent="0.35">
      <c r="A602" s="49">
        <v>601</v>
      </c>
      <c r="B602" s="50">
        <v>40571</v>
      </c>
      <c r="C602" s="3">
        <v>1</v>
      </c>
      <c r="D602" s="3">
        <v>0</v>
      </c>
      <c r="E602" s="3" t="s">
        <v>104</v>
      </c>
      <c r="F602" s="3">
        <v>6</v>
      </c>
      <c r="G602" s="3" t="b">
        <v>0</v>
      </c>
      <c r="H602" s="3" t="s">
        <v>112</v>
      </c>
      <c r="I602" s="3" t="s">
        <v>114</v>
      </c>
      <c r="J602" s="3">
        <v>0.18</v>
      </c>
      <c r="K602" s="3">
        <v>0.19700000000000001</v>
      </c>
      <c r="L602" s="3">
        <v>0.8</v>
      </c>
      <c r="M602" s="3">
        <v>0.1343</v>
      </c>
      <c r="N602" s="3">
        <v>0</v>
      </c>
      <c r="O602" s="3">
        <v>16</v>
      </c>
      <c r="P602" s="51">
        <v>16</v>
      </c>
    </row>
    <row r="603" spans="1:16" x14ac:dyDescent="0.35">
      <c r="A603" s="49">
        <v>602</v>
      </c>
      <c r="B603" s="50">
        <v>40571</v>
      </c>
      <c r="C603" s="3">
        <v>1</v>
      </c>
      <c r="D603" s="3">
        <v>0</v>
      </c>
      <c r="E603" s="3" t="s">
        <v>104</v>
      </c>
      <c r="F603" s="3">
        <v>7</v>
      </c>
      <c r="G603" s="3" t="b">
        <v>0</v>
      </c>
      <c r="H603" s="3" t="s">
        <v>112</v>
      </c>
      <c r="I603" s="3" t="s">
        <v>114</v>
      </c>
      <c r="J603" s="3">
        <v>0.16</v>
      </c>
      <c r="K603" s="3">
        <v>0.19700000000000001</v>
      </c>
      <c r="L603" s="3">
        <v>0.86</v>
      </c>
      <c r="M603" s="3">
        <v>8.9599999999999999E-2</v>
      </c>
      <c r="N603" s="3">
        <v>2</v>
      </c>
      <c r="O603" s="3">
        <v>58</v>
      </c>
      <c r="P603" s="51">
        <v>60</v>
      </c>
    </row>
    <row r="604" spans="1:16" x14ac:dyDescent="0.35">
      <c r="A604" s="49">
        <v>603</v>
      </c>
      <c r="B604" s="50">
        <v>40571</v>
      </c>
      <c r="C604" s="3">
        <v>1</v>
      </c>
      <c r="D604" s="3">
        <v>0</v>
      </c>
      <c r="E604" s="3" t="s">
        <v>104</v>
      </c>
      <c r="F604" s="3">
        <v>8</v>
      </c>
      <c r="G604" s="3" t="b">
        <v>0</v>
      </c>
      <c r="H604" s="3" t="s">
        <v>112</v>
      </c>
      <c r="I604" s="3" t="s">
        <v>114</v>
      </c>
      <c r="J604" s="3">
        <v>0.16</v>
      </c>
      <c r="K604" s="3">
        <v>0.19700000000000001</v>
      </c>
      <c r="L604" s="3">
        <v>0.86</v>
      </c>
      <c r="M604" s="3">
        <v>8.9599999999999999E-2</v>
      </c>
      <c r="N604" s="3">
        <v>2</v>
      </c>
      <c r="O604" s="3">
        <v>155</v>
      </c>
      <c r="P604" s="51">
        <v>157</v>
      </c>
    </row>
    <row r="605" spans="1:16" x14ac:dyDescent="0.35">
      <c r="A605" s="49">
        <v>604</v>
      </c>
      <c r="B605" s="50">
        <v>40571</v>
      </c>
      <c r="C605" s="3">
        <v>1</v>
      </c>
      <c r="D605" s="3">
        <v>0</v>
      </c>
      <c r="E605" s="3" t="s">
        <v>104</v>
      </c>
      <c r="F605" s="3">
        <v>9</v>
      </c>
      <c r="G605" s="3" t="b">
        <v>0</v>
      </c>
      <c r="H605" s="3" t="s">
        <v>112</v>
      </c>
      <c r="I605" s="3" t="s">
        <v>115</v>
      </c>
      <c r="J605" s="3">
        <v>0.18</v>
      </c>
      <c r="K605" s="3">
        <v>0.21210000000000001</v>
      </c>
      <c r="L605" s="3">
        <v>0.86</v>
      </c>
      <c r="M605" s="3">
        <v>8.9599999999999999E-2</v>
      </c>
      <c r="N605" s="3">
        <v>6</v>
      </c>
      <c r="O605" s="3">
        <v>95</v>
      </c>
      <c r="P605" s="51">
        <v>101</v>
      </c>
    </row>
    <row r="606" spans="1:16" x14ac:dyDescent="0.35">
      <c r="A606" s="49">
        <v>605</v>
      </c>
      <c r="B606" s="50">
        <v>40571</v>
      </c>
      <c r="C606" s="3">
        <v>1</v>
      </c>
      <c r="D606" s="3">
        <v>0</v>
      </c>
      <c r="E606" s="3" t="s">
        <v>104</v>
      </c>
      <c r="F606" s="3">
        <v>10</v>
      </c>
      <c r="G606" s="3" t="b">
        <v>0</v>
      </c>
      <c r="H606" s="3" t="s">
        <v>112</v>
      </c>
      <c r="I606" s="3" t="s">
        <v>115</v>
      </c>
      <c r="J606" s="3">
        <v>0.18</v>
      </c>
      <c r="K606" s="3">
        <v>0.21210000000000001</v>
      </c>
      <c r="L606" s="3">
        <v>0.86</v>
      </c>
      <c r="M606" s="3">
        <v>0.1045</v>
      </c>
      <c r="N606" s="3">
        <v>0</v>
      </c>
      <c r="O606" s="3">
        <v>49</v>
      </c>
      <c r="P606" s="51">
        <v>49</v>
      </c>
    </row>
    <row r="607" spans="1:16" x14ac:dyDescent="0.35">
      <c r="A607" s="49">
        <v>606</v>
      </c>
      <c r="B607" s="50">
        <v>40571</v>
      </c>
      <c r="C607" s="3">
        <v>1</v>
      </c>
      <c r="D607" s="3">
        <v>0</v>
      </c>
      <c r="E607" s="3" t="s">
        <v>104</v>
      </c>
      <c r="F607" s="3">
        <v>11</v>
      </c>
      <c r="G607" s="3" t="b">
        <v>0</v>
      </c>
      <c r="H607" s="3" t="s">
        <v>112</v>
      </c>
      <c r="I607" s="3" t="s">
        <v>115</v>
      </c>
      <c r="J607" s="3">
        <v>0.18</v>
      </c>
      <c r="K607" s="3">
        <v>0.21210000000000001</v>
      </c>
      <c r="L607" s="3">
        <v>0.93</v>
      </c>
      <c r="M607" s="3">
        <v>0.1045</v>
      </c>
      <c r="N607" s="3">
        <v>0</v>
      </c>
      <c r="O607" s="3">
        <v>30</v>
      </c>
      <c r="P607" s="51">
        <v>30</v>
      </c>
    </row>
    <row r="608" spans="1:16" x14ac:dyDescent="0.35">
      <c r="A608" s="49">
        <v>607</v>
      </c>
      <c r="B608" s="50">
        <v>40571</v>
      </c>
      <c r="C608" s="3">
        <v>1</v>
      </c>
      <c r="D608" s="3">
        <v>0</v>
      </c>
      <c r="E608" s="3" t="s">
        <v>104</v>
      </c>
      <c r="F608" s="3">
        <v>12</v>
      </c>
      <c r="G608" s="3" t="b">
        <v>0</v>
      </c>
      <c r="H608" s="3" t="s">
        <v>112</v>
      </c>
      <c r="I608" s="3" t="s">
        <v>115</v>
      </c>
      <c r="J608" s="3">
        <v>0.18</v>
      </c>
      <c r="K608" s="3">
        <v>0.21210000000000001</v>
      </c>
      <c r="L608" s="3">
        <v>0.93</v>
      </c>
      <c r="M608" s="3">
        <v>0.1045</v>
      </c>
      <c r="N608" s="3">
        <v>1</v>
      </c>
      <c r="O608" s="3">
        <v>28</v>
      </c>
      <c r="P608" s="51">
        <v>29</v>
      </c>
    </row>
    <row r="609" spans="1:16" x14ac:dyDescent="0.35">
      <c r="A609" s="49">
        <v>608</v>
      </c>
      <c r="B609" s="50">
        <v>40571</v>
      </c>
      <c r="C609" s="3">
        <v>1</v>
      </c>
      <c r="D609" s="3">
        <v>0</v>
      </c>
      <c r="E609" s="3" t="s">
        <v>104</v>
      </c>
      <c r="F609" s="3">
        <v>13</v>
      </c>
      <c r="G609" s="3" t="b">
        <v>0</v>
      </c>
      <c r="H609" s="3" t="s">
        <v>112</v>
      </c>
      <c r="I609" s="3" t="s">
        <v>115</v>
      </c>
      <c r="J609" s="3">
        <v>0.18</v>
      </c>
      <c r="K609" s="3">
        <v>0.21210000000000001</v>
      </c>
      <c r="L609" s="3">
        <v>0.93</v>
      </c>
      <c r="M609" s="3">
        <v>0.1045</v>
      </c>
      <c r="N609" s="3">
        <v>0</v>
      </c>
      <c r="O609" s="3">
        <v>31</v>
      </c>
      <c r="P609" s="51">
        <v>31</v>
      </c>
    </row>
    <row r="610" spans="1:16" x14ac:dyDescent="0.35">
      <c r="A610" s="49">
        <v>609</v>
      </c>
      <c r="B610" s="50">
        <v>40571</v>
      </c>
      <c r="C610" s="3">
        <v>1</v>
      </c>
      <c r="D610" s="3">
        <v>0</v>
      </c>
      <c r="E610" s="3" t="s">
        <v>104</v>
      </c>
      <c r="F610" s="3">
        <v>14</v>
      </c>
      <c r="G610" s="3" t="b">
        <v>0</v>
      </c>
      <c r="H610" s="3" t="s">
        <v>112</v>
      </c>
      <c r="I610" s="3" t="s">
        <v>115</v>
      </c>
      <c r="J610" s="3">
        <v>0.22</v>
      </c>
      <c r="K610" s="3">
        <v>0.2727</v>
      </c>
      <c r="L610" s="3">
        <v>0.8</v>
      </c>
      <c r="M610" s="3">
        <v>0</v>
      </c>
      <c r="N610" s="3">
        <v>2</v>
      </c>
      <c r="O610" s="3">
        <v>36</v>
      </c>
      <c r="P610" s="51">
        <v>38</v>
      </c>
    </row>
    <row r="611" spans="1:16" x14ac:dyDescent="0.35">
      <c r="A611" s="49">
        <v>610</v>
      </c>
      <c r="B611" s="50">
        <v>40571</v>
      </c>
      <c r="C611" s="3">
        <v>1</v>
      </c>
      <c r="D611" s="3">
        <v>0</v>
      </c>
      <c r="E611" s="3" t="s">
        <v>104</v>
      </c>
      <c r="F611" s="3">
        <v>15</v>
      </c>
      <c r="G611" s="3" t="b">
        <v>0</v>
      </c>
      <c r="H611" s="3" t="s">
        <v>112</v>
      </c>
      <c r="I611" s="3" t="s">
        <v>114</v>
      </c>
      <c r="J611" s="3">
        <v>0.2</v>
      </c>
      <c r="K611" s="3">
        <v>0.2576</v>
      </c>
      <c r="L611" s="3">
        <v>0.86</v>
      </c>
      <c r="M611" s="3">
        <v>0</v>
      </c>
      <c r="N611" s="3">
        <v>1</v>
      </c>
      <c r="O611" s="3">
        <v>40</v>
      </c>
      <c r="P611" s="51">
        <v>41</v>
      </c>
    </row>
    <row r="612" spans="1:16" x14ac:dyDescent="0.35">
      <c r="A612" s="49">
        <v>611</v>
      </c>
      <c r="B612" s="50">
        <v>40571</v>
      </c>
      <c r="C612" s="3">
        <v>1</v>
      </c>
      <c r="D612" s="3">
        <v>0</v>
      </c>
      <c r="E612" s="3" t="s">
        <v>104</v>
      </c>
      <c r="F612" s="3">
        <v>16</v>
      </c>
      <c r="G612" s="3" t="b">
        <v>0</v>
      </c>
      <c r="H612" s="3" t="s">
        <v>112</v>
      </c>
      <c r="I612" s="3" t="s">
        <v>113</v>
      </c>
      <c r="J612" s="3">
        <v>0.22</v>
      </c>
      <c r="K612" s="3">
        <v>0.2727</v>
      </c>
      <c r="L612" s="3">
        <v>0.8</v>
      </c>
      <c r="M612" s="3">
        <v>0</v>
      </c>
      <c r="N612" s="3">
        <v>10</v>
      </c>
      <c r="O612" s="3">
        <v>70</v>
      </c>
      <c r="P612" s="51">
        <v>80</v>
      </c>
    </row>
    <row r="613" spans="1:16" x14ac:dyDescent="0.35">
      <c r="A613" s="49">
        <v>612</v>
      </c>
      <c r="B613" s="50">
        <v>40571</v>
      </c>
      <c r="C613" s="3">
        <v>1</v>
      </c>
      <c r="D613" s="3">
        <v>0</v>
      </c>
      <c r="E613" s="3" t="s">
        <v>104</v>
      </c>
      <c r="F613" s="3">
        <v>17</v>
      </c>
      <c r="G613" s="3" t="b">
        <v>0</v>
      </c>
      <c r="H613" s="3" t="s">
        <v>112</v>
      </c>
      <c r="I613" s="3" t="s">
        <v>113</v>
      </c>
      <c r="J613" s="3">
        <v>0.24</v>
      </c>
      <c r="K613" s="3">
        <v>0.2424</v>
      </c>
      <c r="L613" s="3">
        <v>0.75</v>
      </c>
      <c r="M613" s="3">
        <v>0.1343</v>
      </c>
      <c r="N613" s="3">
        <v>2</v>
      </c>
      <c r="O613" s="3">
        <v>147</v>
      </c>
      <c r="P613" s="51">
        <v>149</v>
      </c>
    </row>
    <row r="614" spans="1:16" x14ac:dyDescent="0.35">
      <c r="A614" s="49">
        <v>613</v>
      </c>
      <c r="B614" s="50">
        <v>40571</v>
      </c>
      <c r="C614" s="3">
        <v>1</v>
      </c>
      <c r="D614" s="3">
        <v>0</v>
      </c>
      <c r="E614" s="3" t="s">
        <v>104</v>
      </c>
      <c r="F614" s="3">
        <v>18</v>
      </c>
      <c r="G614" s="3" t="b">
        <v>0</v>
      </c>
      <c r="H614" s="3" t="s">
        <v>112</v>
      </c>
      <c r="I614" s="3" t="s">
        <v>113</v>
      </c>
      <c r="J614" s="3">
        <v>0.24</v>
      </c>
      <c r="K614" s="3">
        <v>0.2273</v>
      </c>
      <c r="L614" s="3">
        <v>0.75</v>
      </c>
      <c r="M614" s="3">
        <v>0.19400000000000001</v>
      </c>
      <c r="N614" s="3">
        <v>2</v>
      </c>
      <c r="O614" s="3">
        <v>107</v>
      </c>
      <c r="P614" s="51">
        <v>109</v>
      </c>
    </row>
    <row r="615" spans="1:16" x14ac:dyDescent="0.35">
      <c r="A615" s="49">
        <v>614</v>
      </c>
      <c r="B615" s="50">
        <v>40571</v>
      </c>
      <c r="C615" s="3">
        <v>1</v>
      </c>
      <c r="D615" s="3">
        <v>0</v>
      </c>
      <c r="E615" s="3" t="s">
        <v>104</v>
      </c>
      <c r="F615" s="3">
        <v>19</v>
      </c>
      <c r="G615" s="3" t="b">
        <v>0</v>
      </c>
      <c r="H615" s="3" t="s">
        <v>112</v>
      </c>
      <c r="I615" s="3" t="s">
        <v>114</v>
      </c>
      <c r="J615" s="3">
        <v>0.24</v>
      </c>
      <c r="K615" s="3">
        <v>0.2424</v>
      </c>
      <c r="L615" s="3">
        <v>0.75</v>
      </c>
      <c r="M615" s="3">
        <v>0.1343</v>
      </c>
      <c r="N615" s="3">
        <v>5</v>
      </c>
      <c r="O615" s="3">
        <v>84</v>
      </c>
      <c r="P615" s="51">
        <v>89</v>
      </c>
    </row>
    <row r="616" spans="1:16" x14ac:dyDescent="0.35">
      <c r="A616" s="49">
        <v>615</v>
      </c>
      <c r="B616" s="50">
        <v>40571</v>
      </c>
      <c r="C616" s="3">
        <v>1</v>
      </c>
      <c r="D616" s="3">
        <v>0</v>
      </c>
      <c r="E616" s="3" t="s">
        <v>104</v>
      </c>
      <c r="F616" s="3">
        <v>20</v>
      </c>
      <c r="G616" s="3" t="b">
        <v>0</v>
      </c>
      <c r="H616" s="3" t="s">
        <v>112</v>
      </c>
      <c r="I616" s="3" t="s">
        <v>114</v>
      </c>
      <c r="J616" s="3">
        <v>0.24</v>
      </c>
      <c r="K616" s="3">
        <v>0.2273</v>
      </c>
      <c r="L616" s="3">
        <v>0.7</v>
      </c>
      <c r="M616" s="3">
        <v>0.19400000000000001</v>
      </c>
      <c r="N616" s="3">
        <v>1</v>
      </c>
      <c r="O616" s="3">
        <v>61</v>
      </c>
      <c r="P616" s="51">
        <v>62</v>
      </c>
    </row>
    <row r="617" spans="1:16" x14ac:dyDescent="0.35">
      <c r="A617" s="49">
        <v>616</v>
      </c>
      <c r="B617" s="50">
        <v>40571</v>
      </c>
      <c r="C617" s="3">
        <v>1</v>
      </c>
      <c r="D617" s="3">
        <v>0</v>
      </c>
      <c r="E617" s="3" t="s">
        <v>104</v>
      </c>
      <c r="F617" s="3">
        <v>21</v>
      </c>
      <c r="G617" s="3" t="b">
        <v>0</v>
      </c>
      <c r="H617" s="3" t="s">
        <v>112</v>
      </c>
      <c r="I617" s="3" t="s">
        <v>114</v>
      </c>
      <c r="J617" s="3">
        <v>0.22</v>
      </c>
      <c r="K617" s="3">
        <v>0.2273</v>
      </c>
      <c r="L617" s="3">
        <v>0.75</v>
      </c>
      <c r="M617" s="3">
        <v>0.1343</v>
      </c>
      <c r="N617" s="3">
        <v>1</v>
      </c>
      <c r="O617" s="3">
        <v>57</v>
      </c>
      <c r="P617" s="51">
        <v>58</v>
      </c>
    </row>
    <row r="618" spans="1:16" x14ac:dyDescent="0.35">
      <c r="A618" s="49">
        <v>617</v>
      </c>
      <c r="B618" s="50">
        <v>40571</v>
      </c>
      <c r="C618" s="3">
        <v>1</v>
      </c>
      <c r="D618" s="3">
        <v>0</v>
      </c>
      <c r="E618" s="3" t="s">
        <v>104</v>
      </c>
      <c r="F618" s="3">
        <v>22</v>
      </c>
      <c r="G618" s="3" t="b">
        <v>0</v>
      </c>
      <c r="H618" s="3" t="s">
        <v>112</v>
      </c>
      <c r="I618" s="3" t="s">
        <v>113</v>
      </c>
      <c r="J618" s="3">
        <v>0.24</v>
      </c>
      <c r="K618" s="3">
        <v>0.21210000000000001</v>
      </c>
      <c r="L618" s="3">
        <v>0.65</v>
      </c>
      <c r="M618" s="3">
        <v>0.35820000000000002</v>
      </c>
      <c r="N618" s="3">
        <v>0</v>
      </c>
      <c r="O618" s="3">
        <v>26</v>
      </c>
      <c r="P618" s="51">
        <v>26</v>
      </c>
    </row>
    <row r="619" spans="1:16" x14ac:dyDescent="0.35">
      <c r="A619" s="49">
        <v>618</v>
      </c>
      <c r="B619" s="50">
        <v>40571</v>
      </c>
      <c r="C619" s="3">
        <v>1</v>
      </c>
      <c r="D619" s="3">
        <v>0</v>
      </c>
      <c r="E619" s="3" t="s">
        <v>104</v>
      </c>
      <c r="F619" s="3">
        <v>23</v>
      </c>
      <c r="G619" s="3" t="b">
        <v>0</v>
      </c>
      <c r="H619" s="3" t="s">
        <v>112</v>
      </c>
      <c r="I619" s="3" t="s">
        <v>113</v>
      </c>
      <c r="J619" s="3">
        <v>0.24</v>
      </c>
      <c r="K619" s="3">
        <v>0.2273</v>
      </c>
      <c r="L619" s="3">
        <v>0.6</v>
      </c>
      <c r="M619" s="3">
        <v>0.22389999999999999</v>
      </c>
      <c r="N619" s="3">
        <v>1</v>
      </c>
      <c r="O619" s="3">
        <v>22</v>
      </c>
      <c r="P619" s="51">
        <v>23</v>
      </c>
    </row>
    <row r="620" spans="1:16" x14ac:dyDescent="0.35">
      <c r="A620" s="49">
        <v>619</v>
      </c>
      <c r="B620" s="50">
        <v>40572</v>
      </c>
      <c r="C620" s="3">
        <v>1</v>
      </c>
      <c r="D620" s="3">
        <v>0</v>
      </c>
      <c r="E620" s="3" t="s">
        <v>104</v>
      </c>
      <c r="F620" s="3">
        <v>0</v>
      </c>
      <c r="G620" s="3" t="b">
        <v>0</v>
      </c>
      <c r="H620" s="3" t="s">
        <v>106</v>
      </c>
      <c r="I620" s="3" t="s">
        <v>113</v>
      </c>
      <c r="J620" s="3">
        <v>0.22</v>
      </c>
      <c r="K620" s="3">
        <v>0.19700000000000001</v>
      </c>
      <c r="L620" s="3">
        <v>0.64</v>
      </c>
      <c r="M620" s="3">
        <v>0.35820000000000002</v>
      </c>
      <c r="N620" s="3">
        <v>2</v>
      </c>
      <c r="O620" s="3">
        <v>26</v>
      </c>
      <c r="P620" s="51">
        <v>28</v>
      </c>
    </row>
    <row r="621" spans="1:16" x14ac:dyDescent="0.35">
      <c r="A621" s="49">
        <v>620</v>
      </c>
      <c r="B621" s="50">
        <v>40572</v>
      </c>
      <c r="C621" s="3">
        <v>1</v>
      </c>
      <c r="D621" s="3">
        <v>0</v>
      </c>
      <c r="E621" s="3" t="s">
        <v>104</v>
      </c>
      <c r="F621" s="3">
        <v>1</v>
      </c>
      <c r="G621" s="3" t="b">
        <v>0</v>
      </c>
      <c r="H621" s="3" t="s">
        <v>106</v>
      </c>
      <c r="I621" s="3" t="s">
        <v>113</v>
      </c>
      <c r="J621" s="3">
        <v>0.22</v>
      </c>
      <c r="K621" s="3">
        <v>0.2273</v>
      </c>
      <c r="L621" s="3">
        <v>0.64</v>
      </c>
      <c r="M621" s="3">
        <v>0.19400000000000001</v>
      </c>
      <c r="N621" s="3">
        <v>0</v>
      </c>
      <c r="O621" s="3">
        <v>20</v>
      </c>
      <c r="P621" s="51">
        <v>20</v>
      </c>
    </row>
    <row r="622" spans="1:16" x14ac:dyDescent="0.35">
      <c r="A622" s="49">
        <v>621</v>
      </c>
      <c r="B622" s="50">
        <v>40572</v>
      </c>
      <c r="C622" s="3">
        <v>1</v>
      </c>
      <c r="D622" s="3">
        <v>0</v>
      </c>
      <c r="E622" s="3" t="s">
        <v>104</v>
      </c>
      <c r="F622" s="3">
        <v>2</v>
      </c>
      <c r="G622" s="3" t="b">
        <v>0</v>
      </c>
      <c r="H622" s="3" t="s">
        <v>106</v>
      </c>
      <c r="I622" s="3" t="s">
        <v>113</v>
      </c>
      <c r="J622" s="3">
        <v>0.22</v>
      </c>
      <c r="K622" s="3">
        <v>0.2273</v>
      </c>
      <c r="L622" s="3">
        <v>0.64</v>
      </c>
      <c r="M622" s="3">
        <v>0.16420000000000001</v>
      </c>
      <c r="N622" s="3">
        <v>0</v>
      </c>
      <c r="O622" s="3">
        <v>15</v>
      </c>
      <c r="P622" s="51">
        <v>15</v>
      </c>
    </row>
    <row r="623" spans="1:16" x14ac:dyDescent="0.35">
      <c r="A623" s="49">
        <v>622</v>
      </c>
      <c r="B623" s="50">
        <v>40572</v>
      </c>
      <c r="C623" s="3">
        <v>1</v>
      </c>
      <c r="D623" s="3">
        <v>0</v>
      </c>
      <c r="E623" s="3" t="s">
        <v>104</v>
      </c>
      <c r="F623" s="3">
        <v>3</v>
      </c>
      <c r="G623" s="3" t="b">
        <v>0</v>
      </c>
      <c r="H623" s="3" t="s">
        <v>106</v>
      </c>
      <c r="I623" s="3" t="s">
        <v>113</v>
      </c>
      <c r="J623" s="3">
        <v>0.2</v>
      </c>
      <c r="K623" s="3">
        <v>0.21210000000000001</v>
      </c>
      <c r="L623" s="3">
        <v>0.64</v>
      </c>
      <c r="M623" s="3">
        <v>0.1343</v>
      </c>
      <c r="N623" s="3">
        <v>3</v>
      </c>
      <c r="O623" s="3">
        <v>5</v>
      </c>
      <c r="P623" s="51">
        <v>8</v>
      </c>
    </row>
    <row r="624" spans="1:16" x14ac:dyDescent="0.35">
      <c r="A624" s="49">
        <v>623</v>
      </c>
      <c r="B624" s="50">
        <v>40572</v>
      </c>
      <c r="C624" s="3">
        <v>1</v>
      </c>
      <c r="D624" s="3">
        <v>0</v>
      </c>
      <c r="E624" s="3" t="s">
        <v>104</v>
      </c>
      <c r="F624" s="3">
        <v>4</v>
      </c>
      <c r="G624" s="3" t="b">
        <v>0</v>
      </c>
      <c r="H624" s="3" t="s">
        <v>106</v>
      </c>
      <c r="I624" s="3" t="s">
        <v>113</v>
      </c>
      <c r="J624" s="3">
        <v>0.16</v>
      </c>
      <c r="K624" s="3">
        <v>0.18179999999999999</v>
      </c>
      <c r="L624" s="3">
        <v>0.69</v>
      </c>
      <c r="M624" s="3">
        <v>0.1045</v>
      </c>
      <c r="N624" s="3">
        <v>1</v>
      </c>
      <c r="O624" s="3">
        <v>2</v>
      </c>
      <c r="P624" s="51">
        <v>3</v>
      </c>
    </row>
    <row r="625" spans="1:16" x14ac:dyDescent="0.35">
      <c r="A625" s="49">
        <v>624</v>
      </c>
      <c r="B625" s="50">
        <v>40572</v>
      </c>
      <c r="C625" s="3">
        <v>1</v>
      </c>
      <c r="D625" s="3">
        <v>0</v>
      </c>
      <c r="E625" s="3" t="s">
        <v>104</v>
      </c>
      <c r="F625" s="3">
        <v>6</v>
      </c>
      <c r="G625" s="3" t="b">
        <v>0</v>
      </c>
      <c r="H625" s="3" t="s">
        <v>106</v>
      </c>
      <c r="I625" s="3" t="s">
        <v>113</v>
      </c>
      <c r="J625" s="3">
        <v>0.16</v>
      </c>
      <c r="K625" s="3">
        <v>0.18179999999999999</v>
      </c>
      <c r="L625" s="3">
        <v>0.64</v>
      </c>
      <c r="M625" s="3">
        <v>0.1343</v>
      </c>
      <c r="N625" s="3">
        <v>0</v>
      </c>
      <c r="O625" s="3">
        <v>2</v>
      </c>
      <c r="P625" s="51">
        <v>2</v>
      </c>
    </row>
    <row r="626" spans="1:16" x14ac:dyDescent="0.35">
      <c r="A626" s="49">
        <v>625</v>
      </c>
      <c r="B626" s="50">
        <v>40572</v>
      </c>
      <c r="C626" s="3">
        <v>1</v>
      </c>
      <c r="D626" s="3">
        <v>0</v>
      </c>
      <c r="E626" s="3" t="s">
        <v>104</v>
      </c>
      <c r="F626" s="3">
        <v>7</v>
      </c>
      <c r="G626" s="3" t="b">
        <v>0</v>
      </c>
      <c r="H626" s="3" t="s">
        <v>106</v>
      </c>
      <c r="I626" s="3" t="s">
        <v>113</v>
      </c>
      <c r="J626" s="3">
        <v>0.16</v>
      </c>
      <c r="K626" s="3">
        <v>0.18179999999999999</v>
      </c>
      <c r="L626" s="3">
        <v>0.59</v>
      </c>
      <c r="M626" s="3">
        <v>0.1045</v>
      </c>
      <c r="N626" s="3">
        <v>1</v>
      </c>
      <c r="O626" s="3">
        <v>4</v>
      </c>
      <c r="P626" s="51">
        <v>5</v>
      </c>
    </row>
    <row r="627" spans="1:16" x14ac:dyDescent="0.35">
      <c r="A627" s="49">
        <v>626</v>
      </c>
      <c r="B627" s="50">
        <v>40572</v>
      </c>
      <c r="C627" s="3">
        <v>1</v>
      </c>
      <c r="D627" s="3">
        <v>0</v>
      </c>
      <c r="E627" s="3" t="s">
        <v>104</v>
      </c>
      <c r="F627" s="3">
        <v>8</v>
      </c>
      <c r="G627" s="3" t="b">
        <v>0</v>
      </c>
      <c r="H627" s="3" t="s">
        <v>106</v>
      </c>
      <c r="I627" s="3" t="s">
        <v>113</v>
      </c>
      <c r="J627" s="3">
        <v>0.18</v>
      </c>
      <c r="K627" s="3">
        <v>0.19700000000000001</v>
      </c>
      <c r="L627" s="3">
        <v>0.55000000000000004</v>
      </c>
      <c r="M627" s="3">
        <v>0.16420000000000001</v>
      </c>
      <c r="N627" s="3">
        <v>3</v>
      </c>
      <c r="O627" s="3">
        <v>31</v>
      </c>
      <c r="P627" s="51">
        <v>34</v>
      </c>
    </row>
    <row r="628" spans="1:16" x14ac:dyDescent="0.35">
      <c r="A628" s="49">
        <v>627</v>
      </c>
      <c r="B628" s="50">
        <v>40572</v>
      </c>
      <c r="C628" s="3">
        <v>1</v>
      </c>
      <c r="D628" s="3">
        <v>0</v>
      </c>
      <c r="E628" s="3" t="s">
        <v>104</v>
      </c>
      <c r="F628" s="3">
        <v>9</v>
      </c>
      <c r="G628" s="3" t="b">
        <v>0</v>
      </c>
      <c r="H628" s="3" t="s">
        <v>106</v>
      </c>
      <c r="I628" s="3" t="s">
        <v>113</v>
      </c>
      <c r="J628" s="3">
        <v>0.18</v>
      </c>
      <c r="K628" s="3">
        <v>0.21210000000000001</v>
      </c>
      <c r="L628" s="3">
        <v>0.59</v>
      </c>
      <c r="M628" s="3">
        <v>8.9599999999999999E-2</v>
      </c>
      <c r="N628" s="3">
        <v>0</v>
      </c>
      <c r="O628" s="3">
        <v>34</v>
      </c>
      <c r="P628" s="51">
        <v>34</v>
      </c>
    </row>
    <row r="629" spans="1:16" x14ac:dyDescent="0.35">
      <c r="A629" s="49">
        <v>628</v>
      </c>
      <c r="B629" s="50">
        <v>40572</v>
      </c>
      <c r="C629" s="3">
        <v>1</v>
      </c>
      <c r="D629" s="3">
        <v>0</v>
      </c>
      <c r="E629" s="3" t="s">
        <v>104</v>
      </c>
      <c r="F629" s="3">
        <v>10</v>
      </c>
      <c r="G629" s="3" t="b">
        <v>0</v>
      </c>
      <c r="H629" s="3" t="s">
        <v>106</v>
      </c>
      <c r="I629" s="3" t="s">
        <v>114</v>
      </c>
      <c r="J629" s="3">
        <v>0.18</v>
      </c>
      <c r="K629" s="3">
        <v>0.21210000000000001</v>
      </c>
      <c r="L629" s="3">
        <v>0.64</v>
      </c>
      <c r="M629" s="3">
        <v>0.1045</v>
      </c>
      <c r="N629" s="3">
        <v>4</v>
      </c>
      <c r="O629" s="3">
        <v>51</v>
      </c>
      <c r="P629" s="51">
        <v>55</v>
      </c>
    </row>
    <row r="630" spans="1:16" x14ac:dyDescent="0.35">
      <c r="A630" s="49">
        <v>629</v>
      </c>
      <c r="B630" s="50">
        <v>40572</v>
      </c>
      <c r="C630" s="3">
        <v>1</v>
      </c>
      <c r="D630" s="3">
        <v>0</v>
      </c>
      <c r="E630" s="3" t="s">
        <v>104</v>
      </c>
      <c r="F630" s="3">
        <v>11</v>
      </c>
      <c r="G630" s="3" t="b">
        <v>0</v>
      </c>
      <c r="H630" s="3" t="s">
        <v>106</v>
      </c>
      <c r="I630" s="3" t="s">
        <v>114</v>
      </c>
      <c r="J630" s="3">
        <v>0.18</v>
      </c>
      <c r="K630" s="3">
        <v>0.19700000000000001</v>
      </c>
      <c r="L630" s="3">
        <v>0.64</v>
      </c>
      <c r="M630" s="3">
        <v>0.1343</v>
      </c>
      <c r="N630" s="3">
        <v>4</v>
      </c>
      <c r="O630" s="3">
        <v>60</v>
      </c>
      <c r="P630" s="51">
        <v>64</v>
      </c>
    </row>
    <row r="631" spans="1:16" x14ac:dyDescent="0.35">
      <c r="A631" s="49">
        <v>630</v>
      </c>
      <c r="B631" s="50">
        <v>40572</v>
      </c>
      <c r="C631" s="3">
        <v>1</v>
      </c>
      <c r="D631" s="3">
        <v>0</v>
      </c>
      <c r="E631" s="3" t="s">
        <v>104</v>
      </c>
      <c r="F631" s="3">
        <v>12</v>
      </c>
      <c r="G631" s="3" t="b">
        <v>0</v>
      </c>
      <c r="H631" s="3" t="s">
        <v>106</v>
      </c>
      <c r="I631" s="3" t="s">
        <v>114</v>
      </c>
      <c r="J631" s="3">
        <v>0.2</v>
      </c>
      <c r="K631" s="3">
        <v>0.19700000000000001</v>
      </c>
      <c r="L631" s="3">
        <v>0.59</v>
      </c>
      <c r="M631" s="3">
        <v>0.19400000000000001</v>
      </c>
      <c r="N631" s="3">
        <v>12</v>
      </c>
      <c r="O631" s="3">
        <v>66</v>
      </c>
      <c r="P631" s="51">
        <v>78</v>
      </c>
    </row>
    <row r="632" spans="1:16" x14ac:dyDescent="0.35">
      <c r="A632" s="49">
        <v>631</v>
      </c>
      <c r="B632" s="50">
        <v>40572</v>
      </c>
      <c r="C632" s="3">
        <v>1</v>
      </c>
      <c r="D632" s="3">
        <v>0</v>
      </c>
      <c r="E632" s="3" t="s">
        <v>104</v>
      </c>
      <c r="F632" s="3">
        <v>13</v>
      </c>
      <c r="G632" s="3" t="b">
        <v>0</v>
      </c>
      <c r="H632" s="3" t="s">
        <v>106</v>
      </c>
      <c r="I632" s="3" t="s">
        <v>114</v>
      </c>
      <c r="J632" s="3">
        <v>0.22</v>
      </c>
      <c r="K632" s="3">
        <v>0.2273</v>
      </c>
      <c r="L632" s="3">
        <v>0.55000000000000004</v>
      </c>
      <c r="M632" s="3">
        <v>0.16420000000000001</v>
      </c>
      <c r="N632" s="3">
        <v>9</v>
      </c>
      <c r="O632" s="3">
        <v>56</v>
      </c>
      <c r="P632" s="51">
        <v>65</v>
      </c>
    </row>
    <row r="633" spans="1:16" x14ac:dyDescent="0.35">
      <c r="A633" s="49">
        <v>632</v>
      </c>
      <c r="B633" s="50">
        <v>40572</v>
      </c>
      <c r="C633" s="3">
        <v>1</v>
      </c>
      <c r="D633" s="3">
        <v>0</v>
      </c>
      <c r="E633" s="3" t="s">
        <v>104</v>
      </c>
      <c r="F633" s="3">
        <v>14</v>
      </c>
      <c r="G633" s="3" t="b">
        <v>0</v>
      </c>
      <c r="H633" s="3" t="s">
        <v>106</v>
      </c>
      <c r="I633" s="3" t="s">
        <v>114</v>
      </c>
      <c r="J633" s="3">
        <v>0.22</v>
      </c>
      <c r="K633" s="3">
        <v>0.2273</v>
      </c>
      <c r="L633" s="3">
        <v>0.6</v>
      </c>
      <c r="M633" s="3">
        <v>0.1343</v>
      </c>
      <c r="N633" s="3">
        <v>10</v>
      </c>
      <c r="O633" s="3">
        <v>89</v>
      </c>
      <c r="P633" s="51">
        <v>99</v>
      </c>
    </row>
    <row r="634" spans="1:16" x14ac:dyDescent="0.35">
      <c r="A634" s="49">
        <v>633</v>
      </c>
      <c r="B634" s="50">
        <v>40572</v>
      </c>
      <c r="C634" s="3">
        <v>1</v>
      </c>
      <c r="D634" s="3">
        <v>0</v>
      </c>
      <c r="E634" s="3" t="s">
        <v>104</v>
      </c>
      <c r="F634" s="3">
        <v>15</v>
      </c>
      <c r="G634" s="3" t="b">
        <v>0</v>
      </c>
      <c r="H634" s="3" t="s">
        <v>106</v>
      </c>
      <c r="I634" s="3" t="s">
        <v>113</v>
      </c>
      <c r="J634" s="3">
        <v>0.22</v>
      </c>
      <c r="K634" s="3">
        <v>0.21210000000000001</v>
      </c>
      <c r="L634" s="3">
        <v>0.69</v>
      </c>
      <c r="M634" s="3">
        <v>0.25369999999999998</v>
      </c>
      <c r="N634" s="3">
        <v>22</v>
      </c>
      <c r="O634" s="3">
        <v>98</v>
      </c>
      <c r="P634" s="51">
        <v>120</v>
      </c>
    </row>
    <row r="635" spans="1:16" x14ac:dyDescent="0.35">
      <c r="A635" s="49">
        <v>634</v>
      </c>
      <c r="B635" s="50">
        <v>40572</v>
      </c>
      <c r="C635" s="3">
        <v>1</v>
      </c>
      <c r="D635" s="3">
        <v>0</v>
      </c>
      <c r="E635" s="3" t="s">
        <v>104</v>
      </c>
      <c r="F635" s="3">
        <v>16</v>
      </c>
      <c r="G635" s="3" t="b">
        <v>0</v>
      </c>
      <c r="H635" s="3" t="s">
        <v>106</v>
      </c>
      <c r="I635" s="3" t="s">
        <v>113</v>
      </c>
      <c r="J635" s="3">
        <v>0.24</v>
      </c>
      <c r="K635" s="3">
        <v>0.2424</v>
      </c>
      <c r="L635" s="3">
        <v>0.6</v>
      </c>
      <c r="M635" s="3">
        <v>0.16420000000000001</v>
      </c>
      <c r="N635" s="3">
        <v>19</v>
      </c>
      <c r="O635" s="3">
        <v>88</v>
      </c>
      <c r="P635" s="51">
        <v>107</v>
      </c>
    </row>
    <row r="636" spans="1:16" x14ac:dyDescent="0.35">
      <c r="A636" s="49">
        <v>635</v>
      </c>
      <c r="B636" s="50">
        <v>40572</v>
      </c>
      <c r="C636" s="3">
        <v>1</v>
      </c>
      <c r="D636" s="3">
        <v>0</v>
      </c>
      <c r="E636" s="3" t="s">
        <v>104</v>
      </c>
      <c r="F636" s="3">
        <v>17</v>
      </c>
      <c r="G636" s="3" t="b">
        <v>0</v>
      </c>
      <c r="H636" s="3" t="s">
        <v>106</v>
      </c>
      <c r="I636" s="3" t="s">
        <v>113</v>
      </c>
      <c r="J636" s="3">
        <v>0.24</v>
      </c>
      <c r="K636" s="3">
        <v>0.28789999999999999</v>
      </c>
      <c r="L636" s="3">
        <v>0.6</v>
      </c>
      <c r="M636" s="3">
        <v>0</v>
      </c>
      <c r="N636" s="3">
        <v>9</v>
      </c>
      <c r="O636" s="3">
        <v>82</v>
      </c>
      <c r="P636" s="51">
        <v>91</v>
      </c>
    </row>
    <row r="637" spans="1:16" x14ac:dyDescent="0.35">
      <c r="A637" s="49">
        <v>636</v>
      </c>
      <c r="B637" s="50">
        <v>40572</v>
      </c>
      <c r="C637" s="3">
        <v>1</v>
      </c>
      <c r="D637" s="3">
        <v>0</v>
      </c>
      <c r="E637" s="3" t="s">
        <v>104</v>
      </c>
      <c r="F637" s="3">
        <v>18</v>
      </c>
      <c r="G637" s="3" t="b">
        <v>0</v>
      </c>
      <c r="H637" s="3" t="s">
        <v>106</v>
      </c>
      <c r="I637" s="3" t="s">
        <v>113</v>
      </c>
      <c r="J637" s="3">
        <v>0.22</v>
      </c>
      <c r="K637" s="3">
        <v>0.2273</v>
      </c>
      <c r="L637" s="3">
        <v>0.69</v>
      </c>
      <c r="M637" s="3">
        <v>0.1343</v>
      </c>
      <c r="N637" s="3">
        <v>9</v>
      </c>
      <c r="O637" s="3">
        <v>59</v>
      </c>
      <c r="P637" s="51">
        <v>68</v>
      </c>
    </row>
    <row r="638" spans="1:16" x14ac:dyDescent="0.35">
      <c r="A638" s="49">
        <v>637</v>
      </c>
      <c r="B638" s="50">
        <v>40572</v>
      </c>
      <c r="C638" s="3">
        <v>1</v>
      </c>
      <c r="D638" s="3">
        <v>0</v>
      </c>
      <c r="E638" s="3" t="s">
        <v>104</v>
      </c>
      <c r="F638" s="3">
        <v>19</v>
      </c>
      <c r="G638" s="3" t="b">
        <v>0</v>
      </c>
      <c r="H638" s="3" t="s">
        <v>106</v>
      </c>
      <c r="I638" s="3" t="s">
        <v>114</v>
      </c>
      <c r="J638" s="3">
        <v>0.22</v>
      </c>
      <c r="K638" s="3">
        <v>0.21210000000000001</v>
      </c>
      <c r="L638" s="3">
        <v>0.69</v>
      </c>
      <c r="M638" s="3">
        <v>0.25369999999999998</v>
      </c>
      <c r="N638" s="3">
        <v>6</v>
      </c>
      <c r="O638" s="3">
        <v>52</v>
      </c>
      <c r="P638" s="51">
        <v>58</v>
      </c>
    </row>
    <row r="639" spans="1:16" x14ac:dyDescent="0.35">
      <c r="A639" s="49">
        <v>638</v>
      </c>
      <c r="B639" s="50">
        <v>40572</v>
      </c>
      <c r="C639" s="3">
        <v>1</v>
      </c>
      <c r="D639" s="3">
        <v>0</v>
      </c>
      <c r="E639" s="3" t="s">
        <v>104</v>
      </c>
      <c r="F639" s="3">
        <v>20</v>
      </c>
      <c r="G639" s="3" t="b">
        <v>0</v>
      </c>
      <c r="H639" s="3" t="s">
        <v>106</v>
      </c>
      <c r="I639" s="3" t="s">
        <v>113</v>
      </c>
      <c r="J639" s="3">
        <v>0.18</v>
      </c>
      <c r="K639" s="3">
        <v>0.21210000000000001</v>
      </c>
      <c r="L639" s="3">
        <v>0.74</v>
      </c>
      <c r="M639" s="3">
        <v>8.9599999999999999E-2</v>
      </c>
      <c r="N639" s="3">
        <v>1</v>
      </c>
      <c r="O639" s="3">
        <v>42</v>
      </c>
      <c r="P639" s="51">
        <v>43</v>
      </c>
    </row>
    <row r="640" spans="1:16" x14ac:dyDescent="0.35">
      <c r="A640" s="49">
        <v>639</v>
      </c>
      <c r="B640" s="50">
        <v>40572</v>
      </c>
      <c r="C640" s="3">
        <v>1</v>
      </c>
      <c r="D640" s="3">
        <v>0</v>
      </c>
      <c r="E640" s="3" t="s">
        <v>104</v>
      </c>
      <c r="F640" s="3">
        <v>21</v>
      </c>
      <c r="G640" s="3" t="b">
        <v>0</v>
      </c>
      <c r="H640" s="3" t="s">
        <v>106</v>
      </c>
      <c r="I640" s="3" t="s">
        <v>113</v>
      </c>
      <c r="J640" s="3">
        <v>0.18</v>
      </c>
      <c r="K640" s="3">
        <v>0.21210000000000001</v>
      </c>
      <c r="L640" s="3">
        <v>0.74</v>
      </c>
      <c r="M640" s="3">
        <v>8.9599999999999999E-2</v>
      </c>
      <c r="N640" s="3">
        <v>1</v>
      </c>
      <c r="O640" s="3">
        <v>35</v>
      </c>
      <c r="P640" s="51">
        <v>36</v>
      </c>
    </row>
    <row r="641" spans="1:16" x14ac:dyDescent="0.35">
      <c r="A641" s="49">
        <v>640</v>
      </c>
      <c r="B641" s="50">
        <v>40572</v>
      </c>
      <c r="C641" s="3">
        <v>1</v>
      </c>
      <c r="D641" s="3">
        <v>0</v>
      </c>
      <c r="E641" s="3" t="s">
        <v>104</v>
      </c>
      <c r="F641" s="3">
        <v>22</v>
      </c>
      <c r="G641" s="3" t="b">
        <v>0</v>
      </c>
      <c r="H641" s="3" t="s">
        <v>106</v>
      </c>
      <c r="I641" s="3" t="s">
        <v>113</v>
      </c>
      <c r="J641" s="3">
        <v>0.16</v>
      </c>
      <c r="K641" s="3">
        <v>0.19700000000000001</v>
      </c>
      <c r="L641" s="3">
        <v>0.8</v>
      </c>
      <c r="M641" s="3">
        <v>8.9599999999999999E-2</v>
      </c>
      <c r="N641" s="3">
        <v>4</v>
      </c>
      <c r="O641" s="3">
        <v>28</v>
      </c>
      <c r="P641" s="51">
        <v>32</v>
      </c>
    </row>
    <row r="642" spans="1:16" x14ac:dyDescent="0.35">
      <c r="A642" s="49">
        <v>641</v>
      </c>
      <c r="B642" s="50">
        <v>40572</v>
      </c>
      <c r="C642" s="3">
        <v>1</v>
      </c>
      <c r="D642" s="3">
        <v>0</v>
      </c>
      <c r="E642" s="3" t="s">
        <v>104</v>
      </c>
      <c r="F642" s="3">
        <v>23</v>
      </c>
      <c r="G642" s="3" t="b">
        <v>0</v>
      </c>
      <c r="H642" s="3" t="s">
        <v>106</v>
      </c>
      <c r="I642" s="3" t="s">
        <v>113</v>
      </c>
      <c r="J642" s="3">
        <v>0.16</v>
      </c>
      <c r="K642" s="3">
        <v>0.19700000000000001</v>
      </c>
      <c r="L642" s="3">
        <v>0.8</v>
      </c>
      <c r="M642" s="3">
        <v>8.9599999999999999E-2</v>
      </c>
      <c r="N642" s="3">
        <v>3</v>
      </c>
      <c r="O642" s="3">
        <v>30</v>
      </c>
      <c r="P642" s="51">
        <v>33</v>
      </c>
    </row>
    <row r="643" spans="1:16" x14ac:dyDescent="0.35">
      <c r="A643" s="49">
        <v>642</v>
      </c>
      <c r="B643" s="50">
        <v>40573</v>
      </c>
      <c r="C643" s="3">
        <v>1</v>
      </c>
      <c r="D643" s="3">
        <v>0</v>
      </c>
      <c r="E643" s="3" t="s">
        <v>104</v>
      </c>
      <c r="F643" s="3">
        <v>0</v>
      </c>
      <c r="G643" s="3" t="b">
        <v>0</v>
      </c>
      <c r="H643" s="3" t="s">
        <v>107</v>
      </c>
      <c r="I643" s="3" t="s">
        <v>113</v>
      </c>
      <c r="J643" s="3">
        <v>0.16</v>
      </c>
      <c r="K643" s="3">
        <v>0.18179999999999999</v>
      </c>
      <c r="L643" s="3">
        <v>0.8</v>
      </c>
      <c r="M643" s="3">
        <v>0.1045</v>
      </c>
      <c r="N643" s="3">
        <v>0</v>
      </c>
      <c r="O643" s="3">
        <v>33</v>
      </c>
      <c r="P643" s="51">
        <v>33</v>
      </c>
    </row>
    <row r="644" spans="1:16" x14ac:dyDescent="0.35">
      <c r="A644" s="49">
        <v>643</v>
      </c>
      <c r="B644" s="50">
        <v>40573</v>
      </c>
      <c r="C644" s="3">
        <v>1</v>
      </c>
      <c r="D644" s="3">
        <v>0</v>
      </c>
      <c r="E644" s="3" t="s">
        <v>104</v>
      </c>
      <c r="F644" s="3">
        <v>1</v>
      </c>
      <c r="G644" s="3" t="b">
        <v>0</v>
      </c>
      <c r="H644" s="3" t="s">
        <v>107</v>
      </c>
      <c r="I644" s="3" t="s">
        <v>113</v>
      </c>
      <c r="J644" s="3">
        <v>0.14000000000000001</v>
      </c>
      <c r="K644" s="3">
        <v>0.21210000000000001</v>
      </c>
      <c r="L644" s="3">
        <v>0.8</v>
      </c>
      <c r="M644" s="3">
        <v>0</v>
      </c>
      <c r="N644" s="3">
        <v>7</v>
      </c>
      <c r="O644" s="3">
        <v>22</v>
      </c>
      <c r="P644" s="51">
        <v>29</v>
      </c>
    </row>
    <row r="645" spans="1:16" x14ac:dyDescent="0.35">
      <c r="A645" s="49">
        <v>644</v>
      </c>
      <c r="B645" s="50">
        <v>40573</v>
      </c>
      <c r="C645" s="3">
        <v>1</v>
      </c>
      <c r="D645" s="3">
        <v>0</v>
      </c>
      <c r="E645" s="3" t="s">
        <v>104</v>
      </c>
      <c r="F645" s="3">
        <v>2</v>
      </c>
      <c r="G645" s="3" t="b">
        <v>0</v>
      </c>
      <c r="H645" s="3" t="s">
        <v>107</v>
      </c>
      <c r="I645" s="3" t="s">
        <v>113</v>
      </c>
      <c r="J645" s="3">
        <v>0.16</v>
      </c>
      <c r="K645" s="3">
        <v>0.2273</v>
      </c>
      <c r="L645" s="3">
        <v>0.8</v>
      </c>
      <c r="M645" s="3">
        <v>0</v>
      </c>
      <c r="N645" s="3">
        <v>1</v>
      </c>
      <c r="O645" s="3">
        <v>10</v>
      </c>
      <c r="P645" s="51">
        <v>11</v>
      </c>
    </row>
    <row r="646" spans="1:16" x14ac:dyDescent="0.35">
      <c r="A646" s="49">
        <v>645</v>
      </c>
      <c r="B646" s="50">
        <v>40573</v>
      </c>
      <c r="C646" s="3">
        <v>1</v>
      </c>
      <c r="D646" s="3">
        <v>0</v>
      </c>
      <c r="E646" s="3" t="s">
        <v>104</v>
      </c>
      <c r="F646" s="3">
        <v>3</v>
      </c>
      <c r="G646" s="3" t="b">
        <v>0</v>
      </c>
      <c r="H646" s="3" t="s">
        <v>107</v>
      </c>
      <c r="I646" s="3" t="s">
        <v>113</v>
      </c>
      <c r="J646" s="3">
        <v>0.14000000000000001</v>
      </c>
      <c r="K646" s="3">
        <v>0.21210000000000001</v>
      </c>
      <c r="L646" s="3">
        <v>0.93</v>
      </c>
      <c r="M646" s="3">
        <v>0</v>
      </c>
      <c r="N646" s="3">
        <v>1</v>
      </c>
      <c r="O646" s="3">
        <v>7</v>
      </c>
      <c r="P646" s="51">
        <v>8</v>
      </c>
    </row>
    <row r="647" spans="1:16" x14ac:dyDescent="0.35">
      <c r="A647" s="49">
        <v>646</v>
      </c>
      <c r="B647" s="50">
        <v>40573</v>
      </c>
      <c r="C647" s="3">
        <v>1</v>
      </c>
      <c r="D647" s="3">
        <v>0</v>
      </c>
      <c r="E647" s="3" t="s">
        <v>104</v>
      </c>
      <c r="F647" s="3">
        <v>4</v>
      </c>
      <c r="G647" s="3" t="b">
        <v>0</v>
      </c>
      <c r="H647" s="3" t="s">
        <v>107</v>
      </c>
      <c r="I647" s="3" t="s">
        <v>113</v>
      </c>
      <c r="J647" s="3">
        <v>0.14000000000000001</v>
      </c>
      <c r="K647" s="3">
        <v>0.21210000000000001</v>
      </c>
      <c r="L647" s="3">
        <v>0.93</v>
      </c>
      <c r="M647" s="3">
        <v>0</v>
      </c>
      <c r="N647" s="3">
        <v>0</v>
      </c>
      <c r="O647" s="3">
        <v>1</v>
      </c>
      <c r="P647" s="51">
        <v>1</v>
      </c>
    </row>
    <row r="648" spans="1:16" x14ac:dyDescent="0.35">
      <c r="A648" s="49">
        <v>647</v>
      </c>
      <c r="B648" s="50">
        <v>40573</v>
      </c>
      <c r="C648" s="3">
        <v>1</v>
      </c>
      <c r="D648" s="3">
        <v>0</v>
      </c>
      <c r="E648" s="3" t="s">
        <v>104</v>
      </c>
      <c r="F648" s="3">
        <v>5</v>
      </c>
      <c r="G648" s="3" t="b">
        <v>0</v>
      </c>
      <c r="H648" s="3" t="s">
        <v>107</v>
      </c>
      <c r="I648" s="3" t="s">
        <v>113</v>
      </c>
      <c r="J648" s="3">
        <v>0.14000000000000001</v>
      </c>
      <c r="K648" s="3">
        <v>0.21210000000000001</v>
      </c>
      <c r="L648" s="3">
        <v>0.86</v>
      </c>
      <c r="M648" s="3">
        <v>0</v>
      </c>
      <c r="N648" s="3">
        <v>0</v>
      </c>
      <c r="O648" s="3">
        <v>3</v>
      </c>
      <c r="P648" s="51">
        <v>3</v>
      </c>
    </row>
    <row r="649" spans="1:16" x14ac:dyDescent="0.35">
      <c r="A649" s="49">
        <v>648</v>
      </c>
      <c r="B649" s="50">
        <v>40573</v>
      </c>
      <c r="C649" s="3">
        <v>1</v>
      </c>
      <c r="D649" s="3">
        <v>0</v>
      </c>
      <c r="E649" s="3" t="s">
        <v>104</v>
      </c>
      <c r="F649" s="3">
        <v>7</v>
      </c>
      <c r="G649" s="3" t="b">
        <v>0</v>
      </c>
      <c r="H649" s="3" t="s">
        <v>107</v>
      </c>
      <c r="I649" s="3" t="s">
        <v>113</v>
      </c>
      <c r="J649" s="3">
        <v>0.14000000000000001</v>
      </c>
      <c r="K649" s="3">
        <v>0.21210000000000001</v>
      </c>
      <c r="L649" s="3">
        <v>0.86</v>
      </c>
      <c r="M649" s="3">
        <v>0</v>
      </c>
      <c r="N649" s="3">
        <v>0</v>
      </c>
      <c r="O649" s="3">
        <v>3</v>
      </c>
      <c r="P649" s="51">
        <v>3</v>
      </c>
    </row>
    <row r="650" spans="1:16" x14ac:dyDescent="0.35">
      <c r="A650" s="49">
        <v>649</v>
      </c>
      <c r="B650" s="50">
        <v>40573</v>
      </c>
      <c r="C650" s="3">
        <v>1</v>
      </c>
      <c r="D650" s="3">
        <v>0</v>
      </c>
      <c r="E650" s="3" t="s">
        <v>104</v>
      </c>
      <c r="F650" s="3">
        <v>8</v>
      </c>
      <c r="G650" s="3" t="b">
        <v>0</v>
      </c>
      <c r="H650" s="3" t="s">
        <v>107</v>
      </c>
      <c r="I650" s="3" t="s">
        <v>114</v>
      </c>
      <c r="J650" s="3">
        <v>0.14000000000000001</v>
      </c>
      <c r="K650" s="3">
        <v>0.21210000000000001</v>
      </c>
      <c r="L650" s="3">
        <v>0.86</v>
      </c>
      <c r="M650" s="3">
        <v>0</v>
      </c>
      <c r="N650" s="3">
        <v>1</v>
      </c>
      <c r="O650" s="3">
        <v>11</v>
      </c>
      <c r="P650" s="51">
        <v>12</v>
      </c>
    </row>
    <row r="651" spans="1:16" x14ac:dyDescent="0.35">
      <c r="A651" s="49">
        <v>650</v>
      </c>
      <c r="B651" s="50">
        <v>40573</v>
      </c>
      <c r="C651" s="3">
        <v>1</v>
      </c>
      <c r="D651" s="3">
        <v>0</v>
      </c>
      <c r="E651" s="3" t="s">
        <v>104</v>
      </c>
      <c r="F651" s="3">
        <v>9</v>
      </c>
      <c r="G651" s="3" t="b">
        <v>0</v>
      </c>
      <c r="H651" s="3" t="s">
        <v>107</v>
      </c>
      <c r="I651" s="3" t="s">
        <v>114</v>
      </c>
      <c r="J651" s="3">
        <v>0.16</v>
      </c>
      <c r="K651" s="3">
        <v>0.2273</v>
      </c>
      <c r="L651" s="3">
        <v>0.8</v>
      </c>
      <c r="M651" s="3">
        <v>0</v>
      </c>
      <c r="N651" s="3">
        <v>4</v>
      </c>
      <c r="O651" s="3">
        <v>34</v>
      </c>
      <c r="P651" s="51">
        <v>38</v>
      </c>
    </row>
    <row r="652" spans="1:16" x14ac:dyDescent="0.35">
      <c r="A652" s="49">
        <v>651</v>
      </c>
      <c r="B652" s="50">
        <v>40573</v>
      </c>
      <c r="C652" s="3">
        <v>1</v>
      </c>
      <c r="D652" s="3">
        <v>0</v>
      </c>
      <c r="E652" s="3" t="s">
        <v>104</v>
      </c>
      <c r="F652" s="3">
        <v>10</v>
      </c>
      <c r="G652" s="3" t="b">
        <v>0</v>
      </c>
      <c r="H652" s="3" t="s">
        <v>107</v>
      </c>
      <c r="I652" s="3" t="s">
        <v>114</v>
      </c>
      <c r="J652" s="3">
        <v>0.18</v>
      </c>
      <c r="K652" s="3">
        <v>0.2424</v>
      </c>
      <c r="L652" s="3">
        <v>0.8</v>
      </c>
      <c r="M652" s="3">
        <v>0</v>
      </c>
      <c r="N652" s="3">
        <v>7</v>
      </c>
      <c r="O652" s="3">
        <v>57</v>
      </c>
      <c r="P652" s="51">
        <v>64</v>
      </c>
    </row>
    <row r="653" spans="1:16" x14ac:dyDescent="0.35">
      <c r="A653" s="49">
        <v>652</v>
      </c>
      <c r="B653" s="50">
        <v>40573</v>
      </c>
      <c r="C653" s="3">
        <v>1</v>
      </c>
      <c r="D653" s="3">
        <v>0</v>
      </c>
      <c r="E653" s="3" t="s">
        <v>104</v>
      </c>
      <c r="F653" s="3">
        <v>11</v>
      </c>
      <c r="G653" s="3" t="b">
        <v>0</v>
      </c>
      <c r="H653" s="3" t="s">
        <v>107</v>
      </c>
      <c r="I653" s="3" t="s">
        <v>113</v>
      </c>
      <c r="J653" s="3">
        <v>0.22</v>
      </c>
      <c r="K653" s="3">
        <v>0.2727</v>
      </c>
      <c r="L653" s="3">
        <v>0.75</v>
      </c>
      <c r="M653" s="3">
        <v>0</v>
      </c>
      <c r="N653" s="3">
        <v>9</v>
      </c>
      <c r="O653" s="3">
        <v>50</v>
      </c>
      <c r="P653" s="51">
        <v>59</v>
      </c>
    </row>
    <row r="654" spans="1:16" x14ac:dyDescent="0.35">
      <c r="A654" s="49">
        <v>653</v>
      </c>
      <c r="B654" s="50">
        <v>40573</v>
      </c>
      <c r="C654" s="3">
        <v>1</v>
      </c>
      <c r="D654" s="3">
        <v>0</v>
      </c>
      <c r="E654" s="3" t="s">
        <v>104</v>
      </c>
      <c r="F654" s="3">
        <v>12</v>
      </c>
      <c r="G654" s="3" t="b">
        <v>0</v>
      </c>
      <c r="H654" s="3" t="s">
        <v>107</v>
      </c>
      <c r="I654" s="3" t="s">
        <v>113</v>
      </c>
      <c r="J654" s="3">
        <v>0.3</v>
      </c>
      <c r="K654" s="3">
        <v>0.31819999999999998</v>
      </c>
      <c r="L654" s="3">
        <v>0.52</v>
      </c>
      <c r="M654" s="3">
        <v>0.1045</v>
      </c>
      <c r="N654" s="3">
        <v>10</v>
      </c>
      <c r="O654" s="3">
        <v>87</v>
      </c>
      <c r="P654" s="51">
        <v>97</v>
      </c>
    </row>
    <row r="655" spans="1:16" x14ac:dyDescent="0.35">
      <c r="A655" s="49">
        <v>654</v>
      </c>
      <c r="B655" s="50">
        <v>40573</v>
      </c>
      <c r="C655" s="3">
        <v>1</v>
      </c>
      <c r="D655" s="3">
        <v>0</v>
      </c>
      <c r="E655" s="3" t="s">
        <v>104</v>
      </c>
      <c r="F655" s="3">
        <v>13</v>
      </c>
      <c r="G655" s="3" t="b">
        <v>0</v>
      </c>
      <c r="H655" s="3" t="s">
        <v>107</v>
      </c>
      <c r="I655" s="3" t="s">
        <v>113</v>
      </c>
      <c r="J655" s="3">
        <v>0.28000000000000003</v>
      </c>
      <c r="K655" s="3">
        <v>0.28789999999999999</v>
      </c>
      <c r="L655" s="3">
        <v>0.61</v>
      </c>
      <c r="M655" s="3">
        <v>0.1045</v>
      </c>
      <c r="N655" s="3">
        <v>13</v>
      </c>
      <c r="O655" s="3">
        <v>71</v>
      </c>
      <c r="P655" s="51">
        <v>84</v>
      </c>
    </row>
    <row r="656" spans="1:16" x14ac:dyDescent="0.35">
      <c r="A656" s="49">
        <v>655</v>
      </c>
      <c r="B656" s="50">
        <v>40573</v>
      </c>
      <c r="C656" s="3">
        <v>1</v>
      </c>
      <c r="D656" s="3">
        <v>0</v>
      </c>
      <c r="E656" s="3" t="s">
        <v>104</v>
      </c>
      <c r="F656" s="3">
        <v>14</v>
      </c>
      <c r="G656" s="3" t="b">
        <v>0</v>
      </c>
      <c r="H656" s="3" t="s">
        <v>107</v>
      </c>
      <c r="I656" s="3" t="s">
        <v>113</v>
      </c>
      <c r="J656" s="3">
        <v>0.28000000000000003</v>
      </c>
      <c r="K656" s="3">
        <v>0.30299999999999999</v>
      </c>
      <c r="L656" s="3">
        <v>0.61</v>
      </c>
      <c r="M656" s="3">
        <v>8.9599999999999999E-2</v>
      </c>
      <c r="N656" s="3">
        <v>18</v>
      </c>
      <c r="O656" s="3">
        <v>104</v>
      </c>
      <c r="P656" s="51">
        <v>122</v>
      </c>
    </row>
    <row r="657" spans="1:16" x14ac:dyDescent="0.35">
      <c r="A657" s="49">
        <v>656</v>
      </c>
      <c r="B657" s="50">
        <v>40573</v>
      </c>
      <c r="C657" s="3">
        <v>1</v>
      </c>
      <c r="D657" s="3">
        <v>0</v>
      </c>
      <c r="E657" s="3" t="s">
        <v>104</v>
      </c>
      <c r="F657" s="3">
        <v>15</v>
      </c>
      <c r="G657" s="3" t="b">
        <v>0</v>
      </c>
      <c r="H657" s="3" t="s">
        <v>107</v>
      </c>
      <c r="I657" s="3" t="s">
        <v>113</v>
      </c>
      <c r="J657" s="3">
        <v>0.3</v>
      </c>
      <c r="K657" s="3">
        <v>0.33329999999999999</v>
      </c>
      <c r="L657" s="3">
        <v>0.56000000000000005</v>
      </c>
      <c r="M657" s="3">
        <v>0</v>
      </c>
      <c r="N657" s="3">
        <v>14</v>
      </c>
      <c r="O657" s="3">
        <v>95</v>
      </c>
      <c r="P657" s="51">
        <v>109</v>
      </c>
    </row>
    <row r="658" spans="1:16" x14ac:dyDescent="0.35">
      <c r="A658" s="49">
        <v>657</v>
      </c>
      <c r="B658" s="50">
        <v>40573</v>
      </c>
      <c r="C658" s="3">
        <v>1</v>
      </c>
      <c r="D658" s="3">
        <v>0</v>
      </c>
      <c r="E658" s="3" t="s">
        <v>104</v>
      </c>
      <c r="F658" s="3">
        <v>16</v>
      </c>
      <c r="G658" s="3" t="b">
        <v>0</v>
      </c>
      <c r="H658" s="3" t="s">
        <v>107</v>
      </c>
      <c r="I658" s="3" t="s">
        <v>113</v>
      </c>
      <c r="J658" s="3">
        <v>0.3</v>
      </c>
      <c r="K658" s="3">
        <v>0.33329999999999999</v>
      </c>
      <c r="L658" s="3">
        <v>0.56000000000000005</v>
      </c>
      <c r="M658" s="3">
        <v>0</v>
      </c>
      <c r="N658" s="3">
        <v>19</v>
      </c>
      <c r="O658" s="3">
        <v>104</v>
      </c>
      <c r="P658" s="51">
        <v>123</v>
      </c>
    </row>
    <row r="659" spans="1:16" x14ac:dyDescent="0.35">
      <c r="A659" s="49">
        <v>658</v>
      </c>
      <c r="B659" s="50">
        <v>40573</v>
      </c>
      <c r="C659" s="3">
        <v>1</v>
      </c>
      <c r="D659" s="3">
        <v>0</v>
      </c>
      <c r="E659" s="3" t="s">
        <v>104</v>
      </c>
      <c r="F659" s="3">
        <v>17</v>
      </c>
      <c r="G659" s="3" t="b">
        <v>0</v>
      </c>
      <c r="H659" s="3" t="s">
        <v>107</v>
      </c>
      <c r="I659" s="3" t="s">
        <v>113</v>
      </c>
      <c r="J659" s="3">
        <v>0.3</v>
      </c>
      <c r="K659" s="3">
        <v>0.28789999999999999</v>
      </c>
      <c r="L659" s="3">
        <v>0.56000000000000005</v>
      </c>
      <c r="M659" s="3">
        <v>0.19400000000000001</v>
      </c>
      <c r="N659" s="3">
        <v>6</v>
      </c>
      <c r="O659" s="3">
        <v>71</v>
      </c>
      <c r="P659" s="51">
        <v>77</v>
      </c>
    </row>
    <row r="660" spans="1:16" x14ac:dyDescent="0.35">
      <c r="A660" s="49">
        <v>659</v>
      </c>
      <c r="B660" s="50">
        <v>40573</v>
      </c>
      <c r="C660" s="3">
        <v>1</v>
      </c>
      <c r="D660" s="3">
        <v>0</v>
      </c>
      <c r="E660" s="3" t="s">
        <v>104</v>
      </c>
      <c r="F660" s="3">
        <v>18</v>
      </c>
      <c r="G660" s="3" t="b">
        <v>0</v>
      </c>
      <c r="H660" s="3" t="s">
        <v>107</v>
      </c>
      <c r="I660" s="3" t="s">
        <v>113</v>
      </c>
      <c r="J660" s="3">
        <v>0.26</v>
      </c>
      <c r="K660" s="3">
        <v>0.2576</v>
      </c>
      <c r="L660" s="3">
        <v>0.65</v>
      </c>
      <c r="M660" s="3">
        <v>0.16420000000000001</v>
      </c>
      <c r="N660" s="3">
        <v>8</v>
      </c>
      <c r="O660" s="3">
        <v>57</v>
      </c>
      <c r="P660" s="51">
        <v>65</v>
      </c>
    </row>
    <row r="661" spans="1:16" x14ac:dyDescent="0.35">
      <c r="A661" s="49">
        <v>660</v>
      </c>
      <c r="B661" s="50">
        <v>40573</v>
      </c>
      <c r="C661" s="3">
        <v>1</v>
      </c>
      <c r="D661" s="3">
        <v>0</v>
      </c>
      <c r="E661" s="3" t="s">
        <v>104</v>
      </c>
      <c r="F661" s="3">
        <v>19</v>
      </c>
      <c r="G661" s="3" t="b">
        <v>0</v>
      </c>
      <c r="H661" s="3" t="s">
        <v>107</v>
      </c>
      <c r="I661" s="3" t="s">
        <v>113</v>
      </c>
      <c r="J661" s="3">
        <v>0.26</v>
      </c>
      <c r="K661" s="3">
        <v>0.2576</v>
      </c>
      <c r="L661" s="3">
        <v>0.65</v>
      </c>
      <c r="M661" s="3">
        <v>0.19400000000000001</v>
      </c>
      <c r="N661" s="3">
        <v>9</v>
      </c>
      <c r="O661" s="3">
        <v>46</v>
      </c>
      <c r="P661" s="51">
        <v>55</v>
      </c>
    </row>
    <row r="662" spans="1:16" x14ac:dyDescent="0.35">
      <c r="A662" s="49">
        <v>661</v>
      </c>
      <c r="B662" s="50">
        <v>40573</v>
      </c>
      <c r="C662" s="3">
        <v>1</v>
      </c>
      <c r="D662" s="3">
        <v>0</v>
      </c>
      <c r="E662" s="3" t="s">
        <v>104</v>
      </c>
      <c r="F662" s="3">
        <v>20</v>
      </c>
      <c r="G662" s="3" t="b">
        <v>0</v>
      </c>
      <c r="H662" s="3" t="s">
        <v>107</v>
      </c>
      <c r="I662" s="3" t="s">
        <v>114</v>
      </c>
      <c r="J662" s="3">
        <v>0.26</v>
      </c>
      <c r="K662" s="3">
        <v>0.2727</v>
      </c>
      <c r="L662" s="3">
        <v>0.65</v>
      </c>
      <c r="M662" s="3">
        <v>0.1045</v>
      </c>
      <c r="N662" s="3">
        <v>3</v>
      </c>
      <c r="O662" s="3">
        <v>30</v>
      </c>
      <c r="P662" s="51">
        <v>33</v>
      </c>
    </row>
    <row r="663" spans="1:16" x14ac:dyDescent="0.35">
      <c r="A663" s="49">
        <v>662</v>
      </c>
      <c r="B663" s="50">
        <v>40573</v>
      </c>
      <c r="C663" s="3">
        <v>1</v>
      </c>
      <c r="D663" s="3">
        <v>0</v>
      </c>
      <c r="E663" s="3" t="s">
        <v>104</v>
      </c>
      <c r="F663" s="3">
        <v>21</v>
      </c>
      <c r="G663" s="3" t="b">
        <v>0</v>
      </c>
      <c r="H663" s="3" t="s">
        <v>107</v>
      </c>
      <c r="I663" s="3" t="s">
        <v>114</v>
      </c>
      <c r="J663" s="3">
        <v>0.24</v>
      </c>
      <c r="K663" s="3">
        <v>0.2424</v>
      </c>
      <c r="L663" s="3">
        <v>0.7</v>
      </c>
      <c r="M663" s="3">
        <v>0.16420000000000001</v>
      </c>
      <c r="N663" s="3">
        <v>3</v>
      </c>
      <c r="O663" s="3">
        <v>25</v>
      </c>
      <c r="P663" s="51">
        <v>28</v>
      </c>
    </row>
    <row r="664" spans="1:16" x14ac:dyDescent="0.35">
      <c r="A664" s="49">
        <v>663</v>
      </c>
      <c r="B664" s="50">
        <v>40573</v>
      </c>
      <c r="C664" s="3">
        <v>1</v>
      </c>
      <c r="D664" s="3">
        <v>0</v>
      </c>
      <c r="E664" s="3" t="s">
        <v>104</v>
      </c>
      <c r="F664" s="3">
        <v>22</v>
      </c>
      <c r="G664" s="3" t="b">
        <v>0</v>
      </c>
      <c r="H664" s="3" t="s">
        <v>107</v>
      </c>
      <c r="I664" s="3" t="s">
        <v>114</v>
      </c>
      <c r="J664" s="3">
        <v>0.24</v>
      </c>
      <c r="K664" s="3">
        <v>0.2273</v>
      </c>
      <c r="L664" s="3">
        <v>0.7</v>
      </c>
      <c r="M664" s="3">
        <v>0.19400000000000001</v>
      </c>
      <c r="N664" s="3">
        <v>2</v>
      </c>
      <c r="O664" s="3">
        <v>19</v>
      </c>
      <c r="P664" s="51">
        <v>21</v>
      </c>
    </row>
    <row r="665" spans="1:16" x14ac:dyDescent="0.35">
      <c r="A665" s="49">
        <v>664</v>
      </c>
      <c r="B665" s="50">
        <v>40573</v>
      </c>
      <c r="C665" s="3">
        <v>1</v>
      </c>
      <c r="D665" s="3">
        <v>0</v>
      </c>
      <c r="E665" s="3" t="s">
        <v>104</v>
      </c>
      <c r="F665" s="3">
        <v>23</v>
      </c>
      <c r="G665" s="3" t="b">
        <v>0</v>
      </c>
      <c r="H665" s="3" t="s">
        <v>107</v>
      </c>
      <c r="I665" s="3" t="s">
        <v>114</v>
      </c>
      <c r="J665" s="3">
        <v>0.24</v>
      </c>
      <c r="K665" s="3">
        <v>0.21210000000000001</v>
      </c>
      <c r="L665" s="3">
        <v>0.65</v>
      </c>
      <c r="M665" s="3">
        <v>0.28360000000000002</v>
      </c>
      <c r="N665" s="3">
        <v>5</v>
      </c>
      <c r="O665" s="3">
        <v>16</v>
      </c>
      <c r="P665" s="51">
        <v>21</v>
      </c>
    </row>
    <row r="666" spans="1:16" x14ac:dyDescent="0.35">
      <c r="A666" s="49">
        <v>665</v>
      </c>
      <c r="B666" s="50">
        <v>40574</v>
      </c>
      <c r="C666" s="3">
        <v>1</v>
      </c>
      <c r="D666" s="3">
        <v>0</v>
      </c>
      <c r="E666" s="3" t="s">
        <v>104</v>
      </c>
      <c r="F666" s="3">
        <v>0</v>
      </c>
      <c r="G666" s="3" t="b">
        <v>0</v>
      </c>
      <c r="H666" s="3" t="s">
        <v>108</v>
      </c>
      <c r="I666" s="3" t="s">
        <v>114</v>
      </c>
      <c r="J666" s="3">
        <v>0.24</v>
      </c>
      <c r="K666" s="3">
        <v>0.2273</v>
      </c>
      <c r="L666" s="3">
        <v>0.65</v>
      </c>
      <c r="M666" s="3">
        <v>0.22389999999999999</v>
      </c>
      <c r="N666" s="3">
        <v>1</v>
      </c>
      <c r="O666" s="3">
        <v>6</v>
      </c>
      <c r="P666" s="51">
        <v>7</v>
      </c>
    </row>
    <row r="667" spans="1:16" x14ac:dyDescent="0.35">
      <c r="A667" s="49">
        <v>666</v>
      </c>
      <c r="B667" s="50">
        <v>40574</v>
      </c>
      <c r="C667" s="3">
        <v>1</v>
      </c>
      <c r="D667" s="3">
        <v>0</v>
      </c>
      <c r="E667" s="3" t="s">
        <v>104</v>
      </c>
      <c r="F667" s="3">
        <v>1</v>
      </c>
      <c r="G667" s="3" t="b">
        <v>0</v>
      </c>
      <c r="H667" s="3" t="s">
        <v>108</v>
      </c>
      <c r="I667" s="3" t="s">
        <v>113</v>
      </c>
      <c r="J667" s="3">
        <v>0.22</v>
      </c>
      <c r="K667" s="3">
        <v>0.21210000000000001</v>
      </c>
      <c r="L667" s="3">
        <v>0.64</v>
      </c>
      <c r="M667" s="3">
        <v>0.25369999999999998</v>
      </c>
      <c r="N667" s="3">
        <v>2</v>
      </c>
      <c r="O667" s="3">
        <v>5</v>
      </c>
      <c r="P667" s="51">
        <v>7</v>
      </c>
    </row>
    <row r="668" spans="1:16" x14ac:dyDescent="0.35">
      <c r="A668" s="49">
        <v>667</v>
      </c>
      <c r="B668" s="50">
        <v>40574</v>
      </c>
      <c r="C668" s="3">
        <v>1</v>
      </c>
      <c r="D668" s="3">
        <v>0</v>
      </c>
      <c r="E668" s="3" t="s">
        <v>104</v>
      </c>
      <c r="F668" s="3">
        <v>2</v>
      </c>
      <c r="G668" s="3" t="b">
        <v>0</v>
      </c>
      <c r="H668" s="3" t="s">
        <v>108</v>
      </c>
      <c r="I668" s="3" t="s">
        <v>113</v>
      </c>
      <c r="J668" s="3">
        <v>0.22</v>
      </c>
      <c r="K668" s="3">
        <v>0.2273</v>
      </c>
      <c r="L668" s="3">
        <v>0.64</v>
      </c>
      <c r="M668" s="3">
        <v>0.19400000000000001</v>
      </c>
      <c r="N668" s="3">
        <v>0</v>
      </c>
      <c r="O668" s="3">
        <v>1</v>
      </c>
      <c r="P668" s="51">
        <v>1</v>
      </c>
    </row>
    <row r="669" spans="1:16" x14ac:dyDescent="0.35">
      <c r="A669" s="49">
        <v>668</v>
      </c>
      <c r="B669" s="50">
        <v>40574</v>
      </c>
      <c r="C669" s="3">
        <v>1</v>
      </c>
      <c r="D669" s="3">
        <v>0</v>
      </c>
      <c r="E669" s="3" t="s">
        <v>104</v>
      </c>
      <c r="F669" s="3">
        <v>3</v>
      </c>
      <c r="G669" s="3" t="b">
        <v>0</v>
      </c>
      <c r="H669" s="3" t="s">
        <v>108</v>
      </c>
      <c r="I669" s="3" t="s">
        <v>113</v>
      </c>
      <c r="J669" s="3">
        <v>0.22</v>
      </c>
      <c r="K669" s="3">
        <v>0.2273</v>
      </c>
      <c r="L669" s="3">
        <v>0.64</v>
      </c>
      <c r="M669" s="3">
        <v>0.19400000000000001</v>
      </c>
      <c r="N669" s="3">
        <v>0</v>
      </c>
      <c r="O669" s="3">
        <v>2</v>
      </c>
      <c r="P669" s="51">
        <v>2</v>
      </c>
    </row>
    <row r="670" spans="1:16" x14ac:dyDescent="0.35">
      <c r="A670" s="49">
        <v>669</v>
      </c>
      <c r="B670" s="50">
        <v>40574</v>
      </c>
      <c r="C670" s="3">
        <v>1</v>
      </c>
      <c r="D670" s="3">
        <v>0</v>
      </c>
      <c r="E670" s="3" t="s">
        <v>104</v>
      </c>
      <c r="F670" s="3">
        <v>4</v>
      </c>
      <c r="G670" s="3" t="b">
        <v>0</v>
      </c>
      <c r="H670" s="3" t="s">
        <v>108</v>
      </c>
      <c r="I670" s="3" t="s">
        <v>113</v>
      </c>
      <c r="J670" s="3">
        <v>0.2</v>
      </c>
      <c r="K670" s="3">
        <v>0.19700000000000001</v>
      </c>
      <c r="L670" s="3">
        <v>0.59</v>
      </c>
      <c r="M670" s="3">
        <v>0.22389999999999999</v>
      </c>
      <c r="N670" s="3">
        <v>0</v>
      </c>
      <c r="O670" s="3">
        <v>2</v>
      </c>
      <c r="P670" s="51">
        <v>2</v>
      </c>
    </row>
    <row r="671" spans="1:16" x14ac:dyDescent="0.35">
      <c r="A671" s="49">
        <v>670</v>
      </c>
      <c r="B671" s="50">
        <v>40574</v>
      </c>
      <c r="C671" s="3">
        <v>1</v>
      </c>
      <c r="D671" s="3">
        <v>0</v>
      </c>
      <c r="E671" s="3" t="s">
        <v>104</v>
      </c>
      <c r="F671" s="3">
        <v>5</v>
      </c>
      <c r="G671" s="3" t="b">
        <v>0</v>
      </c>
      <c r="H671" s="3" t="s">
        <v>108</v>
      </c>
      <c r="I671" s="3" t="s">
        <v>113</v>
      </c>
      <c r="J671" s="3">
        <v>0.18</v>
      </c>
      <c r="K671" s="3">
        <v>0.16669999999999999</v>
      </c>
      <c r="L671" s="3">
        <v>0.64</v>
      </c>
      <c r="M671" s="3">
        <v>0.28360000000000002</v>
      </c>
      <c r="N671" s="3">
        <v>0</v>
      </c>
      <c r="O671" s="3">
        <v>8</v>
      </c>
      <c r="P671" s="51">
        <v>8</v>
      </c>
    </row>
    <row r="672" spans="1:16" x14ac:dyDescent="0.35">
      <c r="A672" s="49">
        <v>671</v>
      </c>
      <c r="B672" s="50">
        <v>40574</v>
      </c>
      <c r="C672" s="3">
        <v>1</v>
      </c>
      <c r="D672" s="3">
        <v>0</v>
      </c>
      <c r="E672" s="3" t="s">
        <v>104</v>
      </c>
      <c r="F672" s="3">
        <v>6</v>
      </c>
      <c r="G672" s="3" t="b">
        <v>0</v>
      </c>
      <c r="H672" s="3" t="s">
        <v>108</v>
      </c>
      <c r="I672" s="3" t="s">
        <v>113</v>
      </c>
      <c r="J672" s="3">
        <v>0.16</v>
      </c>
      <c r="K672" s="3">
        <v>0.13639999999999999</v>
      </c>
      <c r="L672" s="3">
        <v>0.69</v>
      </c>
      <c r="M672" s="3">
        <v>0.32840000000000003</v>
      </c>
      <c r="N672" s="3">
        <v>0</v>
      </c>
      <c r="O672" s="3">
        <v>37</v>
      </c>
      <c r="P672" s="51">
        <v>37</v>
      </c>
    </row>
    <row r="673" spans="1:16" x14ac:dyDescent="0.35">
      <c r="A673" s="49">
        <v>672</v>
      </c>
      <c r="B673" s="50">
        <v>40574</v>
      </c>
      <c r="C673" s="3">
        <v>1</v>
      </c>
      <c r="D673" s="3">
        <v>0</v>
      </c>
      <c r="E673" s="3" t="s">
        <v>104</v>
      </c>
      <c r="F673" s="3">
        <v>7</v>
      </c>
      <c r="G673" s="3" t="b">
        <v>0</v>
      </c>
      <c r="H673" s="3" t="s">
        <v>108</v>
      </c>
      <c r="I673" s="3" t="s">
        <v>114</v>
      </c>
      <c r="J673" s="3">
        <v>0.16</v>
      </c>
      <c r="K673" s="3">
        <v>0.13639999999999999</v>
      </c>
      <c r="L673" s="3">
        <v>0.64</v>
      </c>
      <c r="M673" s="3">
        <v>0.28360000000000002</v>
      </c>
      <c r="N673" s="3">
        <v>1</v>
      </c>
      <c r="O673" s="3">
        <v>71</v>
      </c>
      <c r="P673" s="51">
        <v>72</v>
      </c>
    </row>
    <row r="674" spans="1:16" x14ac:dyDescent="0.35">
      <c r="A674" s="49">
        <v>673</v>
      </c>
      <c r="B674" s="50">
        <v>40574</v>
      </c>
      <c r="C674" s="3">
        <v>1</v>
      </c>
      <c r="D674" s="3">
        <v>0</v>
      </c>
      <c r="E674" s="3" t="s">
        <v>104</v>
      </c>
      <c r="F674" s="3">
        <v>8</v>
      </c>
      <c r="G674" s="3" t="b">
        <v>0</v>
      </c>
      <c r="H674" s="3" t="s">
        <v>108</v>
      </c>
      <c r="I674" s="3" t="s">
        <v>114</v>
      </c>
      <c r="J674" s="3">
        <v>0.16</v>
      </c>
      <c r="K674" s="3">
        <v>0.13639999999999999</v>
      </c>
      <c r="L674" s="3">
        <v>0.59</v>
      </c>
      <c r="M674" s="3">
        <v>0.28360000000000002</v>
      </c>
      <c r="N674" s="3">
        <v>3</v>
      </c>
      <c r="O674" s="3">
        <v>182</v>
      </c>
      <c r="P674" s="51">
        <v>185</v>
      </c>
    </row>
    <row r="675" spans="1:16" x14ac:dyDescent="0.35">
      <c r="A675" s="49">
        <v>674</v>
      </c>
      <c r="B675" s="50">
        <v>40574</v>
      </c>
      <c r="C675" s="3">
        <v>1</v>
      </c>
      <c r="D675" s="3">
        <v>0</v>
      </c>
      <c r="E675" s="3" t="s">
        <v>104</v>
      </c>
      <c r="F675" s="3">
        <v>9</v>
      </c>
      <c r="G675" s="3" t="b">
        <v>0</v>
      </c>
      <c r="H675" s="3" t="s">
        <v>108</v>
      </c>
      <c r="I675" s="3" t="s">
        <v>114</v>
      </c>
      <c r="J675" s="3">
        <v>0.16</v>
      </c>
      <c r="K675" s="3">
        <v>0.13639999999999999</v>
      </c>
      <c r="L675" s="3">
        <v>0.59</v>
      </c>
      <c r="M675" s="3">
        <v>0.29849999999999999</v>
      </c>
      <c r="N675" s="3">
        <v>0</v>
      </c>
      <c r="O675" s="3">
        <v>112</v>
      </c>
      <c r="P675" s="51">
        <v>112</v>
      </c>
    </row>
    <row r="676" spans="1:16" x14ac:dyDescent="0.35">
      <c r="A676" s="49">
        <v>675</v>
      </c>
      <c r="B676" s="50">
        <v>40574</v>
      </c>
      <c r="C676" s="3">
        <v>1</v>
      </c>
      <c r="D676" s="3">
        <v>0</v>
      </c>
      <c r="E676" s="3" t="s">
        <v>104</v>
      </c>
      <c r="F676" s="3">
        <v>10</v>
      </c>
      <c r="G676" s="3" t="b">
        <v>0</v>
      </c>
      <c r="H676" s="3" t="s">
        <v>108</v>
      </c>
      <c r="I676" s="3" t="s">
        <v>114</v>
      </c>
      <c r="J676" s="3">
        <v>0.16</v>
      </c>
      <c r="K676" s="3">
        <v>0.1515</v>
      </c>
      <c r="L676" s="3">
        <v>0.59</v>
      </c>
      <c r="M676" s="3">
        <v>0.19400000000000001</v>
      </c>
      <c r="N676" s="3">
        <v>1</v>
      </c>
      <c r="O676" s="3">
        <v>68</v>
      </c>
      <c r="P676" s="51">
        <v>69</v>
      </c>
    </row>
    <row r="677" spans="1:16" x14ac:dyDescent="0.35">
      <c r="A677" s="49">
        <v>676</v>
      </c>
      <c r="B677" s="50">
        <v>40574</v>
      </c>
      <c r="C677" s="3">
        <v>1</v>
      </c>
      <c r="D677" s="3">
        <v>0</v>
      </c>
      <c r="E677" s="3" t="s">
        <v>104</v>
      </c>
      <c r="F677" s="3">
        <v>11</v>
      </c>
      <c r="G677" s="3" t="b">
        <v>0</v>
      </c>
      <c r="H677" s="3" t="s">
        <v>108</v>
      </c>
      <c r="I677" s="3" t="s">
        <v>114</v>
      </c>
      <c r="J677" s="3">
        <v>0.16</v>
      </c>
      <c r="K677" s="3">
        <v>0.1515</v>
      </c>
      <c r="L677" s="3">
        <v>0.59</v>
      </c>
      <c r="M677" s="3">
        <v>0.19400000000000001</v>
      </c>
      <c r="N677" s="3">
        <v>2</v>
      </c>
      <c r="O677" s="3">
        <v>46</v>
      </c>
      <c r="P677" s="51">
        <v>48</v>
      </c>
    </row>
    <row r="678" spans="1:16" x14ac:dyDescent="0.35">
      <c r="A678" s="49">
        <v>677</v>
      </c>
      <c r="B678" s="50">
        <v>40574</v>
      </c>
      <c r="C678" s="3">
        <v>1</v>
      </c>
      <c r="D678" s="3">
        <v>0</v>
      </c>
      <c r="E678" s="3" t="s">
        <v>104</v>
      </c>
      <c r="F678" s="3">
        <v>12</v>
      </c>
      <c r="G678" s="3" t="b">
        <v>0</v>
      </c>
      <c r="H678" s="3" t="s">
        <v>108</v>
      </c>
      <c r="I678" s="3" t="s">
        <v>114</v>
      </c>
      <c r="J678" s="3">
        <v>0.18</v>
      </c>
      <c r="K678" s="3">
        <v>0.21210000000000001</v>
      </c>
      <c r="L678" s="3">
        <v>0.55000000000000004</v>
      </c>
      <c r="M678" s="3">
        <v>0.1045</v>
      </c>
      <c r="N678" s="3">
        <v>6</v>
      </c>
      <c r="O678" s="3">
        <v>62</v>
      </c>
      <c r="P678" s="51">
        <v>68</v>
      </c>
    </row>
    <row r="679" spans="1:16" x14ac:dyDescent="0.35">
      <c r="A679" s="49">
        <v>678</v>
      </c>
      <c r="B679" s="50">
        <v>40574</v>
      </c>
      <c r="C679" s="3">
        <v>1</v>
      </c>
      <c r="D679" s="3">
        <v>0</v>
      </c>
      <c r="E679" s="3" t="s">
        <v>104</v>
      </c>
      <c r="F679" s="3">
        <v>13</v>
      </c>
      <c r="G679" s="3" t="b">
        <v>0</v>
      </c>
      <c r="H679" s="3" t="s">
        <v>108</v>
      </c>
      <c r="I679" s="3" t="s">
        <v>114</v>
      </c>
      <c r="J679" s="3">
        <v>0.16</v>
      </c>
      <c r="K679" s="3">
        <v>0.2273</v>
      </c>
      <c r="L679" s="3">
        <v>0.59</v>
      </c>
      <c r="M679" s="3">
        <v>0</v>
      </c>
      <c r="N679" s="3">
        <v>2</v>
      </c>
      <c r="O679" s="3">
        <v>52</v>
      </c>
      <c r="P679" s="51">
        <v>54</v>
      </c>
    </row>
    <row r="680" spans="1:16" x14ac:dyDescent="0.35">
      <c r="A680" s="49">
        <v>679</v>
      </c>
      <c r="B680" s="50">
        <v>40574</v>
      </c>
      <c r="C680" s="3">
        <v>1</v>
      </c>
      <c r="D680" s="3">
        <v>0</v>
      </c>
      <c r="E680" s="3" t="s">
        <v>104</v>
      </c>
      <c r="F680" s="3">
        <v>14</v>
      </c>
      <c r="G680" s="3" t="b">
        <v>0</v>
      </c>
      <c r="H680" s="3" t="s">
        <v>108</v>
      </c>
      <c r="I680" s="3" t="s">
        <v>114</v>
      </c>
      <c r="J680" s="3">
        <v>0.18</v>
      </c>
      <c r="K680" s="3">
        <v>0.19700000000000001</v>
      </c>
      <c r="L680" s="3">
        <v>0.55000000000000004</v>
      </c>
      <c r="M680" s="3">
        <v>0.1343</v>
      </c>
      <c r="N680" s="3">
        <v>1</v>
      </c>
      <c r="O680" s="3">
        <v>85</v>
      </c>
      <c r="P680" s="51">
        <v>86</v>
      </c>
    </row>
    <row r="681" spans="1:16" x14ac:dyDescent="0.35">
      <c r="A681" s="49">
        <v>680</v>
      </c>
      <c r="B681" s="50">
        <v>40574</v>
      </c>
      <c r="C681" s="3">
        <v>1</v>
      </c>
      <c r="D681" s="3">
        <v>0</v>
      </c>
      <c r="E681" s="3" t="s">
        <v>104</v>
      </c>
      <c r="F681" s="3">
        <v>15</v>
      </c>
      <c r="G681" s="3" t="b">
        <v>0</v>
      </c>
      <c r="H681" s="3" t="s">
        <v>108</v>
      </c>
      <c r="I681" s="3" t="s">
        <v>114</v>
      </c>
      <c r="J681" s="3">
        <v>0.16</v>
      </c>
      <c r="K681" s="3">
        <v>0.18179999999999999</v>
      </c>
      <c r="L681" s="3">
        <v>0.59</v>
      </c>
      <c r="M681" s="3">
        <v>0.1343</v>
      </c>
      <c r="N681" s="3">
        <v>3</v>
      </c>
      <c r="O681" s="3">
        <v>41</v>
      </c>
      <c r="P681" s="51">
        <v>44</v>
      </c>
    </row>
    <row r="682" spans="1:16" x14ac:dyDescent="0.35">
      <c r="A682" s="49">
        <v>681</v>
      </c>
      <c r="B682" s="50">
        <v>40574</v>
      </c>
      <c r="C682" s="3">
        <v>1</v>
      </c>
      <c r="D682" s="3">
        <v>0</v>
      </c>
      <c r="E682" s="3" t="s">
        <v>104</v>
      </c>
      <c r="F682" s="3">
        <v>16</v>
      </c>
      <c r="G682" s="3" t="b">
        <v>0</v>
      </c>
      <c r="H682" s="3" t="s">
        <v>108</v>
      </c>
      <c r="I682" s="3" t="s">
        <v>114</v>
      </c>
      <c r="J682" s="3">
        <v>0.16</v>
      </c>
      <c r="K682" s="3">
        <v>0.18179999999999999</v>
      </c>
      <c r="L682" s="3">
        <v>0.56000000000000005</v>
      </c>
      <c r="M682" s="3">
        <v>0.19400000000000001</v>
      </c>
      <c r="N682" s="3">
        <v>3</v>
      </c>
      <c r="O682" s="3">
        <v>83</v>
      </c>
      <c r="P682" s="51">
        <v>86</v>
      </c>
    </row>
    <row r="683" spans="1:16" x14ac:dyDescent="0.35">
      <c r="A683" s="49">
        <v>682</v>
      </c>
      <c r="B683" s="50">
        <v>40574</v>
      </c>
      <c r="C683" s="3">
        <v>1</v>
      </c>
      <c r="D683" s="3">
        <v>0</v>
      </c>
      <c r="E683" s="3" t="s">
        <v>104</v>
      </c>
      <c r="F683" s="3">
        <v>17</v>
      </c>
      <c r="G683" s="3" t="b">
        <v>0</v>
      </c>
      <c r="H683" s="3" t="s">
        <v>108</v>
      </c>
      <c r="I683" s="3" t="s">
        <v>114</v>
      </c>
      <c r="J683" s="3">
        <v>0.16</v>
      </c>
      <c r="K683" s="3">
        <v>0.1515</v>
      </c>
      <c r="L683" s="3">
        <v>0.59</v>
      </c>
      <c r="M683" s="3">
        <v>0.19400000000000001</v>
      </c>
      <c r="N683" s="3">
        <v>6</v>
      </c>
      <c r="O683" s="3">
        <v>155</v>
      </c>
      <c r="P683" s="51">
        <v>161</v>
      </c>
    </row>
    <row r="684" spans="1:16" x14ac:dyDescent="0.35">
      <c r="A684" s="49">
        <v>683</v>
      </c>
      <c r="B684" s="50">
        <v>40574</v>
      </c>
      <c r="C684" s="3">
        <v>1</v>
      </c>
      <c r="D684" s="3">
        <v>0</v>
      </c>
      <c r="E684" s="3" t="s">
        <v>104</v>
      </c>
      <c r="F684" s="3">
        <v>18</v>
      </c>
      <c r="G684" s="3" t="b">
        <v>0</v>
      </c>
      <c r="H684" s="3" t="s">
        <v>108</v>
      </c>
      <c r="I684" s="3" t="s">
        <v>114</v>
      </c>
      <c r="J684" s="3">
        <v>0.16</v>
      </c>
      <c r="K684" s="3">
        <v>0.1515</v>
      </c>
      <c r="L684" s="3">
        <v>0.55000000000000004</v>
      </c>
      <c r="M684" s="3">
        <v>0.22389999999999999</v>
      </c>
      <c r="N684" s="3">
        <v>3</v>
      </c>
      <c r="O684" s="3">
        <v>153</v>
      </c>
      <c r="P684" s="51">
        <v>156</v>
      </c>
    </row>
    <row r="685" spans="1:16" x14ac:dyDescent="0.35">
      <c r="A685" s="49">
        <v>684</v>
      </c>
      <c r="B685" s="50">
        <v>40574</v>
      </c>
      <c r="C685" s="3">
        <v>1</v>
      </c>
      <c r="D685" s="3">
        <v>0</v>
      </c>
      <c r="E685" s="3" t="s">
        <v>104</v>
      </c>
      <c r="F685" s="3">
        <v>19</v>
      </c>
      <c r="G685" s="3" t="b">
        <v>0</v>
      </c>
      <c r="H685" s="3" t="s">
        <v>108</v>
      </c>
      <c r="I685" s="3" t="s">
        <v>113</v>
      </c>
      <c r="J685" s="3">
        <v>0.3</v>
      </c>
      <c r="K685" s="3">
        <v>0.31819999999999998</v>
      </c>
      <c r="L685" s="3">
        <v>0.61</v>
      </c>
      <c r="M685" s="3">
        <v>0.1045</v>
      </c>
      <c r="N685" s="3">
        <v>3</v>
      </c>
      <c r="O685" s="3">
        <v>108</v>
      </c>
      <c r="P685" s="51">
        <v>111</v>
      </c>
    </row>
    <row r="686" spans="1:16" x14ac:dyDescent="0.35">
      <c r="A686" s="49">
        <v>685</v>
      </c>
      <c r="B686" s="50">
        <v>40574</v>
      </c>
      <c r="C686" s="3">
        <v>1</v>
      </c>
      <c r="D686" s="3">
        <v>0</v>
      </c>
      <c r="E686" s="3" t="s">
        <v>104</v>
      </c>
      <c r="F686" s="3">
        <v>20</v>
      </c>
      <c r="G686" s="3" t="b">
        <v>0</v>
      </c>
      <c r="H686" s="3" t="s">
        <v>108</v>
      </c>
      <c r="I686" s="3" t="s">
        <v>115</v>
      </c>
      <c r="J686" s="3">
        <v>0.16</v>
      </c>
      <c r="K686" s="3">
        <v>0.16669999999999999</v>
      </c>
      <c r="L686" s="3">
        <v>0.59</v>
      </c>
      <c r="M686" s="3">
        <v>0.16420000000000001</v>
      </c>
      <c r="N686" s="3">
        <v>0</v>
      </c>
      <c r="O686" s="3">
        <v>78</v>
      </c>
      <c r="P686" s="51">
        <v>78</v>
      </c>
    </row>
    <row r="687" spans="1:16" x14ac:dyDescent="0.35">
      <c r="A687" s="49">
        <v>686</v>
      </c>
      <c r="B687" s="50">
        <v>40574</v>
      </c>
      <c r="C687" s="3">
        <v>1</v>
      </c>
      <c r="D687" s="3">
        <v>0</v>
      </c>
      <c r="E687" s="3" t="s">
        <v>104</v>
      </c>
      <c r="F687" s="3">
        <v>21</v>
      </c>
      <c r="G687" s="3" t="b">
        <v>0</v>
      </c>
      <c r="H687" s="3" t="s">
        <v>108</v>
      </c>
      <c r="I687" s="3" t="s">
        <v>115</v>
      </c>
      <c r="J687" s="3">
        <v>0.16</v>
      </c>
      <c r="K687" s="3">
        <v>0.19700000000000001</v>
      </c>
      <c r="L687" s="3">
        <v>0.59</v>
      </c>
      <c r="M687" s="3">
        <v>8.9599999999999999E-2</v>
      </c>
      <c r="N687" s="3">
        <v>3</v>
      </c>
      <c r="O687" s="3">
        <v>53</v>
      </c>
      <c r="P687" s="51">
        <v>56</v>
      </c>
    </row>
    <row r="688" spans="1:16" x14ac:dyDescent="0.35">
      <c r="A688" s="49">
        <v>687</v>
      </c>
      <c r="B688" s="50">
        <v>40574</v>
      </c>
      <c r="C688" s="3">
        <v>1</v>
      </c>
      <c r="D688" s="3">
        <v>0</v>
      </c>
      <c r="E688" s="3" t="s">
        <v>104</v>
      </c>
      <c r="F688" s="3">
        <v>22</v>
      </c>
      <c r="G688" s="3" t="b">
        <v>0</v>
      </c>
      <c r="H688" s="3" t="s">
        <v>108</v>
      </c>
      <c r="I688" s="3" t="s">
        <v>114</v>
      </c>
      <c r="J688" s="3">
        <v>0.16</v>
      </c>
      <c r="K688" s="3">
        <v>0.18179999999999999</v>
      </c>
      <c r="L688" s="3">
        <v>0.59</v>
      </c>
      <c r="M688" s="3">
        <v>0.1045</v>
      </c>
      <c r="N688" s="3">
        <v>0</v>
      </c>
      <c r="O688" s="3">
        <v>34</v>
      </c>
      <c r="P688" s="51">
        <v>34</v>
      </c>
    </row>
    <row r="689" spans="1:16" x14ac:dyDescent="0.35">
      <c r="A689" s="49">
        <v>688</v>
      </c>
      <c r="B689" s="50">
        <v>40574</v>
      </c>
      <c r="C689" s="3">
        <v>1</v>
      </c>
      <c r="D689" s="3">
        <v>0</v>
      </c>
      <c r="E689" s="3" t="s">
        <v>104</v>
      </c>
      <c r="F689" s="3">
        <v>23</v>
      </c>
      <c r="G689" s="3" t="b">
        <v>0</v>
      </c>
      <c r="H689" s="3" t="s">
        <v>108</v>
      </c>
      <c r="I689" s="3" t="s">
        <v>114</v>
      </c>
      <c r="J689" s="3">
        <v>0.16</v>
      </c>
      <c r="K689" s="3">
        <v>0.19700000000000001</v>
      </c>
      <c r="L689" s="3">
        <v>0.64</v>
      </c>
      <c r="M689" s="3">
        <v>8.9599999999999999E-2</v>
      </c>
      <c r="N689" s="3">
        <v>2</v>
      </c>
      <c r="O689" s="3">
        <v>15</v>
      </c>
      <c r="P689" s="51">
        <v>17</v>
      </c>
    </row>
    <row r="690" spans="1:16" x14ac:dyDescent="0.35">
      <c r="A690" s="49">
        <v>689</v>
      </c>
      <c r="B690" s="50">
        <v>40575</v>
      </c>
      <c r="C690" s="3">
        <v>1</v>
      </c>
      <c r="D690" s="3">
        <v>0</v>
      </c>
      <c r="E690" s="3" t="s">
        <v>105</v>
      </c>
      <c r="F690" s="3">
        <v>0</v>
      </c>
      <c r="G690" s="3" t="b">
        <v>0</v>
      </c>
      <c r="H690" s="3" t="s">
        <v>109</v>
      </c>
      <c r="I690" s="3" t="s">
        <v>114</v>
      </c>
      <c r="J690" s="3">
        <v>0.16</v>
      </c>
      <c r="K690" s="3">
        <v>0.18179999999999999</v>
      </c>
      <c r="L690" s="3">
        <v>0.64</v>
      </c>
      <c r="M690" s="3">
        <v>0.1045</v>
      </c>
      <c r="N690" s="3">
        <v>2</v>
      </c>
      <c r="O690" s="3">
        <v>6</v>
      </c>
      <c r="P690" s="51">
        <v>8</v>
      </c>
    </row>
    <row r="691" spans="1:16" x14ac:dyDescent="0.35">
      <c r="A691" s="49">
        <v>690</v>
      </c>
      <c r="B691" s="50">
        <v>40575</v>
      </c>
      <c r="C691" s="3">
        <v>1</v>
      </c>
      <c r="D691" s="3">
        <v>0</v>
      </c>
      <c r="E691" s="3" t="s">
        <v>105</v>
      </c>
      <c r="F691" s="3">
        <v>1</v>
      </c>
      <c r="G691" s="3" t="b">
        <v>0</v>
      </c>
      <c r="H691" s="3" t="s">
        <v>109</v>
      </c>
      <c r="I691" s="3" t="s">
        <v>114</v>
      </c>
      <c r="J691" s="3">
        <v>0.16</v>
      </c>
      <c r="K691" s="3">
        <v>0.18179999999999999</v>
      </c>
      <c r="L691" s="3">
        <v>0.69</v>
      </c>
      <c r="M691" s="3">
        <v>0.1045</v>
      </c>
      <c r="N691" s="3">
        <v>0</v>
      </c>
      <c r="O691" s="3">
        <v>3</v>
      </c>
      <c r="P691" s="51">
        <v>3</v>
      </c>
    </row>
    <row r="692" spans="1:16" x14ac:dyDescent="0.35">
      <c r="A692" s="49">
        <v>691</v>
      </c>
      <c r="B692" s="50">
        <v>40575</v>
      </c>
      <c r="C692" s="3">
        <v>1</v>
      </c>
      <c r="D692" s="3">
        <v>0</v>
      </c>
      <c r="E692" s="3" t="s">
        <v>105</v>
      </c>
      <c r="F692" s="3">
        <v>2</v>
      </c>
      <c r="G692" s="3" t="b">
        <v>0</v>
      </c>
      <c r="H692" s="3" t="s">
        <v>109</v>
      </c>
      <c r="I692" s="3" t="s">
        <v>114</v>
      </c>
      <c r="J692" s="3">
        <v>0.16</v>
      </c>
      <c r="K692" s="3">
        <v>0.2273</v>
      </c>
      <c r="L692" s="3">
        <v>0.69</v>
      </c>
      <c r="M692" s="3">
        <v>0</v>
      </c>
      <c r="N692" s="3">
        <v>0</v>
      </c>
      <c r="O692" s="3">
        <v>2</v>
      </c>
      <c r="P692" s="51">
        <v>2</v>
      </c>
    </row>
    <row r="693" spans="1:16" x14ac:dyDescent="0.35">
      <c r="A693" s="49">
        <v>692</v>
      </c>
      <c r="B693" s="50">
        <v>40575</v>
      </c>
      <c r="C693" s="3">
        <v>1</v>
      </c>
      <c r="D693" s="3">
        <v>0</v>
      </c>
      <c r="E693" s="3" t="s">
        <v>105</v>
      </c>
      <c r="F693" s="3">
        <v>3</v>
      </c>
      <c r="G693" s="3" t="b">
        <v>0</v>
      </c>
      <c r="H693" s="3" t="s">
        <v>109</v>
      </c>
      <c r="I693" s="3" t="s">
        <v>114</v>
      </c>
      <c r="J693" s="3">
        <v>0.16</v>
      </c>
      <c r="K693" s="3">
        <v>0.2273</v>
      </c>
      <c r="L693" s="3">
        <v>0.69</v>
      </c>
      <c r="M693" s="3">
        <v>0</v>
      </c>
      <c r="N693" s="3">
        <v>0</v>
      </c>
      <c r="O693" s="3">
        <v>2</v>
      </c>
      <c r="P693" s="51">
        <v>2</v>
      </c>
    </row>
    <row r="694" spans="1:16" x14ac:dyDescent="0.35">
      <c r="A694" s="49">
        <v>693</v>
      </c>
      <c r="B694" s="50">
        <v>40575</v>
      </c>
      <c r="C694" s="3">
        <v>1</v>
      </c>
      <c r="D694" s="3">
        <v>0</v>
      </c>
      <c r="E694" s="3" t="s">
        <v>105</v>
      </c>
      <c r="F694" s="3">
        <v>5</v>
      </c>
      <c r="G694" s="3" t="b">
        <v>0</v>
      </c>
      <c r="H694" s="3" t="s">
        <v>109</v>
      </c>
      <c r="I694" s="3" t="s">
        <v>115</v>
      </c>
      <c r="J694" s="3">
        <v>0.14000000000000001</v>
      </c>
      <c r="K694" s="3">
        <v>0.21210000000000001</v>
      </c>
      <c r="L694" s="3">
        <v>0.93</v>
      </c>
      <c r="M694" s="3">
        <v>0</v>
      </c>
      <c r="N694" s="3">
        <v>0</v>
      </c>
      <c r="O694" s="3">
        <v>3</v>
      </c>
      <c r="P694" s="51">
        <v>3</v>
      </c>
    </row>
    <row r="695" spans="1:16" x14ac:dyDescent="0.35">
      <c r="A695" s="49">
        <v>694</v>
      </c>
      <c r="B695" s="50">
        <v>40575</v>
      </c>
      <c r="C695" s="3">
        <v>1</v>
      </c>
      <c r="D695" s="3">
        <v>0</v>
      </c>
      <c r="E695" s="3" t="s">
        <v>105</v>
      </c>
      <c r="F695" s="3">
        <v>6</v>
      </c>
      <c r="G695" s="3" t="b">
        <v>0</v>
      </c>
      <c r="H695" s="3" t="s">
        <v>109</v>
      </c>
      <c r="I695" s="3" t="s">
        <v>115</v>
      </c>
      <c r="J695" s="3">
        <v>0.14000000000000001</v>
      </c>
      <c r="K695" s="3">
        <v>0.21210000000000001</v>
      </c>
      <c r="L695" s="3">
        <v>0.93</v>
      </c>
      <c r="M695" s="3">
        <v>0</v>
      </c>
      <c r="N695" s="3">
        <v>0</v>
      </c>
      <c r="O695" s="3">
        <v>22</v>
      </c>
      <c r="P695" s="51">
        <v>22</v>
      </c>
    </row>
    <row r="696" spans="1:16" x14ac:dyDescent="0.35">
      <c r="A696" s="49">
        <v>695</v>
      </c>
      <c r="B696" s="50">
        <v>40575</v>
      </c>
      <c r="C696" s="3">
        <v>1</v>
      </c>
      <c r="D696" s="3">
        <v>0</v>
      </c>
      <c r="E696" s="3" t="s">
        <v>105</v>
      </c>
      <c r="F696" s="3">
        <v>7</v>
      </c>
      <c r="G696" s="3" t="b">
        <v>0</v>
      </c>
      <c r="H696" s="3" t="s">
        <v>109</v>
      </c>
      <c r="I696" s="3" t="s">
        <v>115</v>
      </c>
      <c r="J696" s="3">
        <v>0.16</v>
      </c>
      <c r="K696" s="3">
        <v>0.2273</v>
      </c>
      <c r="L696" s="3">
        <v>0.93</v>
      </c>
      <c r="M696" s="3">
        <v>0</v>
      </c>
      <c r="N696" s="3">
        <v>0</v>
      </c>
      <c r="O696" s="3">
        <v>52</v>
      </c>
      <c r="P696" s="51">
        <v>52</v>
      </c>
    </row>
    <row r="697" spans="1:16" x14ac:dyDescent="0.35">
      <c r="A697" s="49">
        <v>696</v>
      </c>
      <c r="B697" s="50">
        <v>40575</v>
      </c>
      <c r="C697" s="3">
        <v>1</v>
      </c>
      <c r="D697" s="3">
        <v>0</v>
      </c>
      <c r="E697" s="3" t="s">
        <v>105</v>
      </c>
      <c r="F697" s="3">
        <v>8</v>
      </c>
      <c r="G697" s="3" t="b">
        <v>0</v>
      </c>
      <c r="H697" s="3" t="s">
        <v>109</v>
      </c>
      <c r="I697" s="3" t="s">
        <v>115</v>
      </c>
      <c r="J697" s="3">
        <v>0.16</v>
      </c>
      <c r="K697" s="3">
        <v>0.2273</v>
      </c>
      <c r="L697" s="3">
        <v>0.93</v>
      </c>
      <c r="M697" s="3">
        <v>0</v>
      </c>
      <c r="N697" s="3">
        <v>3</v>
      </c>
      <c r="O697" s="3">
        <v>132</v>
      </c>
      <c r="P697" s="51">
        <v>135</v>
      </c>
    </row>
    <row r="698" spans="1:16" x14ac:dyDescent="0.35">
      <c r="A698" s="49">
        <v>697</v>
      </c>
      <c r="B698" s="50">
        <v>40575</v>
      </c>
      <c r="C698" s="3">
        <v>1</v>
      </c>
      <c r="D698" s="3">
        <v>0</v>
      </c>
      <c r="E698" s="3" t="s">
        <v>105</v>
      </c>
      <c r="F698" s="3">
        <v>9</v>
      </c>
      <c r="G698" s="3" t="b">
        <v>0</v>
      </c>
      <c r="H698" s="3" t="s">
        <v>109</v>
      </c>
      <c r="I698" s="3" t="s">
        <v>114</v>
      </c>
      <c r="J698" s="3">
        <v>0.16</v>
      </c>
      <c r="K698" s="3">
        <v>0.2273</v>
      </c>
      <c r="L698" s="3">
        <v>0.93</v>
      </c>
      <c r="M698" s="3">
        <v>0</v>
      </c>
      <c r="N698" s="3">
        <v>2</v>
      </c>
      <c r="O698" s="3">
        <v>114</v>
      </c>
      <c r="P698" s="51">
        <v>116</v>
      </c>
    </row>
    <row r="699" spans="1:16" x14ac:dyDescent="0.35">
      <c r="A699" s="49">
        <v>698</v>
      </c>
      <c r="B699" s="50">
        <v>40575</v>
      </c>
      <c r="C699" s="3">
        <v>1</v>
      </c>
      <c r="D699" s="3">
        <v>0</v>
      </c>
      <c r="E699" s="3" t="s">
        <v>105</v>
      </c>
      <c r="F699" s="3">
        <v>10</v>
      </c>
      <c r="G699" s="3" t="b">
        <v>0</v>
      </c>
      <c r="H699" s="3" t="s">
        <v>109</v>
      </c>
      <c r="I699" s="3" t="s">
        <v>114</v>
      </c>
      <c r="J699" s="3">
        <v>0.16</v>
      </c>
      <c r="K699" s="3">
        <v>0.2273</v>
      </c>
      <c r="L699" s="3">
        <v>0.93</v>
      </c>
      <c r="M699" s="3">
        <v>0</v>
      </c>
      <c r="N699" s="3">
        <v>0</v>
      </c>
      <c r="O699" s="3">
        <v>47</v>
      </c>
      <c r="P699" s="51">
        <v>47</v>
      </c>
    </row>
    <row r="700" spans="1:16" x14ac:dyDescent="0.35">
      <c r="A700" s="49">
        <v>699</v>
      </c>
      <c r="B700" s="50">
        <v>40575</v>
      </c>
      <c r="C700" s="3">
        <v>1</v>
      </c>
      <c r="D700" s="3">
        <v>0</v>
      </c>
      <c r="E700" s="3" t="s">
        <v>105</v>
      </c>
      <c r="F700" s="3">
        <v>11</v>
      </c>
      <c r="G700" s="3" t="b">
        <v>0</v>
      </c>
      <c r="H700" s="3" t="s">
        <v>109</v>
      </c>
      <c r="I700" s="3" t="s">
        <v>114</v>
      </c>
      <c r="J700" s="3">
        <v>0.18</v>
      </c>
      <c r="K700" s="3">
        <v>0.2424</v>
      </c>
      <c r="L700" s="3">
        <v>0.86</v>
      </c>
      <c r="M700" s="3">
        <v>0</v>
      </c>
      <c r="N700" s="3">
        <v>2</v>
      </c>
      <c r="O700" s="3">
        <v>49</v>
      </c>
      <c r="P700" s="51">
        <v>51</v>
      </c>
    </row>
    <row r="701" spans="1:16" x14ac:dyDescent="0.35">
      <c r="A701" s="49">
        <v>700</v>
      </c>
      <c r="B701" s="50">
        <v>40575</v>
      </c>
      <c r="C701" s="3">
        <v>1</v>
      </c>
      <c r="D701" s="3">
        <v>0</v>
      </c>
      <c r="E701" s="3" t="s">
        <v>105</v>
      </c>
      <c r="F701" s="3">
        <v>12</v>
      </c>
      <c r="G701" s="3" t="b">
        <v>0</v>
      </c>
      <c r="H701" s="3" t="s">
        <v>109</v>
      </c>
      <c r="I701" s="3" t="s">
        <v>114</v>
      </c>
      <c r="J701" s="3">
        <v>0.2</v>
      </c>
      <c r="K701" s="3">
        <v>0.2576</v>
      </c>
      <c r="L701" s="3">
        <v>0.86</v>
      </c>
      <c r="M701" s="3">
        <v>0</v>
      </c>
      <c r="N701" s="3">
        <v>2</v>
      </c>
      <c r="O701" s="3">
        <v>53</v>
      </c>
      <c r="P701" s="51">
        <v>55</v>
      </c>
    </row>
    <row r="702" spans="1:16" x14ac:dyDescent="0.35">
      <c r="A702" s="49">
        <v>701</v>
      </c>
      <c r="B702" s="50">
        <v>40575</v>
      </c>
      <c r="C702" s="3">
        <v>1</v>
      </c>
      <c r="D702" s="3">
        <v>0</v>
      </c>
      <c r="E702" s="3" t="s">
        <v>105</v>
      </c>
      <c r="F702" s="3">
        <v>13</v>
      </c>
      <c r="G702" s="3" t="b">
        <v>0</v>
      </c>
      <c r="H702" s="3" t="s">
        <v>109</v>
      </c>
      <c r="I702" s="3" t="s">
        <v>114</v>
      </c>
      <c r="J702" s="3">
        <v>0.2</v>
      </c>
      <c r="K702" s="3">
        <v>0.2576</v>
      </c>
      <c r="L702" s="3">
        <v>0.86</v>
      </c>
      <c r="M702" s="3">
        <v>0</v>
      </c>
      <c r="N702" s="3">
        <v>3</v>
      </c>
      <c r="O702" s="3">
        <v>49</v>
      </c>
      <c r="P702" s="51">
        <v>52</v>
      </c>
    </row>
    <row r="703" spans="1:16" x14ac:dyDescent="0.35">
      <c r="A703" s="49">
        <v>702</v>
      </c>
      <c r="B703" s="50">
        <v>40575</v>
      </c>
      <c r="C703" s="3">
        <v>1</v>
      </c>
      <c r="D703" s="3">
        <v>0</v>
      </c>
      <c r="E703" s="3" t="s">
        <v>105</v>
      </c>
      <c r="F703" s="3">
        <v>14</v>
      </c>
      <c r="G703" s="3" t="b">
        <v>0</v>
      </c>
      <c r="H703" s="3" t="s">
        <v>109</v>
      </c>
      <c r="I703" s="3" t="s">
        <v>114</v>
      </c>
      <c r="J703" s="3">
        <v>0.22</v>
      </c>
      <c r="K703" s="3">
        <v>0.2576</v>
      </c>
      <c r="L703" s="3">
        <v>0.8</v>
      </c>
      <c r="M703" s="3">
        <v>8.9599999999999999E-2</v>
      </c>
      <c r="N703" s="3">
        <v>5</v>
      </c>
      <c r="O703" s="3">
        <v>49</v>
      </c>
      <c r="P703" s="51">
        <v>54</v>
      </c>
    </row>
    <row r="704" spans="1:16" x14ac:dyDescent="0.35">
      <c r="A704" s="49">
        <v>703</v>
      </c>
      <c r="B704" s="50">
        <v>40575</v>
      </c>
      <c r="C704" s="3">
        <v>1</v>
      </c>
      <c r="D704" s="3">
        <v>0</v>
      </c>
      <c r="E704" s="3" t="s">
        <v>105</v>
      </c>
      <c r="F704" s="3">
        <v>15</v>
      </c>
      <c r="G704" s="3" t="b">
        <v>0</v>
      </c>
      <c r="H704" s="3" t="s">
        <v>109</v>
      </c>
      <c r="I704" s="3" t="s">
        <v>114</v>
      </c>
      <c r="J704" s="3">
        <v>0.24</v>
      </c>
      <c r="K704" s="3">
        <v>0.28789999999999999</v>
      </c>
      <c r="L704" s="3">
        <v>0.75</v>
      </c>
      <c r="M704" s="3">
        <v>0</v>
      </c>
      <c r="N704" s="3">
        <v>7</v>
      </c>
      <c r="O704" s="3">
        <v>45</v>
      </c>
      <c r="P704" s="51">
        <v>52</v>
      </c>
    </row>
    <row r="705" spans="1:16" x14ac:dyDescent="0.35">
      <c r="A705" s="49">
        <v>704</v>
      </c>
      <c r="B705" s="50">
        <v>40575</v>
      </c>
      <c r="C705" s="3">
        <v>1</v>
      </c>
      <c r="D705" s="3">
        <v>0</v>
      </c>
      <c r="E705" s="3" t="s">
        <v>105</v>
      </c>
      <c r="F705" s="3">
        <v>16</v>
      </c>
      <c r="G705" s="3" t="b">
        <v>0</v>
      </c>
      <c r="H705" s="3" t="s">
        <v>109</v>
      </c>
      <c r="I705" s="3" t="s">
        <v>114</v>
      </c>
      <c r="J705" s="3">
        <v>0.24</v>
      </c>
      <c r="K705" s="3">
        <v>0.2424</v>
      </c>
      <c r="L705" s="3">
        <v>0.75</v>
      </c>
      <c r="M705" s="3">
        <v>0.1343</v>
      </c>
      <c r="N705" s="3">
        <v>3</v>
      </c>
      <c r="O705" s="3">
        <v>61</v>
      </c>
      <c r="P705" s="51">
        <v>64</v>
      </c>
    </row>
    <row r="706" spans="1:16" x14ac:dyDescent="0.35">
      <c r="A706" s="49">
        <v>705</v>
      </c>
      <c r="B706" s="50">
        <v>40575</v>
      </c>
      <c r="C706" s="3">
        <v>1</v>
      </c>
      <c r="D706" s="3">
        <v>0</v>
      </c>
      <c r="E706" s="3" t="s">
        <v>105</v>
      </c>
      <c r="F706" s="3">
        <v>17</v>
      </c>
      <c r="G706" s="3" t="b">
        <v>0</v>
      </c>
      <c r="H706" s="3" t="s">
        <v>109</v>
      </c>
      <c r="I706" s="3" t="s">
        <v>114</v>
      </c>
      <c r="J706" s="3">
        <v>0.24</v>
      </c>
      <c r="K706" s="3">
        <v>0.28789999999999999</v>
      </c>
      <c r="L706" s="3">
        <v>0.75</v>
      </c>
      <c r="M706" s="3">
        <v>0</v>
      </c>
      <c r="N706" s="3">
        <v>4</v>
      </c>
      <c r="O706" s="3">
        <v>172</v>
      </c>
      <c r="P706" s="51">
        <v>176</v>
      </c>
    </row>
    <row r="707" spans="1:16" x14ac:dyDescent="0.35">
      <c r="A707" s="49">
        <v>706</v>
      </c>
      <c r="B707" s="50">
        <v>40575</v>
      </c>
      <c r="C707" s="3">
        <v>1</v>
      </c>
      <c r="D707" s="3">
        <v>0</v>
      </c>
      <c r="E707" s="3" t="s">
        <v>105</v>
      </c>
      <c r="F707" s="3">
        <v>18</v>
      </c>
      <c r="G707" s="3" t="b">
        <v>0</v>
      </c>
      <c r="H707" s="3" t="s">
        <v>109</v>
      </c>
      <c r="I707" s="3" t="s">
        <v>114</v>
      </c>
      <c r="J707" s="3">
        <v>0.24</v>
      </c>
      <c r="K707" s="3">
        <v>0.2576</v>
      </c>
      <c r="L707" s="3">
        <v>0.81</v>
      </c>
      <c r="M707" s="3">
        <v>0.1045</v>
      </c>
      <c r="N707" s="3">
        <v>3</v>
      </c>
      <c r="O707" s="3">
        <v>165</v>
      </c>
      <c r="P707" s="51">
        <v>168</v>
      </c>
    </row>
    <row r="708" spans="1:16" x14ac:dyDescent="0.35">
      <c r="A708" s="49">
        <v>707</v>
      </c>
      <c r="B708" s="50">
        <v>40575</v>
      </c>
      <c r="C708" s="3">
        <v>1</v>
      </c>
      <c r="D708" s="3">
        <v>0</v>
      </c>
      <c r="E708" s="3" t="s">
        <v>105</v>
      </c>
      <c r="F708" s="3">
        <v>19</v>
      </c>
      <c r="G708" s="3" t="b">
        <v>0</v>
      </c>
      <c r="H708" s="3" t="s">
        <v>109</v>
      </c>
      <c r="I708" s="3" t="s">
        <v>114</v>
      </c>
      <c r="J708" s="3">
        <v>0.24</v>
      </c>
      <c r="K708" s="3">
        <v>0.2424</v>
      </c>
      <c r="L708" s="3">
        <v>0.81</v>
      </c>
      <c r="M708" s="3">
        <v>0.1343</v>
      </c>
      <c r="N708" s="3">
        <v>3</v>
      </c>
      <c r="O708" s="3">
        <v>105</v>
      </c>
      <c r="P708" s="51">
        <v>108</v>
      </c>
    </row>
    <row r="709" spans="1:16" x14ac:dyDescent="0.35">
      <c r="A709" s="49">
        <v>708</v>
      </c>
      <c r="B709" s="50">
        <v>40575</v>
      </c>
      <c r="C709" s="3">
        <v>1</v>
      </c>
      <c r="D709" s="3">
        <v>0</v>
      </c>
      <c r="E709" s="3" t="s">
        <v>105</v>
      </c>
      <c r="F709" s="3">
        <v>20</v>
      </c>
      <c r="G709" s="3" t="b">
        <v>0</v>
      </c>
      <c r="H709" s="3" t="s">
        <v>109</v>
      </c>
      <c r="I709" s="3" t="s">
        <v>114</v>
      </c>
      <c r="J709" s="3">
        <v>0.22</v>
      </c>
      <c r="K709" s="3">
        <v>0.2273</v>
      </c>
      <c r="L709" s="3">
        <v>0.87</v>
      </c>
      <c r="M709" s="3">
        <v>0.1343</v>
      </c>
      <c r="N709" s="3">
        <v>5</v>
      </c>
      <c r="O709" s="3">
        <v>69</v>
      </c>
      <c r="P709" s="51">
        <v>74</v>
      </c>
    </row>
    <row r="710" spans="1:16" x14ac:dyDescent="0.35">
      <c r="A710" s="49">
        <v>709</v>
      </c>
      <c r="B710" s="50">
        <v>40575</v>
      </c>
      <c r="C710" s="3">
        <v>1</v>
      </c>
      <c r="D710" s="3">
        <v>0</v>
      </c>
      <c r="E710" s="3" t="s">
        <v>105</v>
      </c>
      <c r="F710" s="3">
        <v>21</v>
      </c>
      <c r="G710" s="3" t="b">
        <v>0</v>
      </c>
      <c r="H710" s="3" t="s">
        <v>109</v>
      </c>
      <c r="I710" s="3" t="s">
        <v>114</v>
      </c>
      <c r="J710" s="3">
        <v>0.22</v>
      </c>
      <c r="K710" s="3">
        <v>0.2273</v>
      </c>
      <c r="L710" s="3">
        <v>0.87</v>
      </c>
      <c r="M710" s="3">
        <v>0.1343</v>
      </c>
      <c r="N710" s="3">
        <v>0</v>
      </c>
      <c r="O710" s="3">
        <v>64</v>
      </c>
      <c r="P710" s="51">
        <v>64</v>
      </c>
    </row>
    <row r="711" spans="1:16" x14ac:dyDescent="0.35">
      <c r="A711" s="49">
        <v>710</v>
      </c>
      <c r="B711" s="50">
        <v>40575</v>
      </c>
      <c r="C711" s="3">
        <v>1</v>
      </c>
      <c r="D711" s="3">
        <v>0</v>
      </c>
      <c r="E711" s="3" t="s">
        <v>105</v>
      </c>
      <c r="F711" s="3">
        <v>22</v>
      </c>
      <c r="G711" s="3" t="b">
        <v>0</v>
      </c>
      <c r="H711" s="3" t="s">
        <v>109</v>
      </c>
      <c r="I711" s="3" t="s">
        <v>114</v>
      </c>
      <c r="J711" s="3">
        <v>0.22</v>
      </c>
      <c r="K711" s="3">
        <v>0.2576</v>
      </c>
      <c r="L711" s="3">
        <v>0.87</v>
      </c>
      <c r="M711" s="3">
        <v>8.9599999999999999E-2</v>
      </c>
      <c r="N711" s="3">
        <v>2</v>
      </c>
      <c r="O711" s="3">
        <v>34</v>
      </c>
      <c r="P711" s="51">
        <v>36</v>
      </c>
    </row>
    <row r="712" spans="1:16" x14ac:dyDescent="0.35">
      <c r="A712" s="49">
        <v>711</v>
      </c>
      <c r="B712" s="50">
        <v>40575</v>
      </c>
      <c r="C712" s="3">
        <v>1</v>
      </c>
      <c r="D712" s="3">
        <v>0</v>
      </c>
      <c r="E712" s="3" t="s">
        <v>105</v>
      </c>
      <c r="F712" s="3">
        <v>23</v>
      </c>
      <c r="G712" s="3" t="b">
        <v>0</v>
      </c>
      <c r="H712" s="3" t="s">
        <v>109</v>
      </c>
      <c r="I712" s="3" t="s">
        <v>115</v>
      </c>
      <c r="J712" s="3">
        <v>0.2</v>
      </c>
      <c r="K712" s="3">
        <v>0.19700000000000001</v>
      </c>
      <c r="L712" s="3">
        <v>0.93</v>
      </c>
      <c r="M712" s="3">
        <v>0.19400000000000001</v>
      </c>
      <c r="N712" s="3">
        <v>1</v>
      </c>
      <c r="O712" s="3">
        <v>15</v>
      </c>
      <c r="P712" s="51">
        <v>16</v>
      </c>
    </row>
    <row r="713" spans="1:16" x14ac:dyDescent="0.35">
      <c r="A713" s="49">
        <v>712</v>
      </c>
      <c r="B713" s="50">
        <v>40576</v>
      </c>
      <c r="C713" s="3">
        <v>1</v>
      </c>
      <c r="D713" s="3">
        <v>0</v>
      </c>
      <c r="E713" s="3" t="s">
        <v>105</v>
      </c>
      <c r="F713" s="3">
        <v>0</v>
      </c>
      <c r="G713" s="3" t="b">
        <v>0</v>
      </c>
      <c r="H713" s="3" t="s">
        <v>110</v>
      </c>
      <c r="I713" s="3" t="s">
        <v>115</v>
      </c>
      <c r="J713" s="3">
        <v>0.22</v>
      </c>
      <c r="K713" s="3">
        <v>0.2424</v>
      </c>
      <c r="L713" s="3">
        <v>0.93</v>
      </c>
      <c r="M713" s="3">
        <v>0.1045</v>
      </c>
      <c r="N713" s="3">
        <v>0</v>
      </c>
      <c r="O713" s="3">
        <v>2</v>
      </c>
      <c r="P713" s="51">
        <v>2</v>
      </c>
    </row>
    <row r="714" spans="1:16" x14ac:dyDescent="0.35">
      <c r="A714" s="49">
        <v>713</v>
      </c>
      <c r="B714" s="50">
        <v>40576</v>
      </c>
      <c r="C714" s="3">
        <v>1</v>
      </c>
      <c r="D714" s="3">
        <v>0</v>
      </c>
      <c r="E714" s="3" t="s">
        <v>105</v>
      </c>
      <c r="F714" s="3">
        <v>1</v>
      </c>
      <c r="G714" s="3" t="b">
        <v>0</v>
      </c>
      <c r="H714" s="3" t="s">
        <v>110</v>
      </c>
      <c r="I714" s="3" t="s">
        <v>115</v>
      </c>
      <c r="J714" s="3">
        <v>0.22</v>
      </c>
      <c r="K714" s="3">
        <v>0.2273</v>
      </c>
      <c r="L714" s="3">
        <v>0.93</v>
      </c>
      <c r="M714" s="3">
        <v>0.19400000000000001</v>
      </c>
      <c r="N714" s="3">
        <v>0</v>
      </c>
      <c r="O714" s="3">
        <v>3</v>
      </c>
      <c r="P714" s="51">
        <v>3</v>
      </c>
    </row>
    <row r="715" spans="1:16" x14ac:dyDescent="0.35">
      <c r="A715" s="49">
        <v>714</v>
      </c>
      <c r="B715" s="50">
        <v>40576</v>
      </c>
      <c r="C715" s="3">
        <v>1</v>
      </c>
      <c r="D715" s="3">
        <v>0</v>
      </c>
      <c r="E715" s="3" t="s">
        <v>105</v>
      </c>
      <c r="F715" s="3">
        <v>2</v>
      </c>
      <c r="G715" s="3" t="b">
        <v>0</v>
      </c>
      <c r="H715" s="3" t="s">
        <v>110</v>
      </c>
      <c r="I715" s="3" t="s">
        <v>115</v>
      </c>
      <c r="J715" s="3">
        <v>0.22</v>
      </c>
      <c r="K715" s="3">
        <v>0.2273</v>
      </c>
      <c r="L715" s="3">
        <v>0.93</v>
      </c>
      <c r="M715" s="3">
        <v>0.1343</v>
      </c>
      <c r="N715" s="3">
        <v>4</v>
      </c>
      <c r="O715" s="3">
        <v>0</v>
      </c>
      <c r="P715" s="51">
        <v>4</v>
      </c>
    </row>
    <row r="716" spans="1:16" x14ac:dyDescent="0.35">
      <c r="A716" s="49">
        <v>715</v>
      </c>
      <c r="B716" s="50">
        <v>40576</v>
      </c>
      <c r="C716" s="3">
        <v>1</v>
      </c>
      <c r="D716" s="3">
        <v>0</v>
      </c>
      <c r="E716" s="3" t="s">
        <v>105</v>
      </c>
      <c r="F716" s="3">
        <v>3</v>
      </c>
      <c r="G716" s="3" t="b">
        <v>0</v>
      </c>
      <c r="H716" s="3" t="s">
        <v>110</v>
      </c>
      <c r="I716" s="3" t="s">
        <v>115</v>
      </c>
      <c r="J716" s="3">
        <v>0.22</v>
      </c>
      <c r="K716" s="3">
        <v>0.2273</v>
      </c>
      <c r="L716" s="3">
        <v>0.93</v>
      </c>
      <c r="M716" s="3">
        <v>0.1343</v>
      </c>
      <c r="N716" s="3">
        <v>0</v>
      </c>
      <c r="O716" s="3">
        <v>1</v>
      </c>
      <c r="P716" s="51">
        <v>1</v>
      </c>
    </row>
    <row r="717" spans="1:16" x14ac:dyDescent="0.35">
      <c r="A717" s="49">
        <v>716</v>
      </c>
      <c r="B717" s="50">
        <v>40576</v>
      </c>
      <c r="C717" s="3">
        <v>1</v>
      </c>
      <c r="D717" s="3">
        <v>0</v>
      </c>
      <c r="E717" s="3" t="s">
        <v>105</v>
      </c>
      <c r="F717" s="3">
        <v>4</v>
      </c>
      <c r="G717" s="3" t="b">
        <v>0</v>
      </c>
      <c r="H717" s="3" t="s">
        <v>110</v>
      </c>
      <c r="I717" s="3" t="s">
        <v>115</v>
      </c>
      <c r="J717" s="3">
        <v>0.22</v>
      </c>
      <c r="K717" s="3">
        <v>0.21210000000000001</v>
      </c>
      <c r="L717" s="3">
        <v>0.93</v>
      </c>
      <c r="M717" s="3">
        <v>0.28360000000000002</v>
      </c>
      <c r="N717" s="3">
        <v>0</v>
      </c>
      <c r="O717" s="3">
        <v>1</v>
      </c>
      <c r="P717" s="51">
        <v>1</v>
      </c>
    </row>
    <row r="718" spans="1:16" x14ac:dyDescent="0.35">
      <c r="A718" s="49">
        <v>717</v>
      </c>
      <c r="B718" s="50">
        <v>40576</v>
      </c>
      <c r="C718" s="3">
        <v>1</v>
      </c>
      <c r="D718" s="3">
        <v>0</v>
      </c>
      <c r="E718" s="3" t="s">
        <v>105</v>
      </c>
      <c r="F718" s="3">
        <v>5</v>
      </c>
      <c r="G718" s="3" t="b">
        <v>0</v>
      </c>
      <c r="H718" s="3" t="s">
        <v>110</v>
      </c>
      <c r="I718" s="3" t="s">
        <v>115</v>
      </c>
      <c r="J718" s="3">
        <v>0.22</v>
      </c>
      <c r="K718" s="3">
        <v>0.2424</v>
      </c>
      <c r="L718" s="3">
        <v>0.93</v>
      </c>
      <c r="M718" s="3">
        <v>0.1045</v>
      </c>
      <c r="N718" s="3">
        <v>0</v>
      </c>
      <c r="O718" s="3">
        <v>3</v>
      </c>
      <c r="P718" s="51">
        <v>3</v>
      </c>
    </row>
    <row r="719" spans="1:16" x14ac:dyDescent="0.35">
      <c r="A719" s="49">
        <v>718</v>
      </c>
      <c r="B719" s="50">
        <v>40576</v>
      </c>
      <c r="C719" s="3">
        <v>1</v>
      </c>
      <c r="D719" s="3">
        <v>0</v>
      </c>
      <c r="E719" s="3" t="s">
        <v>105</v>
      </c>
      <c r="F719" s="3">
        <v>6</v>
      </c>
      <c r="G719" s="3" t="b">
        <v>0</v>
      </c>
      <c r="H719" s="3" t="s">
        <v>110</v>
      </c>
      <c r="I719" s="3" t="s">
        <v>115</v>
      </c>
      <c r="J719" s="3">
        <v>0.22</v>
      </c>
      <c r="K719" s="3">
        <v>0.2424</v>
      </c>
      <c r="L719" s="3">
        <v>0.93</v>
      </c>
      <c r="M719" s="3">
        <v>0.1045</v>
      </c>
      <c r="N719" s="3">
        <v>1</v>
      </c>
      <c r="O719" s="3">
        <v>17</v>
      </c>
      <c r="P719" s="51">
        <v>18</v>
      </c>
    </row>
    <row r="720" spans="1:16" x14ac:dyDescent="0.35">
      <c r="A720" s="49">
        <v>719</v>
      </c>
      <c r="B720" s="50">
        <v>40576</v>
      </c>
      <c r="C720" s="3">
        <v>1</v>
      </c>
      <c r="D720" s="3">
        <v>0</v>
      </c>
      <c r="E720" s="3" t="s">
        <v>105</v>
      </c>
      <c r="F720" s="3">
        <v>7</v>
      </c>
      <c r="G720" s="3" t="b">
        <v>0</v>
      </c>
      <c r="H720" s="3" t="s">
        <v>110</v>
      </c>
      <c r="I720" s="3" t="s">
        <v>115</v>
      </c>
      <c r="J720" s="3">
        <v>0.22</v>
      </c>
      <c r="K720" s="3">
        <v>0.21210000000000001</v>
      </c>
      <c r="L720" s="3">
        <v>0.93</v>
      </c>
      <c r="M720" s="3">
        <v>0.22389999999999999</v>
      </c>
      <c r="N720" s="3">
        <v>1</v>
      </c>
      <c r="O720" s="3">
        <v>48</v>
      </c>
      <c r="P720" s="51">
        <v>49</v>
      </c>
    </row>
    <row r="721" spans="1:16" x14ac:dyDescent="0.35">
      <c r="A721" s="49">
        <v>720</v>
      </c>
      <c r="B721" s="50">
        <v>40576</v>
      </c>
      <c r="C721" s="3">
        <v>1</v>
      </c>
      <c r="D721" s="3">
        <v>0</v>
      </c>
      <c r="E721" s="3" t="s">
        <v>105</v>
      </c>
      <c r="F721" s="3">
        <v>8</v>
      </c>
      <c r="G721" s="3" t="b">
        <v>0</v>
      </c>
      <c r="H721" s="3" t="s">
        <v>110</v>
      </c>
      <c r="I721" s="3" t="s">
        <v>115</v>
      </c>
      <c r="J721" s="3">
        <v>0.22</v>
      </c>
      <c r="K721" s="3">
        <v>0.21210000000000001</v>
      </c>
      <c r="L721" s="3">
        <v>0.93</v>
      </c>
      <c r="M721" s="3">
        <v>0.22389999999999999</v>
      </c>
      <c r="N721" s="3">
        <v>1</v>
      </c>
      <c r="O721" s="3">
        <v>154</v>
      </c>
      <c r="P721" s="51">
        <v>155</v>
      </c>
    </row>
    <row r="722" spans="1:16" x14ac:dyDescent="0.35">
      <c r="A722" s="49">
        <v>721</v>
      </c>
      <c r="B722" s="50">
        <v>40576</v>
      </c>
      <c r="C722" s="3">
        <v>1</v>
      </c>
      <c r="D722" s="3">
        <v>0</v>
      </c>
      <c r="E722" s="3" t="s">
        <v>105</v>
      </c>
      <c r="F722" s="3">
        <v>9</v>
      </c>
      <c r="G722" s="3" t="b">
        <v>0</v>
      </c>
      <c r="H722" s="3" t="s">
        <v>110</v>
      </c>
      <c r="I722" s="3" t="s">
        <v>114</v>
      </c>
      <c r="J722" s="3">
        <v>0.24</v>
      </c>
      <c r="K722" s="3">
        <v>0.2576</v>
      </c>
      <c r="L722" s="3">
        <v>0.93</v>
      </c>
      <c r="M722" s="3">
        <v>8.9599999999999999E-2</v>
      </c>
      <c r="N722" s="3">
        <v>4</v>
      </c>
      <c r="O722" s="3">
        <v>119</v>
      </c>
      <c r="P722" s="51">
        <v>123</v>
      </c>
    </row>
    <row r="723" spans="1:16" x14ac:dyDescent="0.35">
      <c r="A723" s="49">
        <v>722</v>
      </c>
      <c r="B723" s="50">
        <v>40576</v>
      </c>
      <c r="C723" s="3">
        <v>1</v>
      </c>
      <c r="D723" s="3">
        <v>0</v>
      </c>
      <c r="E723" s="3" t="s">
        <v>105</v>
      </c>
      <c r="F723" s="3">
        <v>10</v>
      </c>
      <c r="G723" s="3" t="b">
        <v>0</v>
      </c>
      <c r="H723" s="3" t="s">
        <v>110</v>
      </c>
      <c r="I723" s="3" t="s">
        <v>114</v>
      </c>
      <c r="J723" s="3">
        <v>0.22</v>
      </c>
      <c r="K723" s="3">
        <v>0.2727</v>
      </c>
      <c r="L723" s="3">
        <v>1</v>
      </c>
      <c r="M723" s="3">
        <v>0</v>
      </c>
      <c r="N723" s="3">
        <v>2</v>
      </c>
      <c r="O723" s="3">
        <v>59</v>
      </c>
      <c r="P723" s="51">
        <v>61</v>
      </c>
    </row>
    <row r="724" spans="1:16" x14ac:dyDescent="0.35">
      <c r="A724" s="49">
        <v>723</v>
      </c>
      <c r="B724" s="50">
        <v>40576</v>
      </c>
      <c r="C724" s="3">
        <v>1</v>
      </c>
      <c r="D724" s="3">
        <v>0</v>
      </c>
      <c r="E724" s="3" t="s">
        <v>105</v>
      </c>
      <c r="F724" s="3">
        <v>11</v>
      </c>
      <c r="G724" s="3" t="b">
        <v>0</v>
      </c>
      <c r="H724" s="3" t="s">
        <v>110</v>
      </c>
      <c r="I724" s="3" t="s">
        <v>114</v>
      </c>
      <c r="J724" s="3">
        <v>0.24</v>
      </c>
      <c r="K724" s="3">
        <v>0.2273</v>
      </c>
      <c r="L724" s="3">
        <v>0.93</v>
      </c>
      <c r="M724" s="3">
        <v>0.19400000000000001</v>
      </c>
      <c r="N724" s="3">
        <v>5</v>
      </c>
      <c r="O724" s="3">
        <v>47</v>
      </c>
      <c r="P724" s="51">
        <v>52</v>
      </c>
    </row>
    <row r="725" spans="1:16" x14ac:dyDescent="0.35">
      <c r="A725" s="49">
        <v>724</v>
      </c>
      <c r="B725" s="50">
        <v>40576</v>
      </c>
      <c r="C725" s="3">
        <v>1</v>
      </c>
      <c r="D725" s="3">
        <v>0</v>
      </c>
      <c r="E725" s="3" t="s">
        <v>105</v>
      </c>
      <c r="F725" s="3">
        <v>12</v>
      </c>
      <c r="G725" s="3" t="b">
        <v>0</v>
      </c>
      <c r="H725" s="3" t="s">
        <v>110</v>
      </c>
      <c r="I725" s="3" t="s">
        <v>114</v>
      </c>
      <c r="J725" s="3">
        <v>0.24</v>
      </c>
      <c r="K725" s="3">
        <v>0.2273</v>
      </c>
      <c r="L725" s="3">
        <v>0.93</v>
      </c>
      <c r="M725" s="3">
        <v>0.22389999999999999</v>
      </c>
      <c r="N725" s="3">
        <v>3</v>
      </c>
      <c r="O725" s="3">
        <v>61</v>
      </c>
      <c r="P725" s="51">
        <v>64</v>
      </c>
    </row>
    <row r="726" spans="1:16" x14ac:dyDescent="0.35">
      <c r="A726" s="49">
        <v>725</v>
      </c>
      <c r="B726" s="50">
        <v>40576</v>
      </c>
      <c r="C726" s="3">
        <v>1</v>
      </c>
      <c r="D726" s="3">
        <v>0</v>
      </c>
      <c r="E726" s="3" t="s">
        <v>105</v>
      </c>
      <c r="F726" s="3">
        <v>13</v>
      </c>
      <c r="G726" s="3" t="b">
        <v>0</v>
      </c>
      <c r="H726" s="3" t="s">
        <v>110</v>
      </c>
      <c r="I726" s="3" t="s">
        <v>113</v>
      </c>
      <c r="J726" s="3">
        <v>0.34</v>
      </c>
      <c r="K726" s="3">
        <v>0.33329999999999999</v>
      </c>
      <c r="L726" s="3">
        <v>0.93</v>
      </c>
      <c r="M726" s="3">
        <v>0.16420000000000001</v>
      </c>
      <c r="N726" s="3">
        <v>1</v>
      </c>
      <c r="O726" s="3">
        <v>74</v>
      </c>
      <c r="P726" s="51">
        <v>75</v>
      </c>
    </row>
    <row r="727" spans="1:16" x14ac:dyDescent="0.35">
      <c r="A727" s="49">
        <v>726</v>
      </c>
      <c r="B727" s="50">
        <v>40576</v>
      </c>
      <c r="C727" s="3">
        <v>1</v>
      </c>
      <c r="D727" s="3">
        <v>0</v>
      </c>
      <c r="E727" s="3" t="s">
        <v>105</v>
      </c>
      <c r="F727" s="3">
        <v>14</v>
      </c>
      <c r="G727" s="3" t="b">
        <v>0</v>
      </c>
      <c r="H727" s="3" t="s">
        <v>110</v>
      </c>
      <c r="I727" s="3" t="s">
        <v>113</v>
      </c>
      <c r="J727" s="3">
        <v>0.38</v>
      </c>
      <c r="K727" s="3">
        <v>0.39389999999999997</v>
      </c>
      <c r="L727" s="3">
        <v>0.82</v>
      </c>
      <c r="M727" s="3">
        <v>0.3881</v>
      </c>
      <c r="N727" s="3">
        <v>2</v>
      </c>
      <c r="O727" s="3">
        <v>61</v>
      </c>
      <c r="P727" s="51">
        <v>63</v>
      </c>
    </row>
    <row r="728" spans="1:16" x14ac:dyDescent="0.35">
      <c r="A728" s="49">
        <v>727</v>
      </c>
      <c r="B728" s="50">
        <v>40576</v>
      </c>
      <c r="C728" s="3">
        <v>1</v>
      </c>
      <c r="D728" s="3">
        <v>0</v>
      </c>
      <c r="E728" s="3" t="s">
        <v>105</v>
      </c>
      <c r="F728" s="3">
        <v>15</v>
      </c>
      <c r="G728" s="3" t="b">
        <v>0</v>
      </c>
      <c r="H728" s="3" t="s">
        <v>110</v>
      </c>
      <c r="I728" s="3" t="s">
        <v>113</v>
      </c>
      <c r="J728" s="3">
        <v>0.38</v>
      </c>
      <c r="K728" s="3">
        <v>0.39389999999999997</v>
      </c>
      <c r="L728" s="3">
        <v>0.76</v>
      </c>
      <c r="M728" s="3">
        <v>0.32840000000000003</v>
      </c>
      <c r="N728" s="3">
        <v>10</v>
      </c>
      <c r="O728" s="3">
        <v>66</v>
      </c>
      <c r="P728" s="51">
        <v>76</v>
      </c>
    </row>
    <row r="729" spans="1:16" x14ac:dyDescent="0.35">
      <c r="A729" s="49">
        <v>728</v>
      </c>
      <c r="B729" s="50">
        <v>40576</v>
      </c>
      <c r="C729" s="3">
        <v>1</v>
      </c>
      <c r="D729" s="3">
        <v>0</v>
      </c>
      <c r="E729" s="3" t="s">
        <v>105</v>
      </c>
      <c r="F729" s="3">
        <v>16</v>
      </c>
      <c r="G729" s="3" t="b">
        <v>0</v>
      </c>
      <c r="H729" s="3" t="s">
        <v>110</v>
      </c>
      <c r="I729" s="3" t="s">
        <v>113</v>
      </c>
      <c r="J729" s="3">
        <v>0.36</v>
      </c>
      <c r="K729" s="3">
        <v>0.33329999999999999</v>
      </c>
      <c r="L729" s="3">
        <v>0.71</v>
      </c>
      <c r="M729" s="3">
        <v>0.29849999999999999</v>
      </c>
      <c r="N729" s="3">
        <v>8</v>
      </c>
      <c r="O729" s="3">
        <v>95</v>
      </c>
      <c r="P729" s="51">
        <v>103</v>
      </c>
    </row>
    <row r="730" spans="1:16" x14ac:dyDescent="0.35">
      <c r="A730" s="49">
        <v>729</v>
      </c>
      <c r="B730" s="50">
        <v>40576</v>
      </c>
      <c r="C730" s="3">
        <v>1</v>
      </c>
      <c r="D730" s="3">
        <v>0</v>
      </c>
      <c r="E730" s="3" t="s">
        <v>105</v>
      </c>
      <c r="F730" s="3">
        <v>17</v>
      </c>
      <c r="G730" s="3" t="b">
        <v>0</v>
      </c>
      <c r="H730" s="3" t="s">
        <v>110</v>
      </c>
      <c r="I730" s="3" t="s">
        <v>113</v>
      </c>
      <c r="J730" s="3">
        <v>0.36</v>
      </c>
      <c r="K730" s="3">
        <v>0.31819999999999998</v>
      </c>
      <c r="L730" s="3">
        <v>0.53</v>
      </c>
      <c r="M730" s="3">
        <v>0.52239999999999998</v>
      </c>
      <c r="N730" s="3">
        <v>7</v>
      </c>
      <c r="O730" s="3">
        <v>183</v>
      </c>
      <c r="P730" s="51">
        <v>190</v>
      </c>
    </row>
    <row r="731" spans="1:16" x14ac:dyDescent="0.35">
      <c r="A731" s="49">
        <v>730</v>
      </c>
      <c r="B731" s="50">
        <v>40576</v>
      </c>
      <c r="C731" s="3">
        <v>1</v>
      </c>
      <c r="D731" s="3">
        <v>0</v>
      </c>
      <c r="E731" s="3" t="s">
        <v>105</v>
      </c>
      <c r="F731" s="3">
        <v>18</v>
      </c>
      <c r="G731" s="3" t="b">
        <v>0</v>
      </c>
      <c r="H731" s="3" t="s">
        <v>110</v>
      </c>
      <c r="I731" s="3" t="s">
        <v>113</v>
      </c>
      <c r="J731" s="3">
        <v>0.34</v>
      </c>
      <c r="K731" s="3">
        <v>0.28789999999999999</v>
      </c>
      <c r="L731" s="3">
        <v>0.42</v>
      </c>
      <c r="M731" s="3">
        <v>0.55220000000000002</v>
      </c>
      <c r="N731" s="3">
        <v>7</v>
      </c>
      <c r="O731" s="3">
        <v>175</v>
      </c>
      <c r="P731" s="51">
        <v>182</v>
      </c>
    </row>
    <row r="732" spans="1:16" x14ac:dyDescent="0.35">
      <c r="A732" s="49">
        <v>731</v>
      </c>
      <c r="B732" s="50">
        <v>40576</v>
      </c>
      <c r="C732" s="3">
        <v>1</v>
      </c>
      <c r="D732" s="3">
        <v>0</v>
      </c>
      <c r="E732" s="3" t="s">
        <v>105</v>
      </c>
      <c r="F732" s="3">
        <v>19</v>
      </c>
      <c r="G732" s="3" t="b">
        <v>0</v>
      </c>
      <c r="H732" s="3" t="s">
        <v>110</v>
      </c>
      <c r="I732" s="3" t="s">
        <v>113</v>
      </c>
      <c r="J732" s="3">
        <v>0.28000000000000003</v>
      </c>
      <c r="K732" s="3">
        <v>0.2424</v>
      </c>
      <c r="L732" s="3">
        <v>0.45</v>
      </c>
      <c r="M732" s="3">
        <v>0.49249999999999999</v>
      </c>
      <c r="N732" s="3">
        <v>3</v>
      </c>
      <c r="O732" s="3">
        <v>88</v>
      </c>
      <c r="P732" s="51">
        <v>91</v>
      </c>
    </row>
    <row r="733" spans="1:16" x14ac:dyDescent="0.35">
      <c r="A733" s="49">
        <v>732</v>
      </c>
      <c r="B733" s="50">
        <v>40576</v>
      </c>
      <c r="C733" s="3">
        <v>1</v>
      </c>
      <c r="D733" s="3">
        <v>0</v>
      </c>
      <c r="E733" s="3" t="s">
        <v>105</v>
      </c>
      <c r="F733" s="3">
        <v>20</v>
      </c>
      <c r="G733" s="3" t="b">
        <v>0</v>
      </c>
      <c r="H733" s="3" t="s">
        <v>110</v>
      </c>
      <c r="I733" s="3" t="s">
        <v>113</v>
      </c>
      <c r="J733" s="3">
        <v>0.24</v>
      </c>
      <c r="K733" s="3">
        <v>0.19700000000000001</v>
      </c>
      <c r="L733" s="3">
        <v>0.48</v>
      </c>
      <c r="M733" s="3">
        <v>0.55220000000000002</v>
      </c>
      <c r="N733" s="3">
        <v>4</v>
      </c>
      <c r="O733" s="3">
        <v>71</v>
      </c>
      <c r="P733" s="51">
        <v>75</v>
      </c>
    </row>
    <row r="734" spans="1:16" x14ac:dyDescent="0.35">
      <c r="A734" s="49">
        <v>733</v>
      </c>
      <c r="B734" s="50">
        <v>40576</v>
      </c>
      <c r="C734" s="3">
        <v>1</v>
      </c>
      <c r="D734" s="3">
        <v>0</v>
      </c>
      <c r="E734" s="3" t="s">
        <v>105</v>
      </c>
      <c r="F734" s="3">
        <v>21</v>
      </c>
      <c r="G734" s="3" t="b">
        <v>0</v>
      </c>
      <c r="H734" s="3" t="s">
        <v>110</v>
      </c>
      <c r="I734" s="3" t="s">
        <v>113</v>
      </c>
      <c r="J734" s="3">
        <v>0.22</v>
      </c>
      <c r="K734" s="3">
        <v>0.19700000000000001</v>
      </c>
      <c r="L734" s="3">
        <v>0.47</v>
      </c>
      <c r="M734" s="3">
        <v>0.32840000000000003</v>
      </c>
      <c r="N734" s="3">
        <v>1</v>
      </c>
      <c r="O734" s="3">
        <v>62</v>
      </c>
      <c r="P734" s="51">
        <v>63</v>
      </c>
    </row>
    <row r="735" spans="1:16" x14ac:dyDescent="0.35">
      <c r="A735" s="49">
        <v>734</v>
      </c>
      <c r="B735" s="50">
        <v>40576</v>
      </c>
      <c r="C735" s="3">
        <v>1</v>
      </c>
      <c r="D735" s="3">
        <v>0</v>
      </c>
      <c r="E735" s="3" t="s">
        <v>105</v>
      </c>
      <c r="F735" s="3">
        <v>22</v>
      </c>
      <c r="G735" s="3" t="b">
        <v>0</v>
      </c>
      <c r="H735" s="3" t="s">
        <v>110</v>
      </c>
      <c r="I735" s="3" t="s">
        <v>113</v>
      </c>
      <c r="J735" s="3">
        <v>0.22</v>
      </c>
      <c r="K735" s="3">
        <v>0.21210000000000001</v>
      </c>
      <c r="L735" s="3">
        <v>0.44</v>
      </c>
      <c r="M735" s="3">
        <v>0.25369999999999998</v>
      </c>
      <c r="N735" s="3">
        <v>5</v>
      </c>
      <c r="O735" s="3">
        <v>35</v>
      </c>
      <c r="P735" s="51">
        <v>40</v>
      </c>
    </row>
    <row r="736" spans="1:16" x14ac:dyDescent="0.35">
      <c r="A736" s="49">
        <v>735</v>
      </c>
      <c r="B736" s="50">
        <v>40576</v>
      </c>
      <c r="C736" s="3">
        <v>1</v>
      </c>
      <c r="D736" s="3">
        <v>0</v>
      </c>
      <c r="E736" s="3" t="s">
        <v>105</v>
      </c>
      <c r="F736" s="3">
        <v>23</v>
      </c>
      <c r="G736" s="3" t="b">
        <v>0</v>
      </c>
      <c r="H736" s="3" t="s">
        <v>110</v>
      </c>
      <c r="I736" s="3" t="s">
        <v>113</v>
      </c>
      <c r="J736" s="3">
        <v>0.2</v>
      </c>
      <c r="K736" s="3">
        <v>0.16669999999999999</v>
      </c>
      <c r="L736" s="3">
        <v>0.44</v>
      </c>
      <c r="M736" s="3">
        <v>0.44779999999999998</v>
      </c>
      <c r="N736" s="3">
        <v>3</v>
      </c>
      <c r="O736" s="3">
        <v>29</v>
      </c>
      <c r="P736" s="51">
        <v>32</v>
      </c>
    </row>
    <row r="737" spans="1:16" x14ac:dyDescent="0.35">
      <c r="A737" s="49">
        <v>736</v>
      </c>
      <c r="B737" s="50">
        <v>40577</v>
      </c>
      <c r="C737" s="3">
        <v>1</v>
      </c>
      <c r="D737" s="3">
        <v>0</v>
      </c>
      <c r="E737" s="3" t="s">
        <v>105</v>
      </c>
      <c r="F737" s="3">
        <v>0</v>
      </c>
      <c r="G737" s="3" t="b">
        <v>0</v>
      </c>
      <c r="H737" s="3" t="s">
        <v>111</v>
      </c>
      <c r="I737" s="3" t="s">
        <v>113</v>
      </c>
      <c r="J737" s="3">
        <v>0.2</v>
      </c>
      <c r="K737" s="3">
        <v>0.16669999999999999</v>
      </c>
      <c r="L737" s="3">
        <v>0.4</v>
      </c>
      <c r="M737" s="3">
        <v>0.44779999999999998</v>
      </c>
      <c r="N737" s="3">
        <v>1</v>
      </c>
      <c r="O737" s="3">
        <v>11</v>
      </c>
      <c r="P737" s="51">
        <v>12</v>
      </c>
    </row>
    <row r="738" spans="1:16" x14ac:dyDescent="0.35">
      <c r="A738" s="49">
        <v>737</v>
      </c>
      <c r="B738" s="50">
        <v>40577</v>
      </c>
      <c r="C738" s="3">
        <v>1</v>
      </c>
      <c r="D738" s="3">
        <v>0</v>
      </c>
      <c r="E738" s="3" t="s">
        <v>105</v>
      </c>
      <c r="F738" s="3">
        <v>1</v>
      </c>
      <c r="G738" s="3" t="b">
        <v>0</v>
      </c>
      <c r="H738" s="3" t="s">
        <v>111</v>
      </c>
      <c r="I738" s="3" t="s">
        <v>113</v>
      </c>
      <c r="J738" s="3">
        <v>0.2</v>
      </c>
      <c r="K738" s="3">
        <v>0.1515</v>
      </c>
      <c r="L738" s="3">
        <v>0.44</v>
      </c>
      <c r="M738" s="3">
        <v>0.52239999999999998</v>
      </c>
      <c r="N738" s="3">
        <v>0</v>
      </c>
      <c r="O738" s="3">
        <v>5</v>
      </c>
      <c r="P738" s="51">
        <v>5</v>
      </c>
    </row>
    <row r="739" spans="1:16" x14ac:dyDescent="0.35">
      <c r="A739" s="49">
        <v>738</v>
      </c>
      <c r="B739" s="50">
        <v>40577</v>
      </c>
      <c r="C739" s="3">
        <v>1</v>
      </c>
      <c r="D739" s="3">
        <v>0</v>
      </c>
      <c r="E739" s="3" t="s">
        <v>105</v>
      </c>
      <c r="F739" s="3">
        <v>2</v>
      </c>
      <c r="G739" s="3" t="b">
        <v>0</v>
      </c>
      <c r="H739" s="3" t="s">
        <v>111</v>
      </c>
      <c r="I739" s="3" t="s">
        <v>113</v>
      </c>
      <c r="J739" s="3">
        <v>0.18</v>
      </c>
      <c r="K739" s="3">
        <v>0.16669999999999999</v>
      </c>
      <c r="L739" s="3">
        <v>0.43</v>
      </c>
      <c r="M739" s="3">
        <v>0.25369999999999998</v>
      </c>
      <c r="N739" s="3">
        <v>0</v>
      </c>
      <c r="O739" s="3">
        <v>2</v>
      </c>
      <c r="P739" s="51">
        <v>2</v>
      </c>
    </row>
    <row r="740" spans="1:16" x14ac:dyDescent="0.35">
      <c r="A740" s="49">
        <v>739</v>
      </c>
      <c r="B740" s="50">
        <v>40577</v>
      </c>
      <c r="C740" s="3">
        <v>1</v>
      </c>
      <c r="D740" s="3">
        <v>0</v>
      </c>
      <c r="E740" s="3" t="s">
        <v>105</v>
      </c>
      <c r="F740" s="3">
        <v>3</v>
      </c>
      <c r="G740" s="3" t="b">
        <v>0</v>
      </c>
      <c r="H740" s="3" t="s">
        <v>111</v>
      </c>
      <c r="I740" s="3" t="s">
        <v>113</v>
      </c>
      <c r="J740" s="3">
        <v>0.18</v>
      </c>
      <c r="K740" s="3">
        <v>0.16669999999999999</v>
      </c>
      <c r="L740" s="3">
        <v>0.43</v>
      </c>
      <c r="M740" s="3">
        <v>0.25369999999999998</v>
      </c>
      <c r="N740" s="3">
        <v>0</v>
      </c>
      <c r="O740" s="3">
        <v>1</v>
      </c>
      <c r="P740" s="51">
        <v>1</v>
      </c>
    </row>
    <row r="741" spans="1:16" x14ac:dyDescent="0.35">
      <c r="A741" s="49">
        <v>740</v>
      </c>
      <c r="B741" s="50">
        <v>40577</v>
      </c>
      <c r="C741" s="3">
        <v>1</v>
      </c>
      <c r="D741" s="3">
        <v>0</v>
      </c>
      <c r="E741" s="3" t="s">
        <v>105</v>
      </c>
      <c r="F741" s="3">
        <v>5</v>
      </c>
      <c r="G741" s="3" t="b">
        <v>0</v>
      </c>
      <c r="H741" s="3" t="s">
        <v>111</v>
      </c>
      <c r="I741" s="3" t="s">
        <v>113</v>
      </c>
      <c r="J741" s="3">
        <v>0.16</v>
      </c>
      <c r="K741" s="3">
        <v>0.13639999999999999</v>
      </c>
      <c r="L741" s="3">
        <v>0.5</v>
      </c>
      <c r="M741" s="3">
        <v>0.29849999999999999</v>
      </c>
      <c r="N741" s="3">
        <v>0</v>
      </c>
      <c r="O741" s="3">
        <v>2</v>
      </c>
      <c r="P741" s="51">
        <v>2</v>
      </c>
    </row>
    <row r="742" spans="1:16" x14ac:dyDescent="0.35">
      <c r="A742" s="49">
        <v>741</v>
      </c>
      <c r="B742" s="50">
        <v>40577</v>
      </c>
      <c r="C742" s="3">
        <v>1</v>
      </c>
      <c r="D742" s="3">
        <v>0</v>
      </c>
      <c r="E742" s="3" t="s">
        <v>105</v>
      </c>
      <c r="F742" s="3">
        <v>6</v>
      </c>
      <c r="G742" s="3" t="b">
        <v>0</v>
      </c>
      <c r="H742" s="3" t="s">
        <v>111</v>
      </c>
      <c r="I742" s="3" t="s">
        <v>113</v>
      </c>
      <c r="J742" s="3">
        <v>0.16</v>
      </c>
      <c r="K742" s="3">
        <v>0.13639999999999999</v>
      </c>
      <c r="L742" s="3">
        <v>0.43</v>
      </c>
      <c r="M742" s="3">
        <v>0.35820000000000002</v>
      </c>
      <c r="N742" s="3">
        <v>0</v>
      </c>
      <c r="O742" s="3">
        <v>39</v>
      </c>
      <c r="P742" s="51">
        <v>39</v>
      </c>
    </row>
    <row r="743" spans="1:16" x14ac:dyDescent="0.35">
      <c r="A743" s="49">
        <v>742</v>
      </c>
      <c r="B743" s="50">
        <v>40577</v>
      </c>
      <c r="C743" s="3">
        <v>1</v>
      </c>
      <c r="D743" s="3">
        <v>0</v>
      </c>
      <c r="E743" s="3" t="s">
        <v>105</v>
      </c>
      <c r="F743" s="3">
        <v>7</v>
      </c>
      <c r="G743" s="3" t="b">
        <v>0</v>
      </c>
      <c r="H743" s="3" t="s">
        <v>111</v>
      </c>
      <c r="I743" s="3" t="s">
        <v>113</v>
      </c>
      <c r="J743" s="3">
        <v>0.14000000000000001</v>
      </c>
      <c r="K743" s="3">
        <v>0.1212</v>
      </c>
      <c r="L743" s="3">
        <v>0.5</v>
      </c>
      <c r="M743" s="3">
        <v>0.32840000000000003</v>
      </c>
      <c r="N743" s="3">
        <v>1</v>
      </c>
      <c r="O743" s="3">
        <v>86</v>
      </c>
      <c r="P743" s="51">
        <v>87</v>
      </c>
    </row>
    <row r="744" spans="1:16" x14ac:dyDescent="0.35">
      <c r="A744" s="49">
        <v>743</v>
      </c>
      <c r="B744" s="50">
        <v>40577</v>
      </c>
      <c r="C744" s="3">
        <v>1</v>
      </c>
      <c r="D744" s="3">
        <v>0</v>
      </c>
      <c r="E744" s="3" t="s">
        <v>105</v>
      </c>
      <c r="F744" s="3">
        <v>8</v>
      </c>
      <c r="G744" s="3" t="b">
        <v>0</v>
      </c>
      <c r="H744" s="3" t="s">
        <v>111</v>
      </c>
      <c r="I744" s="3" t="s">
        <v>113</v>
      </c>
      <c r="J744" s="3">
        <v>0.14000000000000001</v>
      </c>
      <c r="K744" s="3">
        <v>0.1212</v>
      </c>
      <c r="L744" s="3">
        <v>0.5</v>
      </c>
      <c r="M744" s="3">
        <v>0.35820000000000002</v>
      </c>
      <c r="N744" s="3">
        <v>4</v>
      </c>
      <c r="O744" s="3">
        <v>184</v>
      </c>
      <c r="P744" s="51">
        <v>188</v>
      </c>
    </row>
    <row r="745" spans="1:16" x14ac:dyDescent="0.35">
      <c r="A745" s="49">
        <v>744</v>
      </c>
      <c r="B745" s="50">
        <v>40577</v>
      </c>
      <c r="C745" s="3">
        <v>1</v>
      </c>
      <c r="D745" s="3">
        <v>0</v>
      </c>
      <c r="E745" s="3" t="s">
        <v>105</v>
      </c>
      <c r="F745" s="3">
        <v>9</v>
      </c>
      <c r="G745" s="3" t="b">
        <v>0</v>
      </c>
      <c r="H745" s="3" t="s">
        <v>111</v>
      </c>
      <c r="I745" s="3" t="s">
        <v>113</v>
      </c>
      <c r="J745" s="3">
        <v>0.16</v>
      </c>
      <c r="K745" s="3">
        <v>0.13639999999999999</v>
      </c>
      <c r="L745" s="3">
        <v>0.47</v>
      </c>
      <c r="M745" s="3">
        <v>0.29849999999999999</v>
      </c>
      <c r="N745" s="3">
        <v>6</v>
      </c>
      <c r="O745" s="3">
        <v>127</v>
      </c>
      <c r="P745" s="51">
        <v>133</v>
      </c>
    </row>
    <row r="746" spans="1:16" x14ac:dyDescent="0.35">
      <c r="A746" s="49">
        <v>745</v>
      </c>
      <c r="B746" s="50">
        <v>40577</v>
      </c>
      <c r="C746" s="3">
        <v>1</v>
      </c>
      <c r="D746" s="3">
        <v>0</v>
      </c>
      <c r="E746" s="3" t="s">
        <v>105</v>
      </c>
      <c r="F746" s="3">
        <v>10</v>
      </c>
      <c r="G746" s="3" t="b">
        <v>0</v>
      </c>
      <c r="H746" s="3" t="s">
        <v>111</v>
      </c>
      <c r="I746" s="3" t="s">
        <v>113</v>
      </c>
      <c r="J746" s="3">
        <v>0.18</v>
      </c>
      <c r="K746" s="3">
        <v>0.1515</v>
      </c>
      <c r="L746" s="3">
        <v>0.43</v>
      </c>
      <c r="M746" s="3">
        <v>0.32840000000000003</v>
      </c>
      <c r="N746" s="3">
        <v>2</v>
      </c>
      <c r="O746" s="3">
        <v>50</v>
      </c>
      <c r="P746" s="51">
        <v>52</v>
      </c>
    </row>
    <row r="747" spans="1:16" x14ac:dyDescent="0.35">
      <c r="A747" s="49">
        <v>746</v>
      </c>
      <c r="B747" s="50">
        <v>40577</v>
      </c>
      <c r="C747" s="3">
        <v>1</v>
      </c>
      <c r="D747" s="3">
        <v>0</v>
      </c>
      <c r="E747" s="3" t="s">
        <v>105</v>
      </c>
      <c r="F747" s="3">
        <v>11</v>
      </c>
      <c r="G747" s="3" t="b">
        <v>0</v>
      </c>
      <c r="H747" s="3" t="s">
        <v>111</v>
      </c>
      <c r="I747" s="3" t="s">
        <v>113</v>
      </c>
      <c r="J747" s="3">
        <v>0.18</v>
      </c>
      <c r="K747" s="3">
        <v>0.13639999999999999</v>
      </c>
      <c r="L747" s="3">
        <v>0.43</v>
      </c>
      <c r="M747" s="3">
        <v>0.44779999999999998</v>
      </c>
      <c r="N747" s="3">
        <v>9</v>
      </c>
      <c r="O747" s="3">
        <v>55</v>
      </c>
      <c r="P747" s="51">
        <v>64</v>
      </c>
    </row>
    <row r="748" spans="1:16" x14ac:dyDescent="0.35">
      <c r="A748" s="49">
        <v>747</v>
      </c>
      <c r="B748" s="50">
        <v>40577</v>
      </c>
      <c r="C748" s="3">
        <v>1</v>
      </c>
      <c r="D748" s="3">
        <v>0</v>
      </c>
      <c r="E748" s="3" t="s">
        <v>105</v>
      </c>
      <c r="F748" s="3">
        <v>12</v>
      </c>
      <c r="G748" s="3" t="b">
        <v>0</v>
      </c>
      <c r="H748" s="3" t="s">
        <v>111</v>
      </c>
      <c r="I748" s="3" t="s">
        <v>113</v>
      </c>
      <c r="J748" s="3">
        <v>0.2</v>
      </c>
      <c r="K748" s="3">
        <v>0.18179999999999999</v>
      </c>
      <c r="L748" s="3">
        <v>0.4</v>
      </c>
      <c r="M748" s="3">
        <v>0.35820000000000002</v>
      </c>
      <c r="N748" s="3">
        <v>2</v>
      </c>
      <c r="O748" s="3">
        <v>67</v>
      </c>
      <c r="P748" s="51">
        <v>69</v>
      </c>
    </row>
    <row r="749" spans="1:16" x14ac:dyDescent="0.35">
      <c r="A749" s="49">
        <v>748</v>
      </c>
      <c r="B749" s="50">
        <v>40577</v>
      </c>
      <c r="C749" s="3">
        <v>1</v>
      </c>
      <c r="D749" s="3">
        <v>0</v>
      </c>
      <c r="E749" s="3" t="s">
        <v>105</v>
      </c>
      <c r="F749" s="3">
        <v>13</v>
      </c>
      <c r="G749" s="3" t="b">
        <v>0</v>
      </c>
      <c r="H749" s="3" t="s">
        <v>111</v>
      </c>
      <c r="I749" s="3" t="s">
        <v>113</v>
      </c>
      <c r="J749" s="3">
        <v>0.2</v>
      </c>
      <c r="K749" s="3">
        <v>0.16669999999999999</v>
      </c>
      <c r="L749" s="3">
        <v>0.4</v>
      </c>
      <c r="M749" s="3">
        <v>0.41789999999999999</v>
      </c>
      <c r="N749" s="3">
        <v>4</v>
      </c>
      <c r="O749" s="3">
        <v>47</v>
      </c>
      <c r="P749" s="51">
        <v>51</v>
      </c>
    </row>
    <row r="750" spans="1:16" x14ac:dyDescent="0.35">
      <c r="A750" s="49">
        <v>749</v>
      </c>
      <c r="B750" s="50">
        <v>40577</v>
      </c>
      <c r="C750" s="3">
        <v>1</v>
      </c>
      <c r="D750" s="3">
        <v>0</v>
      </c>
      <c r="E750" s="3" t="s">
        <v>105</v>
      </c>
      <c r="F750" s="3">
        <v>14</v>
      </c>
      <c r="G750" s="3" t="b">
        <v>0</v>
      </c>
      <c r="H750" s="3" t="s">
        <v>111</v>
      </c>
      <c r="I750" s="3" t="s">
        <v>113</v>
      </c>
      <c r="J750" s="3">
        <v>0.22</v>
      </c>
      <c r="K750" s="3">
        <v>0.19700000000000001</v>
      </c>
      <c r="L750" s="3">
        <v>0.37</v>
      </c>
      <c r="M750" s="3">
        <v>0.3881</v>
      </c>
      <c r="N750" s="3">
        <v>4</v>
      </c>
      <c r="O750" s="3">
        <v>43</v>
      </c>
      <c r="P750" s="51">
        <v>47</v>
      </c>
    </row>
    <row r="751" spans="1:16" x14ac:dyDescent="0.35">
      <c r="A751" s="49">
        <v>750</v>
      </c>
      <c r="B751" s="50">
        <v>40577</v>
      </c>
      <c r="C751" s="3">
        <v>1</v>
      </c>
      <c r="D751" s="3">
        <v>0</v>
      </c>
      <c r="E751" s="3" t="s">
        <v>105</v>
      </c>
      <c r="F751" s="3">
        <v>15</v>
      </c>
      <c r="G751" s="3" t="b">
        <v>0</v>
      </c>
      <c r="H751" s="3" t="s">
        <v>111</v>
      </c>
      <c r="I751" s="3" t="s">
        <v>113</v>
      </c>
      <c r="J751" s="3">
        <v>0.22</v>
      </c>
      <c r="K751" s="3">
        <v>0.19700000000000001</v>
      </c>
      <c r="L751" s="3">
        <v>0.37</v>
      </c>
      <c r="M751" s="3">
        <v>0.32840000000000003</v>
      </c>
      <c r="N751" s="3">
        <v>4</v>
      </c>
      <c r="O751" s="3">
        <v>56</v>
      </c>
      <c r="P751" s="51">
        <v>60</v>
      </c>
    </row>
    <row r="752" spans="1:16" x14ac:dyDescent="0.35">
      <c r="A752" s="49">
        <v>751</v>
      </c>
      <c r="B752" s="50">
        <v>40577</v>
      </c>
      <c r="C752" s="3">
        <v>1</v>
      </c>
      <c r="D752" s="3">
        <v>0</v>
      </c>
      <c r="E752" s="3" t="s">
        <v>105</v>
      </c>
      <c r="F752" s="3">
        <v>16</v>
      </c>
      <c r="G752" s="3" t="b">
        <v>0</v>
      </c>
      <c r="H752" s="3" t="s">
        <v>111</v>
      </c>
      <c r="I752" s="3" t="s">
        <v>113</v>
      </c>
      <c r="J752" s="3">
        <v>0.22</v>
      </c>
      <c r="K752" s="3">
        <v>0.21210000000000001</v>
      </c>
      <c r="L752" s="3">
        <v>0.37</v>
      </c>
      <c r="M752" s="3">
        <v>0.25369999999999998</v>
      </c>
      <c r="N752" s="3">
        <v>5</v>
      </c>
      <c r="O752" s="3">
        <v>73</v>
      </c>
      <c r="P752" s="51">
        <v>78</v>
      </c>
    </row>
    <row r="753" spans="1:16" x14ac:dyDescent="0.35">
      <c r="A753" s="49">
        <v>752</v>
      </c>
      <c r="B753" s="50">
        <v>40577</v>
      </c>
      <c r="C753" s="3">
        <v>1</v>
      </c>
      <c r="D753" s="3">
        <v>0</v>
      </c>
      <c r="E753" s="3" t="s">
        <v>105</v>
      </c>
      <c r="F753" s="3">
        <v>17</v>
      </c>
      <c r="G753" s="3" t="b">
        <v>0</v>
      </c>
      <c r="H753" s="3" t="s">
        <v>111</v>
      </c>
      <c r="I753" s="3" t="s">
        <v>113</v>
      </c>
      <c r="J753" s="3">
        <v>0.2</v>
      </c>
      <c r="K753" s="3">
        <v>0.19700000000000001</v>
      </c>
      <c r="L753" s="3">
        <v>0.4</v>
      </c>
      <c r="M753" s="3">
        <v>0.19400000000000001</v>
      </c>
      <c r="N753" s="3">
        <v>5</v>
      </c>
      <c r="O753" s="3">
        <v>170</v>
      </c>
      <c r="P753" s="51">
        <v>175</v>
      </c>
    </row>
    <row r="754" spans="1:16" x14ac:dyDescent="0.35">
      <c r="A754" s="49">
        <v>753</v>
      </c>
      <c r="B754" s="50">
        <v>40577</v>
      </c>
      <c r="C754" s="3">
        <v>1</v>
      </c>
      <c r="D754" s="3">
        <v>0</v>
      </c>
      <c r="E754" s="3" t="s">
        <v>105</v>
      </c>
      <c r="F754" s="3">
        <v>18</v>
      </c>
      <c r="G754" s="3" t="b">
        <v>0</v>
      </c>
      <c r="H754" s="3" t="s">
        <v>111</v>
      </c>
      <c r="I754" s="3" t="s">
        <v>113</v>
      </c>
      <c r="J754" s="3">
        <v>0.2</v>
      </c>
      <c r="K754" s="3">
        <v>0.21210000000000001</v>
      </c>
      <c r="L754" s="3">
        <v>0.4</v>
      </c>
      <c r="M754" s="3">
        <v>0.16420000000000001</v>
      </c>
      <c r="N754" s="3">
        <v>2</v>
      </c>
      <c r="O754" s="3">
        <v>145</v>
      </c>
      <c r="P754" s="51">
        <v>147</v>
      </c>
    </row>
    <row r="755" spans="1:16" x14ac:dyDescent="0.35">
      <c r="A755" s="49">
        <v>754</v>
      </c>
      <c r="B755" s="50">
        <v>40577</v>
      </c>
      <c r="C755" s="3">
        <v>1</v>
      </c>
      <c r="D755" s="3">
        <v>0</v>
      </c>
      <c r="E755" s="3" t="s">
        <v>105</v>
      </c>
      <c r="F755" s="3">
        <v>19</v>
      </c>
      <c r="G755" s="3" t="b">
        <v>0</v>
      </c>
      <c r="H755" s="3" t="s">
        <v>111</v>
      </c>
      <c r="I755" s="3" t="s">
        <v>113</v>
      </c>
      <c r="J755" s="3">
        <v>0.2</v>
      </c>
      <c r="K755" s="3">
        <v>0.2576</v>
      </c>
      <c r="L755" s="3">
        <v>0.4</v>
      </c>
      <c r="M755" s="3">
        <v>0</v>
      </c>
      <c r="N755" s="3">
        <v>4</v>
      </c>
      <c r="O755" s="3">
        <v>92</v>
      </c>
      <c r="P755" s="51">
        <v>96</v>
      </c>
    </row>
    <row r="756" spans="1:16" x14ac:dyDescent="0.35">
      <c r="A756" s="49">
        <v>755</v>
      </c>
      <c r="B756" s="50">
        <v>40577</v>
      </c>
      <c r="C756" s="3">
        <v>1</v>
      </c>
      <c r="D756" s="3">
        <v>0</v>
      </c>
      <c r="E756" s="3" t="s">
        <v>105</v>
      </c>
      <c r="F756" s="3">
        <v>20</v>
      </c>
      <c r="G756" s="3" t="b">
        <v>0</v>
      </c>
      <c r="H756" s="3" t="s">
        <v>111</v>
      </c>
      <c r="I756" s="3" t="s">
        <v>113</v>
      </c>
      <c r="J756" s="3">
        <v>0.2</v>
      </c>
      <c r="K756" s="3">
        <v>0.2273</v>
      </c>
      <c r="L756" s="3">
        <v>0.47</v>
      </c>
      <c r="M756" s="3">
        <v>8.9599999999999999E-2</v>
      </c>
      <c r="N756" s="3">
        <v>1</v>
      </c>
      <c r="O756" s="3">
        <v>108</v>
      </c>
      <c r="P756" s="51">
        <v>109</v>
      </c>
    </row>
    <row r="757" spans="1:16" x14ac:dyDescent="0.35">
      <c r="A757" s="49">
        <v>756</v>
      </c>
      <c r="B757" s="50">
        <v>40577</v>
      </c>
      <c r="C757" s="3">
        <v>1</v>
      </c>
      <c r="D757" s="3">
        <v>0</v>
      </c>
      <c r="E757" s="3" t="s">
        <v>105</v>
      </c>
      <c r="F757" s="3">
        <v>21</v>
      </c>
      <c r="G757" s="3" t="b">
        <v>0</v>
      </c>
      <c r="H757" s="3" t="s">
        <v>111</v>
      </c>
      <c r="I757" s="3" t="s">
        <v>113</v>
      </c>
      <c r="J757" s="3">
        <v>0.18</v>
      </c>
      <c r="K757" s="3">
        <v>0.21210000000000001</v>
      </c>
      <c r="L757" s="3">
        <v>0.55000000000000004</v>
      </c>
      <c r="M757" s="3">
        <v>0.1045</v>
      </c>
      <c r="N757" s="3">
        <v>1</v>
      </c>
      <c r="O757" s="3">
        <v>53</v>
      </c>
      <c r="P757" s="51">
        <v>54</v>
      </c>
    </row>
    <row r="758" spans="1:16" x14ac:dyDescent="0.35">
      <c r="A758" s="49">
        <v>757</v>
      </c>
      <c r="B758" s="50">
        <v>40577</v>
      </c>
      <c r="C758" s="3">
        <v>1</v>
      </c>
      <c r="D758" s="3">
        <v>0</v>
      </c>
      <c r="E758" s="3" t="s">
        <v>105</v>
      </c>
      <c r="F758" s="3">
        <v>22</v>
      </c>
      <c r="G758" s="3" t="b">
        <v>0</v>
      </c>
      <c r="H758" s="3" t="s">
        <v>111</v>
      </c>
      <c r="I758" s="3" t="s">
        <v>113</v>
      </c>
      <c r="J758" s="3">
        <v>0.18</v>
      </c>
      <c r="K758" s="3">
        <v>0.21210000000000001</v>
      </c>
      <c r="L758" s="3">
        <v>0.51</v>
      </c>
      <c r="M758" s="3">
        <v>8.9599999999999999E-2</v>
      </c>
      <c r="N758" s="3">
        <v>2</v>
      </c>
      <c r="O758" s="3">
        <v>39</v>
      </c>
      <c r="P758" s="51">
        <v>41</v>
      </c>
    </row>
    <row r="759" spans="1:16" x14ac:dyDescent="0.35">
      <c r="A759" s="49">
        <v>758</v>
      </c>
      <c r="B759" s="50">
        <v>40577</v>
      </c>
      <c r="C759" s="3">
        <v>1</v>
      </c>
      <c r="D759" s="3">
        <v>0</v>
      </c>
      <c r="E759" s="3" t="s">
        <v>105</v>
      </c>
      <c r="F759" s="3">
        <v>23</v>
      </c>
      <c r="G759" s="3" t="b">
        <v>0</v>
      </c>
      <c r="H759" s="3" t="s">
        <v>111</v>
      </c>
      <c r="I759" s="3" t="s">
        <v>113</v>
      </c>
      <c r="J759" s="3">
        <v>0.2</v>
      </c>
      <c r="K759" s="3">
        <v>0.2273</v>
      </c>
      <c r="L759" s="3">
        <v>0.47</v>
      </c>
      <c r="M759" s="3">
        <v>0.1045</v>
      </c>
      <c r="N759" s="3">
        <v>4</v>
      </c>
      <c r="O759" s="3">
        <v>34</v>
      </c>
      <c r="P759" s="51">
        <v>38</v>
      </c>
    </row>
    <row r="760" spans="1:16" x14ac:dyDescent="0.35">
      <c r="A760" s="49">
        <v>759</v>
      </c>
      <c r="B760" s="50">
        <v>40578</v>
      </c>
      <c r="C760" s="3">
        <v>1</v>
      </c>
      <c r="D760" s="3">
        <v>0</v>
      </c>
      <c r="E760" s="3" t="s">
        <v>105</v>
      </c>
      <c r="F760" s="3">
        <v>0</v>
      </c>
      <c r="G760" s="3" t="b">
        <v>0</v>
      </c>
      <c r="H760" s="3" t="s">
        <v>112</v>
      </c>
      <c r="I760" s="3" t="s">
        <v>114</v>
      </c>
      <c r="J760" s="3">
        <v>0.2</v>
      </c>
      <c r="K760" s="3">
        <v>0.2576</v>
      </c>
      <c r="L760" s="3">
        <v>0.44</v>
      </c>
      <c r="M760" s="3">
        <v>0</v>
      </c>
      <c r="N760" s="3">
        <v>3</v>
      </c>
      <c r="O760" s="3">
        <v>10</v>
      </c>
      <c r="P760" s="51">
        <v>13</v>
      </c>
    </row>
    <row r="761" spans="1:16" x14ac:dyDescent="0.35">
      <c r="A761" s="49">
        <v>760</v>
      </c>
      <c r="B761" s="50">
        <v>40578</v>
      </c>
      <c r="C761" s="3">
        <v>1</v>
      </c>
      <c r="D761" s="3">
        <v>0</v>
      </c>
      <c r="E761" s="3" t="s">
        <v>105</v>
      </c>
      <c r="F761" s="3">
        <v>1</v>
      </c>
      <c r="G761" s="3" t="b">
        <v>0</v>
      </c>
      <c r="H761" s="3" t="s">
        <v>112</v>
      </c>
      <c r="I761" s="3" t="s">
        <v>114</v>
      </c>
      <c r="J761" s="3">
        <v>0.16</v>
      </c>
      <c r="K761" s="3">
        <v>0.2273</v>
      </c>
      <c r="L761" s="3">
        <v>0.59</v>
      </c>
      <c r="M761" s="3">
        <v>0</v>
      </c>
      <c r="N761" s="3">
        <v>0</v>
      </c>
      <c r="O761" s="3">
        <v>7</v>
      </c>
      <c r="P761" s="51">
        <v>7</v>
      </c>
    </row>
    <row r="762" spans="1:16" x14ac:dyDescent="0.35">
      <c r="A762" s="49">
        <v>761</v>
      </c>
      <c r="B762" s="50">
        <v>40578</v>
      </c>
      <c r="C762" s="3">
        <v>1</v>
      </c>
      <c r="D762" s="3">
        <v>0</v>
      </c>
      <c r="E762" s="3" t="s">
        <v>105</v>
      </c>
      <c r="F762" s="3">
        <v>2</v>
      </c>
      <c r="G762" s="3" t="b">
        <v>0</v>
      </c>
      <c r="H762" s="3" t="s">
        <v>112</v>
      </c>
      <c r="I762" s="3" t="s">
        <v>114</v>
      </c>
      <c r="J762" s="3">
        <v>0.14000000000000001</v>
      </c>
      <c r="K762" s="3">
        <v>0.16669999999999999</v>
      </c>
      <c r="L762" s="3">
        <v>0.63</v>
      </c>
      <c r="M762" s="3">
        <v>0.1045</v>
      </c>
      <c r="N762" s="3">
        <v>0</v>
      </c>
      <c r="O762" s="3">
        <v>1</v>
      </c>
      <c r="P762" s="51">
        <v>1</v>
      </c>
    </row>
    <row r="763" spans="1:16" x14ac:dyDescent="0.35">
      <c r="A763" s="49">
        <v>762</v>
      </c>
      <c r="B763" s="50">
        <v>40578</v>
      </c>
      <c r="C763" s="3">
        <v>1</v>
      </c>
      <c r="D763" s="3">
        <v>0</v>
      </c>
      <c r="E763" s="3" t="s">
        <v>105</v>
      </c>
      <c r="F763" s="3">
        <v>3</v>
      </c>
      <c r="G763" s="3" t="b">
        <v>0</v>
      </c>
      <c r="H763" s="3" t="s">
        <v>112</v>
      </c>
      <c r="I763" s="3" t="s">
        <v>114</v>
      </c>
      <c r="J763" s="3">
        <v>0.14000000000000001</v>
      </c>
      <c r="K763" s="3">
        <v>0.16669999999999999</v>
      </c>
      <c r="L763" s="3">
        <v>0.63</v>
      </c>
      <c r="M763" s="3">
        <v>0.1045</v>
      </c>
      <c r="N763" s="3">
        <v>0</v>
      </c>
      <c r="O763" s="3">
        <v>1</v>
      </c>
      <c r="P763" s="51">
        <v>1</v>
      </c>
    </row>
    <row r="764" spans="1:16" x14ac:dyDescent="0.35">
      <c r="A764" s="49">
        <v>763</v>
      </c>
      <c r="B764" s="50">
        <v>40578</v>
      </c>
      <c r="C764" s="3">
        <v>1</v>
      </c>
      <c r="D764" s="3">
        <v>0</v>
      </c>
      <c r="E764" s="3" t="s">
        <v>105</v>
      </c>
      <c r="F764" s="3">
        <v>5</v>
      </c>
      <c r="G764" s="3" t="b">
        <v>0</v>
      </c>
      <c r="H764" s="3" t="s">
        <v>112</v>
      </c>
      <c r="I764" s="3" t="s">
        <v>114</v>
      </c>
      <c r="J764" s="3">
        <v>0.14000000000000001</v>
      </c>
      <c r="K764" s="3">
        <v>0.1515</v>
      </c>
      <c r="L764" s="3">
        <v>0.63</v>
      </c>
      <c r="M764" s="3">
        <v>0.1343</v>
      </c>
      <c r="N764" s="3">
        <v>0</v>
      </c>
      <c r="O764" s="3">
        <v>7</v>
      </c>
      <c r="P764" s="51">
        <v>7</v>
      </c>
    </row>
    <row r="765" spans="1:16" x14ac:dyDescent="0.35">
      <c r="A765" s="49">
        <v>764</v>
      </c>
      <c r="B765" s="50">
        <v>40578</v>
      </c>
      <c r="C765" s="3">
        <v>1</v>
      </c>
      <c r="D765" s="3">
        <v>0</v>
      </c>
      <c r="E765" s="3" t="s">
        <v>105</v>
      </c>
      <c r="F765" s="3">
        <v>6</v>
      </c>
      <c r="G765" s="3" t="b">
        <v>0</v>
      </c>
      <c r="H765" s="3" t="s">
        <v>112</v>
      </c>
      <c r="I765" s="3" t="s">
        <v>114</v>
      </c>
      <c r="J765" s="3">
        <v>0.16</v>
      </c>
      <c r="K765" s="3">
        <v>0.2273</v>
      </c>
      <c r="L765" s="3">
        <v>0.55000000000000004</v>
      </c>
      <c r="M765" s="3">
        <v>0</v>
      </c>
      <c r="N765" s="3">
        <v>2</v>
      </c>
      <c r="O765" s="3">
        <v>26</v>
      </c>
      <c r="P765" s="51">
        <v>28</v>
      </c>
    </row>
    <row r="766" spans="1:16" x14ac:dyDescent="0.35">
      <c r="A766" s="49">
        <v>765</v>
      </c>
      <c r="B766" s="50">
        <v>40578</v>
      </c>
      <c r="C766" s="3">
        <v>1</v>
      </c>
      <c r="D766" s="3">
        <v>0</v>
      </c>
      <c r="E766" s="3" t="s">
        <v>105</v>
      </c>
      <c r="F766" s="3">
        <v>7</v>
      </c>
      <c r="G766" s="3" t="b">
        <v>0</v>
      </c>
      <c r="H766" s="3" t="s">
        <v>112</v>
      </c>
      <c r="I766" s="3" t="s">
        <v>113</v>
      </c>
      <c r="J766" s="3">
        <v>0.14000000000000001</v>
      </c>
      <c r="K766" s="3">
        <v>0.21210000000000001</v>
      </c>
      <c r="L766" s="3">
        <v>0.59</v>
      </c>
      <c r="M766" s="3">
        <v>0</v>
      </c>
      <c r="N766" s="3">
        <v>0</v>
      </c>
      <c r="O766" s="3">
        <v>87</v>
      </c>
      <c r="P766" s="51">
        <v>87</v>
      </c>
    </row>
    <row r="767" spans="1:16" x14ac:dyDescent="0.35">
      <c r="A767" s="49">
        <v>766</v>
      </c>
      <c r="B767" s="50">
        <v>40578</v>
      </c>
      <c r="C767" s="3">
        <v>1</v>
      </c>
      <c r="D767" s="3">
        <v>0</v>
      </c>
      <c r="E767" s="3" t="s">
        <v>105</v>
      </c>
      <c r="F767" s="3">
        <v>8</v>
      </c>
      <c r="G767" s="3" t="b">
        <v>0</v>
      </c>
      <c r="H767" s="3" t="s">
        <v>112</v>
      </c>
      <c r="I767" s="3" t="s">
        <v>113</v>
      </c>
      <c r="J767" s="3">
        <v>0.14000000000000001</v>
      </c>
      <c r="K767" s="3">
        <v>0.1515</v>
      </c>
      <c r="L767" s="3">
        <v>0.74</v>
      </c>
      <c r="M767" s="3">
        <v>0.1343</v>
      </c>
      <c r="N767" s="3">
        <v>3</v>
      </c>
      <c r="O767" s="3">
        <v>217</v>
      </c>
      <c r="P767" s="51">
        <v>220</v>
      </c>
    </row>
    <row r="768" spans="1:16" x14ac:dyDescent="0.35">
      <c r="A768" s="49">
        <v>767</v>
      </c>
      <c r="B768" s="50">
        <v>40578</v>
      </c>
      <c r="C768" s="3">
        <v>1</v>
      </c>
      <c r="D768" s="3">
        <v>0</v>
      </c>
      <c r="E768" s="3" t="s">
        <v>105</v>
      </c>
      <c r="F768" s="3">
        <v>9</v>
      </c>
      <c r="G768" s="3" t="b">
        <v>0</v>
      </c>
      <c r="H768" s="3" t="s">
        <v>112</v>
      </c>
      <c r="I768" s="3" t="s">
        <v>114</v>
      </c>
      <c r="J768" s="3">
        <v>0.16</v>
      </c>
      <c r="K768" s="3">
        <v>0.18179999999999999</v>
      </c>
      <c r="L768" s="3">
        <v>0.8</v>
      </c>
      <c r="M768" s="3">
        <v>0.1343</v>
      </c>
      <c r="N768" s="3">
        <v>3</v>
      </c>
      <c r="O768" s="3">
        <v>124</v>
      </c>
      <c r="P768" s="51">
        <v>127</v>
      </c>
    </row>
    <row r="769" spans="1:16" x14ac:dyDescent="0.35">
      <c r="A769" s="49">
        <v>768</v>
      </c>
      <c r="B769" s="50">
        <v>40578</v>
      </c>
      <c r="C769" s="3">
        <v>1</v>
      </c>
      <c r="D769" s="3">
        <v>0</v>
      </c>
      <c r="E769" s="3" t="s">
        <v>105</v>
      </c>
      <c r="F769" s="3">
        <v>10</v>
      </c>
      <c r="G769" s="3" t="b">
        <v>0</v>
      </c>
      <c r="H769" s="3" t="s">
        <v>112</v>
      </c>
      <c r="I769" s="3" t="s">
        <v>114</v>
      </c>
      <c r="J769" s="3">
        <v>0.2</v>
      </c>
      <c r="K769" s="3">
        <v>0.21210000000000001</v>
      </c>
      <c r="L769" s="3">
        <v>0.51</v>
      </c>
      <c r="M769" s="3">
        <v>0.1343</v>
      </c>
      <c r="N769" s="3">
        <v>5</v>
      </c>
      <c r="O769" s="3">
        <v>46</v>
      </c>
      <c r="P769" s="51">
        <v>51</v>
      </c>
    </row>
    <row r="770" spans="1:16" x14ac:dyDescent="0.35">
      <c r="A770" s="49">
        <v>769</v>
      </c>
      <c r="B770" s="50">
        <v>40578</v>
      </c>
      <c r="C770" s="3">
        <v>1</v>
      </c>
      <c r="D770" s="3">
        <v>0</v>
      </c>
      <c r="E770" s="3" t="s">
        <v>105</v>
      </c>
      <c r="F770" s="3">
        <v>11</v>
      </c>
      <c r="G770" s="3" t="b">
        <v>0</v>
      </c>
      <c r="H770" s="3" t="s">
        <v>112</v>
      </c>
      <c r="I770" s="3" t="s">
        <v>113</v>
      </c>
      <c r="J770" s="3">
        <v>0.22</v>
      </c>
      <c r="K770" s="3">
        <v>0.2273</v>
      </c>
      <c r="L770" s="3">
        <v>0.51</v>
      </c>
      <c r="M770" s="3">
        <v>0.16420000000000001</v>
      </c>
      <c r="N770" s="3">
        <v>3</v>
      </c>
      <c r="O770" s="3">
        <v>61</v>
      </c>
      <c r="P770" s="51">
        <v>64</v>
      </c>
    </row>
    <row r="771" spans="1:16" x14ac:dyDescent="0.35">
      <c r="A771" s="49">
        <v>770</v>
      </c>
      <c r="B771" s="50">
        <v>40578</v>
      </c>
      <c r="C771" s="3">
        <v>1</v>
      </c>
      <c r="D771" s="3">
        <v>0</v>
      </c>
      <c r="E771" s="3" t="s">
        <v>105</v>
      </c>
      <c r="F771" s="3">
        <v>12</v>
      </c>
      <c r="G771" s="3" t="b">
        <v>0</v>
      </c>
      <c r="H771" s="3" t="s">
        <v>112</v>
      </c>
      <c r="I771" s="3" t="s">
        <v>114</v>
      </c>
      <c r="J771" s="3">
        <v>0.24</v>
      </c>
      <c r="K771" s="3">
        <v>0.2424</v>
      </c>
      <c r="L771" s="3">
        <v>0.48</v>
      </c>
      <c r="M771" s="3">
        <v>0.16420000000000001</v>
      </c>
      <c r="N771" s="3">
        <v>8</v>
      </c>
      <c r="O771" s="3">
        <v>78</v>
      </c>
      <c r="P771" s="51">
        <v>86</v>
      </c>
    </row>
    <row r="772" spans="1:16" x14ac:dyDescent="0.35">
      <c r="A772" s="49">
        <v>771</v>
      </c>
      <c r="B772" s="50">
        <v>40578</v>
      </c>
      <c r="C772" s="3">
        <v>1</v>
      </c>
      <c r="D772" s="3">
        <v>0</v>
      </c>
      <c r="E772" s="3" t="s">
        <v>105</v>
      </c>
      <c r="F772" s="3">
        <v>13</v>
      </c>
      <c r="G772" s="3" t="b">
        <v>0</v>
      </c>
      <c r="H772" s="3" t="s">
        <v>112</v>
      </c>
      <c r="I772" s="3" t="s">
        <v>114</v>
      </c>
      <c r="J772" s="3">
        <v>0.26</v>
      </c>
      <c r="K772" s="3">
        <v>0.2576</v>
      </c>
      <c r="L772" s="3">
        <v>0.5</v>
      </c>
      <c r="M772" s="3">
        <v>0.22389999999999999</v>
      </c>
      <c r="N772" s="3">
        <v>9</v>
      </c>
      <c r="O772" s="3">
        <v>73</v>
      </c>
      <c r="P772" s="51">
        <v>82</v>
      </c>
    </row>
    <row r="773" spans="1:16" x14ac:dyDescent="0.35">
      <c r="A773" s="49">
        <v>772</v>
      </c>
      <c r="B773" s="50">
        <v>40578</v>
      </c>
      <c r="C773" s="3">
        <v>1</v>
      </c>
      <c r="D773" s="3">
        <v>0</v>
      </c>
      <c r="E773" s="3" t="s">
        <v>105</v>
      </c>
      <c r="F773" s="3">
        <v>14</v>
      </c>
      <c r="G773" s="3" t="b">
        <v>0</v>
      </c>
      <c r="H773" s="3" t="s">
        <v>112</v>
      </c>
      <c r="I773" s="3" t="s">
        <v>114</v>
      </c>
      <c r="J773" s="3">
        <v>0.28000000000000003</v>
      </c>
      <c r="K773" s="3">
        <v>0.2727</v>
      </c>
      <c r="L773" s="3">
        <v>0.45</v>
      </c>
      <c r="M773" s="3">
        <v>0.16420000000000001</v>
      </c>
      <c r="N773" s="3">
        <v>15</v>
      </c>
      <c r="O773" s="3">
        <v>76</v>
      </c>
      <c r="P773" s="51">
        <v>91</v>
      </c>
    </row>
    <row r="774" spans="1:16" x14ac:dyDescent="0.35">
      <c r="A774" s="49">
        <v>773</v>
      </c>
      <c r="B774" s="50">
        <v>40578</v>
      </c>
      <c r="C774" s="3">
        <v>1</v>
      </c>
      <c r="D774" s="3">
        <v>0</v>
      </c>
      <c r="E774" s="3" t="s">
        <v>105</v>
      </c>
      <c r="F774" s="3">
        <v>15</v>
      </c>
      <c r="G774" s="3" t="b">
        <v>0</v>
      </c>
      <c r="H774" s="3" t="s">
        <v>112</v>
      </c>
      <c r="I774" s="3" t="s">
        <v>114</v>
      </c>
      <c r="J774" s="3">
        <v>0.28000000000000003</v>
      </c>
      <c r="K774" s="3">
        <v>0.2727</v>
      </c>
      <c r="L774" s="3">
        <v>0.48</v>
      </c>
      <c r="M774" s="3">
        <v>0.25369999999999998</v>
      </c>
      <c r="N774" s="3">
        <v>9</v>
      </c>
      <c r="O774" s="3">
        <v>81</v>
      </c>
      <c r="P774" s="51">
        <v>90</v>
      </c>
    </row>
    <row r="775" spans="1:16" x14ac:dyDescent="0.35">
      <c r="A775" s="49">
        <v>774</v>
      </c>
      <c r="B775" s="50">
        <v>40578</v>
      </c>
      <c r="C775" s="3">
        <v>1</v>
      </c>
      <c r="D775" s="3">
        <v>0</v>
      </c>
      <c r="E775" s="3" t="s">
        <v>105</v>
      </c>
      <c r="F775" s="3">
        <v>16</v>
      </c>
      <c r="G775" s="3" t="b">
        <v>0</v>
      </c>
      <c r="H775" s="3" t="s">
        <v>112</v>
      </c>
      <c r="I775" s="3" t="s">
        <v>114</v>
      </c>
      <c r="J775" s="3">
        <v>0.3</v>
      </c>
      <c r="K775" s="3">
        <v>0.28789999999999999</v>
      </c>
      <c r="L775" s="3">
        <v>0.42</v>
      </c>
      <c r="M775" s="3">
        <v>0.22389999999999999</v>
      </c>
      <c r="N775" s="3">
        <v>8</v>
      </c>
      <c r="O775" s="3">
        <v>91</v>
      </c>
      <c r="P775" s="51">
        <v>99</v>
      </c>
    </row>
    <row r="776" spans="1:16" x14ac:dyDescent="0.35">
      <c r="A776" s="49">
        <v>775</v>
      </c>
      <c r="B776" s="50">
        <v>40578</v>
      </c>
      <c r="C776" s="3">
        <v>1</v>
      </c>
      <c r="D776" s="3">
        <v>0</v>
      </c>
      <c r="E776" s="3" t="s">
        <v>105</v>
      </c>
      <c r="F776" s="3">
        <v>17</v>
      </c>
      <c r="G776" s="3" t="b">
        <v>0</v>
      </c>
      <c r="H776" s="3" t="s">
        <v>112</v>
      </c>
      <c r="I776" s="3" t="s">
        <v>114</v>
      </c>
      <c r="J776" s="3">
        <v>0.26</v>
      </c>
      <c r="K776" s="3">
        <v>0.2727</v>
      </c>
      <c r="L776" s="3">
        <v>0.56000000000000005</v>
      </c>
      <c r="M776" s="3">
        <v>0.1343</v>
      </c>
      <c r="N776" s="3">
        <v>10</v>
      </c>
      <c r="O776" s="3">
        <v>195</v>
      </c>
      <c r="P776" s="51">
        <v>205</v>
      </c>
    </row>
    <row r="777" spans="1:16" x14ac:dyDescent="0.35">
      <c r="A777" s="49">
        <v>776</v>
      </c>
      <c r="B777" s="50">
        <v>40578</v>
      </c>
      <c r="C777" s="3">
        <v>1</v>
      </c>
      <c r="D777" s="3">
        <v>0</v>
      </c>
      <c r="E777" s="3" t="s">
        <v>105</v>
      </c>
      <c r="F777" s="3">
        <v>18</v>
      </c>
      <c r="G777" s="3" t="b">
        <v>0</v>
      </c>
      <c r="H777" s="3" t="s">
        <v>112</v>
      </c>
      <c r="I777" s="3" t="s">
        <v>114</v>
      </c>
      <c r="J777" s="3">
        <v>0.24</v>
      </c>
      <c r="K777" s="3">
        <v>0.2576</v>
      </c>
      <c r="L777" s="3">
        <v>0.6</v>
      </c>
      <c r="M777" s="3">
        <v>0.1045</v>
      </c>
      <c r="N777" s="3">
        <v>3</v>
      </c>
      <c r="O777" s="3">
        <v>152</v>
      </c>
      <c r="P777" s="51">
        <v>155</v>
      </c>
    </row>
    <row r="778" spans="1:16" x14ac:dyDescent="0.35">
      <c r="A778" s="49">
        <v>777</v>
      </c>
      <c r="B778" s="50">
        <v>40578</v>
      </c>
      <c r="C778" s="3">
        <v>1</v>
      </c>
      <c r="D778" s="3">
        <v>0</v>
      </c>
      <c r="E778" s="3" t="s">
        <v>105</v>
      </c>
      <c r="F778" s="3">
        <v>19</v>
      </c>
      <c r="G778" s="3" t="b">
        <v>0</v>
      </c>
      <c r="H778" s="3" t="s">
        <v>112</v>
      </c>
      <c r="I778" s="3" t="s">
        <v>114</v>
      </c>
      <c r="J778" s="3">
        <v>0.24</v>
      </c>
      <c r="K778" s="3">
        <v>0.2424</v>
      </c>
      <c r="L778" s="3">
        <v>0.65</v>
      </c>
      <c r="M778" s="3">
        <v>0.1343</v>
      </c>
      <c r="N778" s="3">
        <v>1</v>
      </c>
      <c r="O778" s="3">
        <v>102</v>
      </c>
      <c r="P778" s="51">
        <v>103</v>
      </c>
    </row>
    <row r="779" spans="1:16" x14ac:dyDescent="0.35">
      <c r="A779" s="49">
        <v>778</v>
      </c>
      <c r="B779" s="50">
        <v>40578</v>
      </c>
      <c r="C779" s="3">
        <v>1</v>
      </c>
      <c r="D779" s="3">
        <v>0</v>
      </c>
      <c r="E779" s="3" t="s">
        <v>105</v>
      </c>
      <c r="F779" s="3">
        <v>20</v>
      </c>
      <c r="G779" s="3" t="b">
        <v>0</v>
      </c>
      <c r="H779" s="3" t="s">
        <v>112</v>
      </c>
      <c r="I779" s="3" t="s">
        <v>114</v>
      </c>
      <c r="J779" s="3">
        <v>0.24</v>
      </c>
      <c r="K779" s="3">
        <v>0.2424</v>
      </c>
      <c r="L779" s="3">
        <v>0.65</v>
      </c>
      <c r="M779" s="3">
        <v>0.16420000000000001</v>
      </c>
      <c r="N779" s="3">
        <v>2</v>
      </c>
      <c r="O779" s="3">
        <v>69</v>
      </c>
      <c r="P779" s="51">
        <v>71</v>
      </c>
    </row>
    <row r="780" spans="1:16" x14ac:dyDescent="0.35">
      <c r="A780" s="49">
        <v>779</v>
      </c>
      <c r="B780" s="50">
        <v>40578</v>
      </c>
      <c r="C780" s="3">
        <v>1</v>
      </c>
      <c r="D780" s="3">
        <v>0</v>
      </c>
      <c r="E780" s="3" t="s">
        <v>105</v>
      </c>
      <c r="F780" s="3">
        <v>21</v>
      </c>
      <c r="G780" s="3" t="b">
        <v>0</v>
      </c>
      <c r="H780" s="3" t="s">
        <v>112</v>
      </c>
      <c r="I780" s="3" t="s">
        <v>114</v>
      </c>
      <c r="J780" s="3">
        <v>0.24</v>
      </c>
      <c r="K780" s="3">
        <v>0.2424</v>
      </c>
      <c r="L780" s="3">
        <v>0.7</v>
      </c>
      <c r="M780" s="3">
        <v>0.16420000000000001</v>
      </c>
      <c r="N780" s="3">
        <v>2</v>
      </c>
      <c r="O780" s="3">
        <v>41</v>
      </c>
      <c r="P780" s="51">
        <v>43</v>
      </c>
    </row>
    <row r="781" spans="1:16" x14ac:dyDescent="0.35">
      <c r="A781" s="49">
        <v>780</v>
      </c>
      <c r="B781" s="50">
        <v>40578</v>
      </c>
      <c r="C781" s="3">
        <v>1</v>
      </c>
      <c r="D781" s="3">
        <v>0</v>
      </c>
      <c r="E781" s="3" t="s">
        <v>105</v>
      </c>
      <c r="F781" s="3">
        <v>22</v>
      </c>
      <c r="G781" s="3" t="b">
        <v>0</v>
      </c>
      <c r="H781" s="3" t="s">
        <v>112</v>
      </c>
      <c r="I781" s="3" t="s">
        <v>114</v>
      </c>
      <c r="J781" s="3">
        <v>0.24</v>
      </c>
      <c r="K781" s="3">
        <v>0.2424</v>
      </c>
      <c r="L781" s="3">
        <v>0.65</v>
      </c>
      <c r="M781" s="3">
        <v>0.16420000000000001</v>
      </c>
      <c r="N781" s="3">
        <v>1</v>
      </c>
      <c r="O781" s="3">
        <v>45</v>
      </c>
      <c r="P781" s="51">
        <v>46</v>
      </c>
    </row>
    <row r="782" spans="1:16" x14ac:dyDescent="0.35">
      <c r="A782" s="49">
        <v>781</v>
      </c>
      <c r="B782" s="50">
        <v>40578</v>
      </c>
      <c r="C782" s="3">
        <v>1</v>
      </c>
      <c r="D782" s="3">
        <v>0</v>
      </c>
      <c r="E782" s="3" t="s">
        <v>105</v>
      </c>
      <c r="F782" s="3">
        <v>23</v>
      </c>
      <c r="G782" s="3" t="b">
        <v>0</v>
      </c>
      <c r="H782" s="3" t="s">
        <v>112</v>
      </c>
      <c r="I782" s="3" t="s">
        <v>114</v>
      </c>
      <c r="J782" s="3">
        <v>0.24</v>
      </c>
      <c r="K782" s="3">
        <v>0.2424</v>
      </c>
      <c r="L782" s="3">
        <v>0.7</v>
      </c>
      <c r="M782" s="3">
        <v>0.1343</v>
      </c>
      <c r="N782" s="3">
        <v>1</v>
      </c>
      <c r="O782" s="3">
        <v>30</v>
      </c>
      <c r="P782" s="51">
        <v>31</v>
      </c>
    </row>
    <row r="783" spans="1:16" x14ac:dyDescent="0.35">
      <c r="A783" s="49">
        <v>782</v>
      </c>
      <c r="B783" s="50">
        <v>40579</v>
      </c>
      <c r="C783" s="3">
        <v>1</v>
      </c>
      <c r="D783" s="3">
        <v>0</v>
      </c>
      <c r="E783" s="3" t="s">
        <v>105</v>
      </c>
      <c r="F783" s="3">
        <v>0</v>
      </c>
      <c r="G783" s="3" t="b">
        <v>0</v>
      </c>
      <c r="H783" s="3" t="s">
        <v>106</v>
      </c>
      <c r="I783" s="3" t="s">
        <v>114</v>
      </c>
      <c r="J783" s="3">
        <v>0.24</v>
      </c>
      <c r="K783" s="3">
        <v>0.2424</v>
      </c>
      <c r="L783" s="3">
        <v>0.7</v>
      </c>
      <c r="M783" s="3">
        <v>0.16420000000000001</v>
      </c>
      <c r="N783" s="3">
        <v>3</v>
      </c>
      <c r="O783" s="3">
        <v>36</v>
      </c>
      <c r="P783" s="51">
        <v>39</v>
      </c>
    </row>
    <row r="784" spans="1:16" x14ac:dyDescent="0.35">
      <c r="A784" s="49">
        <v>783</v>
      </c>
      <c r="B784" s="50">
        <v>40579</v>
      </c>
      <c r="C784" s="3">
        <v>1</v>
      </c>
      <c r="D784" s="3">
        <v>0</v>
      </c>
      <c r="E784" s="3" t="s">
        <v>105</v>
      </c>
      <c r="F784" s="3">
        <v>1</v>
      </c>
      <c r="G784" s="3" t="b">
        <v>0</v>
      </c>
      <c r="H784" s="3" t="s">
        <v>106</v>
      </c>
      <c r="I784" s="3" t="s">
        <v>114</v>
      </c>
      <c r="J784" s="3">
        <v>0.24</v>
      </c>
      <c r="K784" s="3">
        <v>0.2424</v>
      </c>
      <c r="L784" s="3">
        <v>0.65</v>
      </c>
      <c r="M784" s="3">
        <v>0.16420000000000001</v>
      </c>
      <c r="N784" s="3">
        <v>1</v>
      </c>
      <c r="O784" s="3">
        <v>17</v>
      </c>
      <c r="P784" s="51">
        <v>18</v>
      </c>
    </row>
    <row r="785" spans="1:16" x14ac:dyDescent="0.35">
      <c r="A785" s="49">
        <v>784</v>
      </c>
      <c r="B785" s="50">
        <v>40579</v>
      </c>
      <c r="C785" s="3">
        <v>1</v>
      </c>
      <c r="D785" s="3">
        <v>0</v>
      </c>
      <c r="E785" s="3" t="s">
        <v>105</v>
      </c>
      <c r="F785" s="3">
        <v>2</v>
      </c>
      <c r="G785" s="3" t="b">
        <v>0</v>
      </c>
      <c r="H785" s="3" t="s">
        <v>106</v>
      </c>
      <c r="I785" s="3" t="s">
        <v>114</v>
      </c>
      <c r="J785" s="3">
        <v>0.24</v>
      </c>
      <c r="K785" s="3">
        <v>0.2424</v>
      </c>
      <c r="L785" s="3">
        <v>0.75</v>
      </c>
      <c r="M785" s="3">
        <v>0.16420000000000001</v>
      </c>
      <c r="N785" s="3">
        <v>5</v>
      </c>
      <c r="O785" s="3">
        <v>12</v>
      </c>
      <c r="P785" s="51">
        <v>17</v>
      </c>
    </row>
    <row r="786" spans="1:16" x14ac:dyDescent="0.35">
      <c r="A786" s="49">
        <v>785</v>
      </c>
      <c r="B786" s="50">
        <v>40579</v>
      </c>
      <c r="C786" s="3">
        <v>1</v>
      </c>
      <c r="D786" s="3">
        <v>0</v>
      </c>
      <c r="E786" s="3" t="s">
        <v>105</v>
      </c>
      <c r="F786" s="3">
        <v>3</v>
      </c>
      <c r="G786" s="3" t="b">
        <v>0</v>
      </c>
      <c r="H786" s="3" t="s">
        <v>106</v>
      </c>
      <c r="I786" s="3" t="s">
        <v>114</v>
      </c>
      <c r="J786" s="3">
        <v>0.24</v>
      </c>
      <c r="K786" s="3">
        <v>0.2424</v>
      </c>
      <c r="L786" s="3">
        <v>0.75</v>
      </c>
      <c r="M786" s="3">
        <v>0.16420000000000001</v>
      </c>
      <c r="N786" s="3">
        <v>1</v>
      </c>
      <c r="O786" s="3">
        <v>10</v>
      </c>
      <c r="P786" s="51">
        <v>11</v>
      </c>
    </row>
    <row r="787" spans="1:16" x14ac:dyDescent="0.35">
      <c r="A787" s="49">
        <v>786</v>
      </c>
      <c r="B787" s="50">
        <v>40579</v>
      </c>
      <c r="C787" s="3">
        <v>1</v>
      </c>
      <c r="D787" s="3">
        <v>0</v>
      </c>
      <c r="E787" s="3" t="s">
        <v>105</v>
      </c>
      <c r="F787" s="3">
        <v>4</v>
      </c>
      <c r="G787" s="3" t="b">
        <v>0</v>
      </c>
      <c r="H787" s="3" t="s">
        <v>106</v>
      </c>
      <c r="I787" s="3" t="s">
        <v>115</v>
      </c>
      <c r="J787" s="3">
        <v>0.22</v>
      </c>
      <c r="K787" s="3">
        <v>0.2273</v>
      </c>
      <c r="L787" s="3">
        <v>0.93</v>
      </c>
      <c r="M787" s="3">
        <v>0.1343</v>
      </c>
      <c r="N787" s="3">
        <v>0</v>
      </c>
      <c r="O787" s="3">
        <v>8</v>
      </c>
      <c r="P787" s="51">
        <v>8</v>
      </c>
    </row>
    <row r="788" spans="1:16" x14ac:dyDescent="0.35">
      <c r="A788" s="49">
        <v>787</v>
      </c>
      <c r="B788" s="50">
        <v>40579</v>
      </c>
      <c r="C788" s="3">
        <v>1</v>
      </c>
      <c r="D788" s="3">
        <v>0</v>
      </c>
      <c r="E788" s="3" t="s">
        <v>105</v>
      </c>
      <c r="F788" s="3">
        <v>5</v>
      </c>
      <c r="G788" s="3" t="b">
        <v>0</v>
      </c>
      <c r="H788" s="3" t="s">
        <v>106</v>
      </c>
      <c r="I788" s="3" t="s">
        <v>115</v>
      </c>
      <c r="J788" s="3">
        <v>0.2</v>
      </c>
      <c r="K788" s="3">
        <v>0.2273</v>
      </c>
      <c r="L788" s="3">
        <v>1</v>
      </c>
      <c r="M788" s="3">
        <v>8.9599999999999999E-2</v>
      </c>
      <c r="N788" s="3">
        <v>0</v>
      </c>
      <c r="O788" s="3">
        <v>9</v>
      </c>
      <c r="P788" s="51">
        <v>9</v>
      </c>
    </row>
    <row r="789" spans="1:16" x14ac:dyDescent="0.35">
      <c r="A789" s="49">
        <v>788</v>
      </c>
      <c r="B789" s="50">
        <v>40579</v>
      </c>
      <c r="C789" s="3">
        <v>1</v>
      </c>
      <c r="D789" s="3">
        <v>0</v>
      </c>
      <c r="E789" s="3" t="s">
        <v>105</v>
      </c>
      <c r="F789" s="3">
        <v>6</v>
      </c>
      <c r="G789" s="3" t="b">
        <v>0</v>
      </c>
      <c r="H789" s="3" t="s">
        <v>106</v>
      </c>
      <c r="I789" s="3" t="s">
        <v>115</v>
      </c>
      <c r="J789" s="3">
        <v>0.2</v>
      </c>
      <c r="K789" s="3">
        <v>0.2576</v>
      </c>
      <c r="L789" s="3">
        <v>1</v>
      </c>
      <c r="M789" s="3">
        <v>0</v>
      </c>
      <c r="N789" s="3">
        <v>0</v>
      </c>
      <c r="O789" s="3">
        <v>4</v>
      </c>
      <c r="P789" s="51">
        <v>4</v>
      </c>
    </row>
    <row r="790" spans="1:16" x14ac:dyDescent="0.35">
      <c r="A790" s="49">
        <v>789</v>
      </c>
      <c r="B790" s="50">
        <v>40579</v>
      </c>
      <c r="C790" s="3">
        <v>1</v>
      </c>
      <c r="D790" s="3">
        <v>0</v>
      </c>
      <c r="E790" s="3" t="s">
        <v>105</v>
      </c>
      <c r="F790" s="3">
        <v>7</v>
      </c>
      <c r="G790" s="3" t="b">
        <v>0</v>
      </c>
      <c r="H790" s="3" t="s">
        <v>106</v>
      </c>
      <c r="I790" s="3" t="s">
        <v>115</v>
      </c>
      <c r="J790" s="3">
        <v>0.22</v>
      </c>
      <c r="K790" s="3">
        <v>0.2576</v>
      </c>
      <c r="L790" s="3">
        <v>0.93</v>
      </c>
      <c r="M790" s="3">
        <v>8.9599999999999999E-2</v>
      </c>
      <c r="N790" s="3">
        <v>0</v>
      </c>
      <c r="O790" s="3">
        <v>4</v>
      </c>
      <c r="P790" s="51">
        <v>4</v>
      </c>
    </row>
    <row r="791" spans="1:16" x14ac:dyDescent="0.35">
      <c r="A791" s="49">
        <v>790</v>
      </c>
      <c r="B791" s="50">
        <v>40579</v>
      </c>
      <c r="C791" s="3">
        <v>1</v>
      </c>
      <c r="D791" s="3">
        <v>0</v>
      </c>
      <c r="E791" s="3" t="s">
        <v>105</v>
      </c>
      <c r="F791" s="3">
        <v>8</v>
      </c>
      <c r="G791" s="3" t="b">
        <v>0</v>
      </c>
      <c r="H791" s="3" t="s">
        <v>106</v>
      </c>
      <c r="I791" s="3" t="s">
        <v>115</v>
      </c>
      <c r="J791" s="3">
        <v>0.2</v>
      </c>
      <c r="K791" s="3">
        <v>0.2273</v>
      </c>
      <c r="L791" s="3">
        <v>1</v>
      </c>
      <c r="M791" s="3">
        <v>8.9599999999999999E-2</v>
      </c>
      <c r="N791" s="3">
        <v>0</v>
      </c>
      <c r="O791" s="3">
        <v>10</v>
      </c>
      <c r="P791" s="51">
        <v>10</v>
      </c>
    </row>
    <row r="792" spans="1:16" x14ac:dyDescent="0.35">
      <c r="A792" s="49">
        <v>791</v>
      </c>
      <c r="B792" s="50">
        <v>40579</v>
      </c>
      <c r="C792" s="3">
        <v>1</v>
      </c>
      <c r="D792" s="3">
        <v>0</v>
      </c>
      <c r="E792" s="3" t="s">
        <v>105</v>
      </c>
      <c r="F792" s="3">
        <v>9</v>
      </c>
      <c r="G792" s="3" t="b">
        <v>0</v>
      </c>
      <c r="H792" s="3" t="s">
        <v>106</v>
      </c>
      <c r="I792" s="3" t="s">
        <v>115</v>
      </c>
      <c r="J792" s="3">
        <v>0.2</v>
      </c>
      <c r="K792" s="3">
        <v>0.2273</v>
      </c>
      <c r="L792" s="3">
        <v>1</v>
      </c>
      <c r="M792" s="3">
        <v>8.9599999999999999E-2</v>
      </c>
      <c r="N792" s="3">
        <v>3</v>
      </c>
      <c r="O792" s="3">
        <v>17</v>
      </c>
      <c r="P792" s="51">
        <v>20</v>
      </c>
    </row>
    <row r="793" spans="1:16" x14ac:dyDescent="0.35">
      <c r="A793" s="49">
        <v>792</v>
      </c>
      <c r="B793" s="50">
        <v>40579</v>
      </c>
      <c r="C793" s="3">
        <v>1</v>
      </c>
      <c r="D793" s="3">
        <v>0</v>
      </c>
      <c r="E793" s="3" t="s">
        <v>105</v>
      </c>
      <c r="F793" s="3">
        <v>10</v>
      </c>
      <c r="G793" s="3" t="b">
        <v>0</v>
      </c>
      <c r="H793" s="3" t="s">
        <v>106</v>
      </c>
      <c r="I793" s="3" t="s">
        <v>115</v>
      </c>
      <c r="J793" s="3">
        <v>0.2</v>
      </c>
      <c r="K793" s="3">
        <v>0.21210000000000001</v>
      </c>
      <c r="L793" s="3">
        <v>1</v>
      </c>
      <c r="M793" s="3">
        <v>0.1343</v>
      </c>
      <c r="N793" s="3">
        <v>3</v>
      </c>
      <c r="O793" s="3">
        <v>31</v>
      </c>
      <c r="P793" s="51">
        <v>34</v>
      </c>
    </row>
    <row r="794" spans="1:16" x14ac:dyDescent="0.35">
      <c r="A794" s="49">
        <v>793</v>
      </c>
      <c r="B794" s="50">
        <v>40579</v>
      </c>
      <c r="C794" s="3">
        <v>1</v>
      </c>
      <c r="D794" s="3">
        <v>0</v>
      </c>
      <c r="E794" s="3" t="s">
        <v>105</v>
      </c>
      <c r="F794" s="3">
        <v>11</v>
      </c>
      <c r="G794" s="3" t="b">
        <v>0</v>
      </c>
      <c r="H794" s="3" t="s">
        <v>106</v>
      </c>
      <c r="I794" s="3" t="s">
        <v>115</v>
      </c>
      <c r="J794" s="3">
        <v>0.22</v>
      </c>
      <c r="K794" s="3">
        <v>0.2273</v>
      </c>
      <c r="L794" s="3">
        <v>1</v>
      </c>
      <c r="M794" s="3">
        <v>0.1343</v>
      </c>
      <c r="N794" s="3">
        <v>1</v>
      </c>
      <c r="O794" s="3">
        <v>46</v>
      </c>
      <c r="P794" s="51">
        <v>47</v>
      </c>
    </row>
    <row r="795" spans="1:16" x14ac:dyDescent="0.35">
      <c r="A795" s="49">
        <v>794</v>
      </c>
      <c r="B795" s="50">
        <v>40579</v>
      </c>
      <c r="C795" s="3">
        <v>1</v>
      </c>
      <c r="D795" s="3">
        <v>0</v>
      </c>
      <c r="E795" s="3" t="s">
        <v>105</v>
      </c>
      <c r="F795" s="3">
        <v>12</v>
      </c>
      <c r="G795" s="3" t="b">
        <v>0</v>
      </c>
      <c r="H795" s="3" t="s">
        <v>106</v>
      </c>
      <c r="I795" s="3" t="s">
        <v>115</v>
      </c>
      <c r="J795" s="3">
        <v>0.22</v>
      </c>
      <c r="K795" s="3">
        <v>0.2273</v>
      </c>
      <c r="L795" s="3">
        <v>1</v>
      </c>
      <c r="M795" s="3">
        <v>0.16420000000000001</v>
      </c>
      <c r="N795" s="3">
        <v>10</v>
      </c>
      <c r="O795" s="3">
        <v>42</v>
      </c>
      <c r="P795" s="51">
        <v>52</v>
      </c>
    </row>
    <row r="796" spans="1:16" x14ac:dyDescent="0.35">
      <c r="A796" s="49">
        <v>795</v>
      </c>
      <c r="B796" s="50">
        <v>40579</v>
      </c>
      <c r="C796" s="3">
        <v>1</v>
      </c>
      <c r="D796" s="3">
        <v>0</v>
      </c>
      <c r="E796" s="3" t="s">
        <v>105</v>
      </c>
      <c r="F796" s="3">
        <v>13</v>
      </c>
      <c r="G796" s="3" t="b">
        <v>0</v>
      </c>
      <c r="H796" s="3" t="s">
        <v>106</v>
      </c>
      <c r="I796" s="3" t="s">
        <v>115</v>
      </c>
      <c r="J796" s="3">
        <v>0.22</v>
      </c>
      <c r="K796" s="3">
        <v>0.2273</v>
      </c>
      <c r="L796" s="3">
        <v>1</v>
      </c>
      <c r="M796" s="3">
        <v>0.16420000000000001</v>
      </c>
      <c r="N796" s="3">
        <v>10</v>
      </c>
      <c r="O796" s="3">
        <v>62</v>
      </c>
      <c r="P796" s="51">
        <v>72</v>
      </c>
    </row>
    <row r="797" spans="1:16" x14ac:dyDescent="0.35">
      <c r="A797" s="49">
        <v>796</v>
      </c>
      <c r="B797" s="50">
        <v>40579</v>
      </c>
      <c r="C797" s="3">
        <v>1</v>
      </c>
      <c r="D797" s="3">
        <v>0</v>
      </c>
      <c r="E797" s="3" t="s">
        <v>105</v>
      </c>
      <c r="F797" s="3">
        <v>14</v>
      </c>
      <c r="G797" s="3" t="b">
        <v>0</v>
      </c>
      <c r="H797" s="3" t="s">
        <v>106</v>
      </c>
      <c r="I797" s="3" t="s">
        <v>115</v>
      </c>
      <c r="J797" s="3">
        <v>0.22</v>
      </c>
      <c r="K797" s="3">
        <v>0.2727</v>
      </c>
      <c r="L797" s="3">
        <v>1</v>
      </c>
      <c r="M797" s="3">
        <v>0</v>
      </c>
      <c r="N797" s="3">
        <v>5</v>
      </c>
      <c r="O797" s="3">
        <v>50</v>
      </c>
      <c r="P797" s="51">
        <v>55</v>
      </c>
    </row>
    <row r="798" spans="1:16" x14ac:dyDescent="0.35">
      <c r="A798" s="49">
        <v>797</v>
      </c>
      <c r="B798" s="50">
        <v>40579</v>
      </c>
      <c r="C798" s="3">
        <v>1</v>
      </c>
      <c r="D798" s="3">
        <v>0</v>
      </c>
      <c r="E798" s="3" t="s">
        <v>105</v>
      </c>
      <c r="F798" s="3">
        <v>15</v>
      </c>
      <c r="G798" s="3" t="b">
        <v>0</v>
      </c>
      <c r="H798" s="3" t="s">
        <v>106</v>
      </c>
      <c r="I798" s="3" t="s">
        <v>115</v>
      </c>
      <c r="J798" s="3">
        <v>0.22</v>
      </c>
      <c r="K798" s="3">
        <v>0.2727</v>
      </c>
      <c r="L798" s="3">
        <v>1</v>
      </c>
      <c r="M798" s="3">
        <v>0</v>
      </c>
      <c r="N798" s="3">
        <v>11</v>
      </c>
      <c r="O798" s="3">
        <v>49</v>
      </c>
      <c r="P798" s="51">
        <v>60</v>
      </c>
    </row>
    <row r="799" spans="1:16" x14ac:dyDescent="0.35">
      <c r="A799" s="49">
        <v>798</v>
      </c>
      <c r="B799" s="50">
        <v>40579</v>
      </c>
      <c r="C799" s="3">
        <v>1</v>
      </c>
      <c r="D799" s="3">
        <v>0</v>
      </c>
      <c r="E799" s="3" t="s">
        <v>105</v>
      </c>
      <c r="F799" s="3">
        <v>16</v>
      </c>
      <c r="G799" s="3" t="b">
        <v>0</v>
      </c>
      <c r="H799" s="3" t="s">
        <v>106</v>
      </c>
      <c r="I799" s="3" t="s">
        <v>115</v>
      </c>
      <c r="J799" s="3">
        <v>0.22</v>
      </c>
      <c r="K799" s="3">
        <v>0.2273</v>
      </c>
      <c r="L799" s="3">
        <v>1</v>
      </c>
      <c r="M799" s="3">
        <v>0.1343</v>
      </c>
      <c r="N799" s="3">
        <v>8</v>
      </c>
      <c r="O799" s="3">
        <v>63</v>
      </c>
      <c r="P799" s="51">
        <v>71</v>
      </c>
    </row>
    <row r="800" spans="1:16" x14ac:dyDescent="0.35">
      <c r="A800" s="49">
        <v>799</v>
      </c>
      <c r="B800" s="50">
        <v>40579</v>
      </c>
      <c r="C800" s="3">
        <v>1</v>
      </c>
      <c r="D800" s="3">
        <v>0</v>
      </c>
      <c r="E800" s="3" t="s">
        <v>105</v>
      </c>
      <c r="F800" s="3">
        <v>17</v>
      </c>
      <c r="G800" s="3" t="b">
        <v>0</v>
      </c>
      <c r="H800" s="3" t="s">
        <v>106</v>
      </c>
      <c r="I800" s="3" t="s">
        <v>114</v>
      </c>
      <c r="J800" s="3">
        <v>0.24</v>
      </c>
      <c r="K800" s="3">
        <v>0.21210000000000001</v>
      </c>
      <c r="L800" s="3">
        <v>1</v>
      </c>
      <c r="M800" s="3">
        <v>0.28360000000000002</v>
      </c>
      <c r="N800" s="3">
        <v>14</v>
      </c>
      <c r="O800" s="3">
        <v>64</v>
      </c>
      <c r="P800" s="51">
        <v>78</v>
      </c>
    </row>
    <row r="801" spans="1:16" x14ac:dyDescent="0.35">
      <c r="A801" s="49">
        <v>800</v>
      </c>
      <c r="B801" s="50">
        <v>40579</v>
      </c>
      <c r="C801" s="3">
        <v>1</v>
      </c>
      <c r="D801" s="3">
        <v>0</v>
      </c>
      <c r="E801" s="3" t="s">
        <v>105</v>
      </c>
      <c r="F801" s="3">
        <v>18</v>
      </c>
      <c r="G801" s="3" t="b">
        <v>0</v>
      </c>
      <c r="H801" s="3" t="s">
        <v>106</v>
      </c>
      <c r="I801" s="3" t="s">
        <v>114</v>
      </c>
      <c r="J801" s="3">
        <v>0.28000000000000003</v>
      </c>
      <c r="K801" s="3">
        <v>0.2424</v>
      </c>
      <c r="L801" s="3">
        <v>0.93</v>
      </c>
      <c r="M801" s="3">
        <v>0.44779999999999998</v>
      </c>
      <c r="N801" s="3">
        <v>2</v>
      </c>
      <c r="O801" s="3">
        <v>81</v>
      </c>
      <c r="P801" s="51">
        <v>83</v>
      </c>
    </row>
    <row r="802" spans="1:16" x14ac:dyDescent="0.35">
      <c r="A802" s="49">
        <v>801</v>
      </c>
      <c r="B802" s="50">
        <v>40579</v>
      </c>
      <c r="C802" s="3">
        <v>1</v>
      </c>
      <c r="D802" s="3">
        <v>0</v>
      </c>
      <c r="E802" s="3" t="s">
        <v>105</v>
      </c>
      <c r="F802" s="3">
        <v>19</v>
      </c>
      <c r="G802" s="3" t="b">
        <v>0</v>
      </c>
      <c r="H802" s="3" t="s">
        <v>106</v>
      </c>
      <c r="I802" s="3" t="s">
        <v>114</v>
      </c>
      <c r="J802" s="3">
        <v>0.28000000000000003</v>
      </c>
      <c r="K802" s="3">
        <v>0.2424</v>
      </c>
      <c r="L802" s="3">
        <v>0.93</v>
      </c>
      <c r="M802" s="3">
        <v>0.44779999999999998</v>
      </c>
      <c r="N802" s="3">
        <v>6</v>
      </c>
      <c r="O802" s="3">
        <v>78</v>
      </c>
      <c r="P802" s="51">
        <v>84</v>
      </c>
    </row>
    <row r="803" spans="1:16" x14ac:dyDescent="0.35">
      <c r="A803" s="49">
        <v>802</v>
      </c>
      <c r="B803" s="50">
        <v>40579</v>
      </c>
      <c r="C803" s="3">
        <v>1</v>
      </c>
      <c r="D803" s="3">
        <v>0</v>
      </c>
      <c r="E803" s="3" t="s">
        <v>105</v>
      </c>
      <c r="F803" s="3">
        <v>20</v>
      </c>
      <c r="G803" s="3" t="b">
        <v>0</v>
      </c>
      <c r="H803" s="3" t="s">
        <v>106</v>
      </c>
      <c r="I803" s="3" t="s">
        <v>113</v>
      </c>
      <c r="J803" s="3">
        <v>0.3</v>
      </c>
      <c r="K803" s="3">
        <v>0.28789999999999999</v>
      </c>
      <c r="L803" s="3">
        <v>0.87</v>
      </c>
      <c r="M803" s="3">
        <v>0.25369999999999998</v>
      </c>
      <c r="N803" s="3">
        <v>5</v>
      </c>
      <c r="O803" s="3">
        <v>64</v>
      </c>
      <c r="P803" s="51">
        <v>69</v>
      </c>
    </row>
    <row r="804" spans="1:16" x14ac:dyDescent="0.35">
      <c r="A804" s="49">
        <v>803</v>
      </c>
      <c r="B804" s="50">
        <v>40579</v>
      </c>
      <c r="C804" s="3">
        <v>1</v>
      </c>
      <c r="D804" s="3">
        <v>0</v>
      </c>
      <c r="E804" s="3" t="s">
        <v>105</v>
      </c>
      <c r="F804" s="3">
        <v>21</v>
      </c>
      <c r="G804" s="3" t="b">
        <v>0</v>
      </c>
      <c r="H804" s="3" t="s">
        <v>106</v>
      </c>
      <c r="I804" s="3" t="s">
        <v>113</v>
      </c>
      <c r="J804" s="3">
        <v>0.26</v>
      </c>
      <c r="K804" s="3">
        <v>0.2576</v>
      </c>
      <c r="L804" s="3">
        <v>1</v>
      </c>
      <c r="M804" s="3">
        <v>0.19400000000000001</v>
      </c>
      <c r="N804" s="3">
        <v>3</v>
      </c>
      <c r="O804" s="3">
        <v>53</v>
      </c>
      <c r="P804" s="51">
        <v>56</v>
      </c>
    </row>
    <row r="805" spans="1:16" x14ac:dyDescent="0.35">
      <c r="A805" s="49">
        <v>804</v>
      </c>
      <c r="B805" s="50">
        <v>40579</v>
      </c>
      <c r="C805" s="3">
        <v>1</v>
      </c>
      <c r="D805" s="3">
        <v>0</v>
      </c>
      <c r="E805" s="3" t="s">
        <v>105</v>
      </c>
      <c r="F805" s="3">
        <v>22</v>
      </c>
      <c r="G805" s="3" t="b">
        <v>0</v>
      </c>
      <c r="H805" s="3" t="s">
        <v>106</v>
      </c>
      <c r="I805" s="3" t="s">
        <v>113</v>
      </c>
      <c r="J805" s="3">
        <v>0.26</v>
      </c>
      <c r="K805" s="3">
        <v>0.2727</v>
      </c>
      <c r="L805" s="3">
        <v>0.93</v>
      </c>
      <c r="M805" s="3">
        <v>0.1343</v>
      </c>
      <c r="N805" s="3">
        <v>2</v>
      </c>
      <c r="O805" s="3">
        <v>43</v>
      </c>
      <c r="P805" s="51">
        <v>45</v>
      </c>
    </row>
    <row r="806" spans="1:16" x14ac:dyDescent="0.35">
      <c r="A806" s="49">
        <v>805</v>
      </c>
      <c r="B806" s="50">
        <v>40579</v>
      </c>
      <c r="C806" s="3">
        <v>1</v>
      </c>
      <c r="D806" s="3">
        <v>0</v>
      </c>
      <c r="E806" s="3" t="s">
        <v>105</v>
      </c>
      <c r="F806" s="3">
        <v>23</v>
      </c>
      <c r="G806" s="3" t="b">
        <v>0</v>
      </c>
      <c r="H806" s="3" t="s">
        <v>106</v>
      </c>
      <c r="I806" s="3" t="s">
        <v>113</v>
      </c>
      <c r="J806" s="3">
        <v>0.26</v>
      </c>
      <c r="K806" s="3">
        <v>0.2576</v>
      </c>
      <c r="L806" s="3">
        <v>0.93</v>
      </c>
      <c r="M806" s="3">
        <v>0.22389999999999999</v>
      </c>
      <c r="N806" s="3">
        <v>7</v>
      </c>
      <c r="O806" s="3">
        <v>52</v>
      </c>
      <c r="P806" s="51">
        <v>59</v>
      </c>
    </row>
    <row r="807" spans="1:16" x14ac:dyDescent="0.35">
      <c r="A807" s="49">
        <v>806</v>
      </c>
      <c r="B807" s="50">
        <v>40580</v>
      </c>
      <c r="C807" s="3">
        <v>1</v>
      </c>
      <c r="D807" s="3">
        <v>0</v>
      </c>
      <c r="E807" s="3" t="s">
        <v>105</v>
      </c>
      <c r="F807" s="3">
        <v>0</v>
      </c>
      <c r="G807" s="3" t="b">
        <v>0</v>
      </c>
      <c r="H807" s="3" t="s">
        <v>107</v>
      </c>
      <c r="I807" s="3" t="s">
        <v>113</v>
      </c>
      <c r="J807" s="3">
        <v>0.26</v>
      </c>
      <c r="K807" s="3">
        <v>0.2576</v>
      </c>
      <c r="L807" s="3">
        <v>0.7</v>
      </c>
      <c r="M807" s="3">
        <v>0.19400000000000001</v>
      </c>
      <c r="N807" s="3">
        <v>2</v>
      </c>
      <c r="O807" s="3">
        <v>37</v>
      </c>
      <c r="P807" s="51">
        <v>39</v>
      </c>
    </row>
    <row r="808" spans="1:16" x14ac:dyDescent="0.35">
      <c r="A808" s="49">
        <v>807</v>
      </c>
      <c r="B808" s="50">
        <v>40580</v>
      </c>
      <c r="C808" s="3">
        <v>1</v>
      </c>
      <c r="D808" s="3">
        <v>0</v>
      </c>
      <c r="E808" s="3" t="s">
        <v>105</v>
      </c>
      <c r="F808" s="3">
        <v>1</v>
      </c>
      <c r="G808" s="3" t="b">
        <v>0</v>
      </c>
      <c r="H808" s="3" t="s">
        <v>107</v>
      </c>
      <c r="I808" s="3" t="s">
        <v>113</v>
      </c>
      <c r="J808" s="3">
        <v>0.26</v>
      </c>
      <c r="K808" s="3">
        <v>0.2273</v>
      </c>
      <c r="L808" s="3">
        <v>0.65</v>
      </c>
      <c r="M808" s="3">
        <v>0.41789999999999999</v>
      </c>
      <c r="N808" s="3">
        <v>4</v>
      </c>
      <c r="O808" s="3">
        <v>40</v>
      </c>
      <c r="P808" s="51">
        <v>44</v>
      </c>
    </row>
    <row r="809" spans="1:16" x14ac:dyDescent="0.35">
      <c r="A809" s="49">
        <v>808</v>
      </c>
      <c r="B809" s="50">
        <v>40580</v>
      </c>
      <c r="C809" s="3">
        <v>1</v>
      </c>
      <c r="D809" s="3">
        <v>0</v>
      </c>
      <c r="E809" s="3" t="s">
        <v>105</v>
      </c>
      <c r="F809" s="3">
        <v>2</v>
      </c>
      <c r="G809" s="3" t="b">
        <v>0</v>
      </c>
      <c r="H809" s="3" t="s">
        <v>107</v>
      </c>
      <c r="I809" s="3" t="s">
        <v>113</v>
      </c>
      <c r="J809" s="3">
        <v>0.26</v>
      </c>
      <c r="K809" s="3">
        <v>0.2273</v>
      </c>
      <c r="L809" s="3">
        <v>0.6</v>
      </c>
      <c r="M809" s="3">
        <v>0.32840000000000003</v>
      </c>
      <c r="N809" s="3">
        <v>0</v>
      </c>
      <c r="O809" s="3">
        <v>20</v>
      </c>
      <c r="P809" s="51">
        <v>20</v>
      </c>
    </row>
    <row r="810" spans="1:16" x14ac:dyDescent="0.35">
      <c r="A810" s="49">
        <v>809</v>
      </c>
      <c r="B810" s="50">
        <v>40580</v>
      </c>
      <c r="C810" s="3">
        <v>1</v>
      </c>
      <c r="D810" s="3">
        <v>0</v>
      </c>
      <c r="E810" s="3" t="s">
        <v>105</v>
      </c>
      <c r="F810" s="3">
        <v>3</v>
      </c>
      <c r="G810" s="3" t="b">
        <v>0</v>
      </c>
      <c r="H810" s="3" t="s">
        <v>107</v>
      </c>
      <c r="I810" s="3" t="s">
        <v>113</v>
      </c>
      <c r="J810" s="3">
        <v>0.26</v>
      </c>
      <c r="K810" s="3">
        <v>0.28789999999999999</v>
      </c>
      <c r="L810" s="3">
        <v>0.6</v>
      </c>
      <c r="M810" s="3">
        <v>8.9599999999999999E-2</v>
      </c>
      <c r="N810" s="3">
        <v>3</v>
      </c>
      <c r="O810" s="3">
        <v>10</v>
      </c>
      <c r="P810" s="51">
        <v>13</v>
      </c>
    </row>
    <row r="811" spans="1:16" x14ac:dyDescent="0.35">
      <c r="A811" s="49">
        <v>810</v>
      </c>
      <c r="B811" s="50">
        <v>40580</v>
      </c>
      <c r="C811" s="3">
        <v>1</v>
      </c>
      <c r="D811" s="3">
        <v>0</v>
      </c>
      <c r="E811" s="3" t="s">
        <v>105</v>
      </c>
      <c r="F811" s="3">
        <v>4</v>
      </c>
      <c r="G811" s="3" t="b">
        <v>0</v>
      </c>
      <c r="H811" s="3" t="s">
        <v>107</v>
      </c>
      <c r="I811" s="3" t="s">
        <v>113</v>
      </c>
      <c r="J811" s="3">
        <v>0.26</v>
      </c>
      <c r="K811" s="3">
        <v>0.2273</v>
      </c>
      <c r="L811" s="3">
        <v>0.6</v>
      </c>
      <c r="M811" s="3">
        <v>0.35820000000000002</v>
      </c>
      <c r="N811" s="3">
        <v>0</v>
      </c>
      <c r="O811" s="3">
        <v>2</v>
      </c>
      <c r="P811" s="51">
        <v>2</v>
      </c>
    </row>
    <row r="812" spans="1:16" x14ac:dyDescent="0.35">
      <c r="A812" s="49">
        <v>811</v>
      </c>
      <c r="B812" s="50">
        <v>40580</v>
      </c>
      <c r="C812" s="3">
        <v>1</v>
      </c>
      <c r="D812" s="3">
        <v>0</v>
      </c>
      <c r="E812" s="3" t="s">
        <v>105</v>
      </c>
      <c r="F812" s="3">
        <v>5</v>
      </c>
      <c r="G812" s="3" t="b">
        <v>0</v>
      </c>
      <c r="H812" s="3" t="s">
        <v>107</v>
      </c>
      <c r="I812" s="3" t="s">
        <v>113</v>
      </c>
      <c r="J812" s="3">
        <v>0.26</v>
      </c>
      <c r="K812" s="3">
        <v>0.2576</v>
      </c>
      <c r="L812" s="3">
        <v>0.6</v>
      </c>
      <c r="M812" s="3">
        <v>0.22389999999999999</v>
      </c>
      <c r="N812" s="3">
        <v>0</v>
      </c>
      <c r="O812" s="3">
        <v>1</v>
      </c>
      <c r="P812" s="51">
        <v>1</v>
      </c>
    </row>
    <row r="813" spans="1:16" x14ac:dyDescent="0.35">
      <c r="A813" s="49">
        <v>812</v>
      </c>
      <c r="B813" s="50">
        <v>40580</v>
      </c>
      <c r="C813" s="3">
        <v>1</v>
      </c>
      <c r="D813" s="3">
        <v>0</v>
      </c>
      <c r="E813" s="3" t="s">
        <v>105</v>
      </c>
      <c r="F813" s="3">
        <v>6</v>
      </c>
      <c r="G813" s="3" t="b">
        <v>0</v>
      </c>
      <c r="H813" s="3" t="s">
        <v>107</v>
      </c>
      <c r="I813" s="3" t="s">
        <v>113</v>
      </c>
      <c r="J813" s="3">
        <v>0.26</v>
      </c>
      <c r="K813" s="3">
        <v>0.2576</v>
      </c>
      <c r="L813" s="3">
        <v>0.6</v>
      </c>
      <c r="M813" s="3">
        <v>0.22389999999999999</v>
      </c>
      <c r="N813" s="3">
        <v>0</v>
      </c>
      <c r="O813" s="3">
        <v>1</v>
      </c>
      <c r="P813" s="51">
        <v>1</v>
      </c>
    </row>
    <row r="814" spans="1:16" x14ac:dyDescent="0.35">
      <c r="A814" s="49">
        <v>813</v>
      </c>
      <c r="B814" s="50">
        <v>40580</v>
      </c>
      <c r="C814" s="3">
        <v>1</v>
      </c>
      <c r="D814" s="3">
        <v>0</v>
      </c>
      <c r="E814" s="3" t="s">
        <v>105</v>
      </c>
      <c r="F814" s="3">
        <v>7</v>
      </c>
      <c r="G814" s="3" t="b">
        <v>0</v>
      </c>
      <c r="H814" s="3" t="s">
        <v>107</v>
      </c>
      <c r="I814" s="3" t="s">
        <v>113</v>
      </c>
      <c r="J814" s="3">
        <v>0.24</v>
      </c>
      <c r="K814" s="3">
        <v>0.2424</v>
      </c>
      <c r="L814" s="3">
        <v>0.65</v>
      </c>
      <c r="M814" s="3">
        <v>0.16420000000000001</v>
      </c>
      <c r="N814" s="3">
        <v>0</v>
      </c>
      <c r="O814" s="3">
        <v>8</v>
      </c>
      <c r="P814" s="51">
        <v>8</v>
      </c>
    </row>
    <row r="815" spans="1:16" x14ac:dyDescent="0.35">
      <c r="A815" s="49">
        <v>814</v>
      </c>
      <c r="B815" s="50">
        <v>40580</v>
      </c>
      <c r="C815" s="3">
        <v>1</v>
      </c>
      <c r="D815" s="3">
        <v>0</v>
      </c>
      <c r="E815" s="3" t="s">
        <v>105</v>
      </c>
      <c r="F815" s="3">
        <v>8</v>
      </c>
      <c r="G815" s="3" t="b">
        <v>0</v>
      </c>
      <c r="H815" s="3" t="s">
        <v>107</v>
      </c>
      <c r="I815" s="3" t="s">
        <v>113</v>
      </c>
      <c r="J815" s="3">
        <v>0.24</v>
      </c>
      <c r="K815" s="3">
        <v>0.2576</v>
      </c>
      <c r="L815" s="3">
        <v>0.65</v>
      </c>
      <c r="M815" s="3">
        <v>0.1045</v>
      </c>
      <c r="N815" s="3">
        <v>2</v>
      </c>
      <c r="O815" s="3">
        <v>21</v>
      </c>
      <c r="P815" s="51">
        <v>23</v>
      </c>
    </row>
    <row r="816" spans="1:16" x14ac:dyDescent="0.35">
      <c r="A816" s="49">
        <v>815</v>
      </c>
      <c r="B816" s="50">
        <v>40580</v>
      </c>
      <c r="C816" s="3">
        <v>1</v>
      </c>
      <c r="D816" s="3">
        <v>0</v>
      </c>
      <c r="E816" s="3" t="s">
        <v>105</v>
      </c>
      <c r="F816" s="3">
        <v>9</v>
      </c>
      <c r="G816" s="3" t="b">
        <v>0</v>
      </c>
      <c r="H816" s="3" t="s">
        <v>107</v>
      </c>
      <c r="I816" s="3" t="s">
        <v>113</v>
      </c>
      <c r="J816" s="3">
        <v>0.28000000000000003</v>
      </c>
      <c r="K816" s="3">
        <v>0.28789999999999999</v>
      </c>
      <c r="L816" s="3">
        <v>0.56000000000000005</v>
      </c>
      <c r="M816" s="3">
        <v>0.1045</v>
      </c>
      <c r="N816" s="3">
        <v>7</v>
      </c>
      <c r="O816" s="3">
        <v>38</v>
      </c>
      <c r="P816" s="51">
        <v>45</v>
      </c>
    </row>
    <row r="817" spans="1:16" x14ac:dyDescent="0.35">
      <c r="A817" s="49">
        <v>816</v>
      </c>
      <c r="B817" s="50">
        <v>40580</v>
      </c>
      <c r="C817" s="3">
        <v>1</v>
      </c>
      <c r="D817" s="3">
        <v>0</v>
      </c>
      <c r="E817" s="3" t="s">
        <v>105</v>
      </c>
      <c r="F817" s="3">
        <v>10</v>
      </c>
      <c r="G817" s="3" t="b">
        <v>0</v>
      </c>
      <c r="H817" s="3" t="s">
        <v>107</v>
      </c>
      <c r="I817" s="3" t="s">
        <v>113</v>
      </c>
      <c r="J817" s="3">
        <v>0.3</v>
      </c>
      <c r="K817" s="3">
        <v>0.28789999999999999</v>
      </c>
      <c r="L817" s="3">
        <v>0.52</v>
      </c>
      <c r="M817" s="3">
        <v>0.25369999999999998</v>
      </c>
      <c r="N817" s="3">
        <v>15</v>
      </c>
      <c r="O817" s="3">
        <v>74</v>
      </c>
      <c r="P817" s="51">
        <v>89</v>
      </c>
    </row>
    <row r="818" spans="1:16" x14ac:dyDescent="0.35">
      <c r="A818" s="49">
        <v>817</v>
      </c>
      <c r="B818" s="50">
        <v>40580</v>
      </c>
      <c r="C818" s="3">
        <v>1</v>
      </c>
      <c r="D818" s="3">
        <v>0</v>
      </c>
      <c r="E818" s="3" t="s">
        <v>105</v>
      </c>
      <c r="F818" s="3">
        <v>11</v>
      </c>
      <c r="G818" s="3" t="b">
        <v>0</v>
      </c>
      <c r="H818" s="3" t="s">
        <v>107</v>
      </c>
      <c r="I818" s="3" t="s">
        <v>113</v>
      </c>
      <c r="J818" s="3">
        <v>0.32</v>
      </c>
      <c r="K818" s="3">
        <v>0.30299999999999999</v>
      </c>
      <c r="L818" s="3">
        <v>0.49</v>
      </c>
      <c r="M818" s="3">
        <v>0.25369999999999998</v>
      </c>
      <c r="N818" s="3">
        <v>28</v>
      </c>
      <c r="O818" s="3">
        <v>89</v>
      </c>
      <c r="P818" s="51">
        <v>117</v>
      </c>
    </row>
    <row r="819" spans="1:16" x14ac:dyDescent="0.35">
      <c r="A819" s="49">
        <v>818</v>
      </c>
      <c r="B819" s="50">
        <v>40580</v>
      </c>
      <c r="C819" s="3">
        <v>1</v>
      </c>
      <c r="D819" s="3">
        <v>0</v>
      </c>
      <c r="E819" s="3" t="s">
        <v>105</v>
      </c>
      <c r="F819" s="3">
        <v>12</v>
      </c>
      <c r="G819" s="3" t="b">
        <v>0</v>
      </c>
      <c r="H819" s="3" t="s">
        <v>107</v>
      </c>
      <c r="I819" s="3" t="s">
        <v>113</v>
      </c>
      <c r="J819" s="3">
        <v>0.34</v>
      </c>
      <c r="K819" s="3">
        <v>0.33329999999999999</v>
      </c>
      <c r="L819" s="3">
        <v>0.46</v>
      </c>
      <c r="M819" s="3">
        <v>0</v>
      </c>
      <c r="N819" s="3">
        <v>48</v>
      </c>
      <c r="O819" s="3">
        <v>126</v>
      </c>
      <c r="P819" s="51">
        <v>174</v>
      </c>
    </row>
    <row r="820" spans="1:16" x14ac:dyDescent="0.35">
      <c r="A820" s="49">
        <v>819</v>
      </c>
      <c r="B820" s="50">
        <v>40580</v>
      </c>
      <c r="C820" s="3">
        <v>1</v>
      </c>
      <c r="D820" s="3">
        <v>0</v>
      </c>
      <c r="E820" s="3" t="s">
        <v>105</v>
      </c>
      <c r="F820" s="3">
        <v>13</v>
      </c>
      <c r="G820" s="3" t="b">
        <v>0</v>
      </c>
      <c r="H820" s="3" t="s">
        <v>107</v>
      </c>
      <c r="I820" s="3" t="s">
        <v>113</v>
      </c>
      <c r="J820" s="3">
        <v>0.34</v>
      </c>
      <c r="K820" s="3">
        <v>0.36359999999999998</v>
      </c>
      <c r="L820" s="3">
        <v>0.46</v>
      </c>
      <c r="M820" s="3">
        <v>0</v>
      </c>
      <c r="N820" s="3">
        <v>47</v>
      </c>
      <c r="O820" s="3">
        <v>135</v>
      </c>
      <c r="P820" s="51">
        <v>182</v>
      </c>
    </row>
    <row r="821" spans="1:16" x14ac:dyDescent="0.35">
      <c r="A821" s="49">
        <v>820</v>
      </c>
      <c r="B821" s="50">
        <v>40580</v>
      </c>
      <c r="C821" s="3">
        <v>1</v>
      </c>
      <c r="D821" s="3">
        <v>0</v>
      </c>
      <c r="E821" s="3" t="s">
        <v>105</v>
      </c>
      <c r="F821" s="3">
        <v>14</v>
      </c>
      <c r="G821" s="3" t="b">
        <v>0</v>
      </c>
      <c r="H821" s="3" t="s">
        <v>107</v>
      </c>
      <c r="I821" s="3" t="s">
        <v>113</v>
      </c>
      <c r="J821" s="3">
        <v>0.34</v>
      </c>
      <c r="K821" s="3">
        <v>0.34849999999999998</v>
      </c>
      <c r="L821" s="3">
        <v>0.46</v>
      </c>
      <c r="M821" s="3">
        <v>8.9599999999999999E-2</v>
      </c>
      <c r="N821" s="3">
        <v>47</v>
      </c>
      <c r="O821" s="3">
        <v>114</v>
      </c>
      <c r="P821" s="51">
        <v>161</v>
      </c>
    </row>
    <row r="822" spans="1:16" x14ac:dyDescent="0.35">
      <c r="A822" s="49">
        <v>821</v>
      </c>
      <c r="B822" s="50">
        <v>40580</v>
      </c>
      <c r="C822" s="3">
        <v>1</v>
      </c>
      <c r="D822" s="3">
        <v>0</v>
      </c>
      <c r="E822" s="3" t="s">
        <v>105</v>
      </c>
      <c r="F822" s="3">
        <v>15</v>
      </c>
      <c r="G822" s="3" t="b">
        <v>0</v>
      </c>
      <c r="H822" s="3" t="s">
        <v>107</v>
      </c>
      <c r="I822" s="3" t="s">
        <v>113</v>
      </c>
      <c r="J822" s="3">
        <v>0.34</v>
      </c>
      <c r="K822" s="3">
        <v>0.34849999999999998</v>
      </c>
      <c r="L822" s="3">
        <v>0.46</v>
      </c>
      <c r="M822" s="3">
        <v>8.9599999999999999E-2</v>
      </c>
      <c r="N822" s="3">
        <v>52</v>
      </c>
      <c r="O822" s="3">
        <v>130</v>
      </c>
      <c r="P822" s="51">
        <v>182</v>
      </c>
    </row>
    <row r="823" spans="1:16" x14ac:dyDescent="0.35">
      <c r="A823" s="49">
        <v>822</v>
      </c>
      <c r="B823" s="50">
        <v>40580</v>
      </c>
      <c r="C823" s="3">
        <v>1</v>
      </c>
      <c r="D823" s="3">
        <v>0</v>
      </c>
      <c r="E823" s="3" t="s">
        <v>105</v>
      </c>
      <c r="F823" s="3">
        <v>16</v>
      </c>
      <c r="G823" s="3" t="b">
        <v>0</v>
      </c>
      <c r="H823" s="3" t="s">
        <v>107</v>
      </c>
      <c r="I823" s="3" t="s">
        <v>113</v>
      </c>
      <c r="J823" s="3">
        <v>0.34</v>
      </c>
      <c r="K823" s="3">
        <v>0.34849999999999998</v>
      </c>
      <c r="L823" s="3">
        <v>0.49</v>
      </c>
      <c r="M823" s="3">
        <v>0.1045</v>
      </c>
      <c r="N823" s="3">
        <v>42</v>
      </c>
      <c r="O823" s="3">
        <v>115</v>
      </c>
      <c r="P823" s="51">
        <v>157</v>
      </c>
    </row>
    <row r="824" spans="1:16" x14ac:dyDescent="0.35">
      <c r="A824" s="49">
        <v>823</v>
      </c>
      <c r="B824" s="50">
        <v>40580</v>
      </c>
      <c r="C824" s="3">
        <v>1</v>
      </c>
      <c r="D824" s="3">
        <v>0</v>
      </c>
      <c r="E824" s="3" t="s">
        <v>105</v>
      </c>
      <c r="F824" s="3">
        <v>17</v>
      </c>
      <c r="G824" s="3" t="b">
        <v>0</v>
      </c>
      <c r="H824" s="3" t="s">
        <v>107</v>
      </c>
      <c r="I824" s="3" t="s">
        <v>113</v>
      </c>
      <c r="J824" s="3">
        <v>0.34</v>
      </c>
      <c r="K824" s="3">
        <v>0.36359999999999998</v>
      </c>
      <c r="L824" s="3">
        <v>0.46</v>
      </c>
      <c r="M824" s="3">
        <v>0</v>
      </c>
      <c r="N824" s="3">
        <v>24</v>
      </c>
      <c r="O824" s="3">
        <v>97</v>
      </c>
      <c r="P824" s="51">
        <v>121</v>
      </c>
    </row>
    <row r="825" spans="1:16" x14ac:dyDescent="0.35">
      <c r="A825" s="49">
        <v>824</v>
      </c>
      <c r="B825" s="50">
        <v>40580</v>
      </c>
      <c r="C825" s="3">
        <v>1</v>
      </c>
      <c r="D825" s="3">
        <v>0</v>
      </c>
      <c r="E825" s="3" t="s">
        <v>105</v>
      </c>
      <c r="F825" s="3">
        <v>18</v>
      </c>
      <c r="G825" s="3" t="b">
        <v>0</v>
      </c>
      <c r="H825" s="3" t="s">
        <v>107</v>
      </c>
      <c r="I825" s="3" t="s">
        <v>113</v>
      </c>
      <c r="J825" s="3">
        <v>0.3</v>
      </c>
      <c r="K825" s="3">
        <v>0.30299999999999999</v>
      </c>
      <c r="L825" s="3">
        <v>0.56000000000000005</v>
      </c>
      <c r="M825" s="3">
        <v>0.16420000000000001</v>
      </c>
      <c r="N825" s="3">
        <v>13</v>
      </c>
      <c r="O825" s="3">
        <v>65</v>
      </c>
      <c r="P825" s="51">
        <v>78</v>
      </c>
    </row>
    <row r="826" spans="1:16" x14ac:dyDescent="0.35">
      <c r="A826" s="49">
        <v>825</v>
      </c>
      <c r="B826" s="50">
        <v>40580</v>
      </c>
      <c r="C826" s="3">
        <v>1</v>
      </c>
      <c r="D826" s="3">
        <v>0</v>
      </c>
      <c r="E826" s="3" t="s">
        <v>105</v>
      </c>
      <c r="F826" s="3">
        <v>19</v>
      </c>
      <c r="G826" s="3" t="b">
        <v>0</v>
      </c>
      <c r="H826" s="3" t="s">
        <v>107</v>
      </c>
      <c r="I826" s="3" t="s">
        <v>113</v>
      </c>
      <c r="J826" s="3">
        <v>0.28000000000000003</v>
      </c>
      <c r="K826" s="3">
        <v>0.28789999999999999</v>
      </c>
      <c r="L826" s="3">
        <v>0.61</v>
      </c>
      <c r="M826" s="3">
        <v>0.1343</v>
      </c>
      <c r="N826" s="3">
        <v>1</v>
      </c>
      <c r="O826" s="3">
        <v>20</v>
      </c>
      <c r="P826" s="51">
        <v>21</v>
      </c>
    </row>
    <row r="827" spans="1:16" x14ac:dyDescent="0.35">
      <c r="A827" s="49">
        <v>826</v>
      </c>
      <c r="B827" s="50">
        <v>40580</v>
      </c>
      <c r="C827" s="3">
        <v>1</v>
      </c>
      <c r="D827" s="3">
        <v>0</v>
      </c>
      <c r="E827" s="3" t="s">
        <v>105</v>
      </c>
      <c r="F827" s="3">
        <v>20</v>
      </c>
      <c r="G827" s="3" t="b">
        <v>0</v>
      </c>
      <c r="H827" s="3" t="s">
        <v>107</v>
      </c>
      <c r="I827" s="3" t="s">
        <v>113</v>
      </c>
      <c r="J827" s="3">
        <v>0.28000000000000003</v>
      </c>
      <c r="K827" s="3">
        <v>0.28789999999999999</v>
      </c>
      <c r="L827" s="3">
        <v>0.61</v>
      </c>
      <c r="M827" s="3">
        <v>0.1045</v>
      </c>
      <c r="N827" s="3">
        <v>5</v>
      </c>
      <c r="O827" s="3">
        <v>21</v>
      </c>
      <c r="P827" s="51">
        <v>26</v>
      </c>
    </row>
    <row r="828" spans="1:16" x14ac:dyDescent="0.35">
      <c r="A828" s="49">
        <v>827</v>
      </c>
      <c r="B828" s="50">
        <v>40580</v>
      </c>
      <c r="C828" s="3">
        <v>1</v>
      </c>
      <c r="D828" s="3">
        <v>0</v>
      </c>
      <c r="E828" s="3" t="s">
        <v>105</v>
      </c>
      <c r="F828" s="3">
        <v>21</v>
      </c>
      <c r="G828" s="3" t="b">
        <v>0</v>
      </c>
      <c r="H828" s="3" t="s">
        <v>107</v>
      </c>
      <c r="I828" s="3" t="s">
        <v>113</v>
      </c>
      <c r="J828" s="3">
        <v>0.26</v>
      </c>
      <c r="K828" s="3">
        <v>0.30299999999999999</v>
      </c>
      <c r="L828" s="3">
        <v>0.6</v>
      </c>
      <c r="M828" s="3">
        <v>0</v>
      </c>
      <c r="N828" s="3">
        <v>5</v>
      </c>
      <c r="O828" s="3">
        <v>22</v>
      </c>
      <c r="P828" s="51">
        <v>27</v>
      </c>
    </row>
    <row r="829" spans="1:16" x14ac:dyDescent="0.35">
      <c r="A829" s="49">
        <v>828</v>
      </c>
      <c r="B829" s="50">
        <v>40580</v>
      </c>
      <c r="C829" s="3">
        <v>1</v>
      </c>
      <c r="D829" s="3">
        <v>0</v>
      </c>
      <c r="E829" s="3" t="s">
        <v>105</v>
      </c>
      <c r="F829" s="3">
        <v>22</v>
      </c>
      <c r="G829" s="3" t="b">
        <v>0</v>
      </c>
      <c r="H829" s="3" t="s">
        <v>107</v>
      </c>
      <c r="I829" s="3" t="s">
        <v>113</v>
      </c>
      <c r="J829" s="3">
        <v>0.26</v>
      </c>
      <c r="K829" s="3">
        <v>0.30299999999999999</v>
      </c>
      <c r="L829" s="3">
        <v>0.6</v>
      </c>
      <c r="M829" s="3">
        <v>0</v>
      </c>
      <c r="N829" s="3">
        <v>5</v>
      </c>
      <c r="O829" s="3">
        <v>57</v>
      </c>
      <c r="P829" s="51">
        <v>62</v>
      </c>
    </row>
    <row r="830" spans="1:16" x14ac:dyDescent="0.35">
      <c r="A830" s="49">
        <v>829</v>
      </c>
      <c r="B830" s="50">
        <v>40580</v>
      </c>
      <c r="C830" s="3">
        <v>1</v>
      </c>
      <c r="D830" s="3">
        <v>0</v>
      </c>
      <c r="E830" s="3" t="s">
        <v>105</v>
      </c>
      <c r="F830" s="3">
        <v>23</v>
      </c>
      <c r="G830" s="3" t="b">
        <v>0</v>
      </c>
      <c r="H830" s="3" t="s">
        <v>107</v>
      </c>
      <c r="I830" s="3" t="s">
        <v>113</v>
      </c>
      <c r="J830" s="3">
        <v>0.24</v>
      </c>
      <c r="K830" s="3">
        <v>0.28789999999999999</v>
      </c>
      <c r="L830" s="3">
        <v>0.65</v>
      </c>
      <c r="M830" s="3">
        <v>0</v>
      </c>
      <c r="N830" s="3">
        <v>4</v>
      </c>
      <c r="O830" s="3">
        <v>26</v>
      </c>
      <c r="P830" s="51">
        <v>30</v>
      </c>
    </row>
    <row r="831" spans="1:16" x14ac:dyDescent="0.35">
      <c r="A831" s="49">
        <v>830</v>
      </c>
      <c r="B831" s="50">
        <v>40581</v>
      </c>
      <c r="C831" s="3">
        <v>1</v>
      </c>
      <c r="D831" s="3">
        <v>0</v>
      </c>
      <c r="E831" s="3" t="s">
        <v>105</v>
      </c>
      <c r="F831" s="3">
        <v>0</v>
      </c>
      <c r="G831" s="3" t="b">
        <v>0</v>
      </c>
      <c r="H831" s="3" t="s">
        <v>108</v>
      </c>
      <c r="I831" s="3" t="s">
        <v>113</v>
      </c>
      <c r="J831" s="3">
        <v>0.24</v>
      </c>
      <c r="K831" s="3">
        <v>0.28789999999999999</v>
      </c>
      <c r="L831" s="3">
        <v>0.65</v>
      </c>
      <c r="M831" s="3">
        <v>0</v>
      </c>
      <c r="N831" s="3">
        <v>1</v>
      </c>
      <c r="O831" s="3">
        <v>14</v>
      </c>
      <c r="P831" s="51">
        <v>15</v>
      </c>
    </row>
    <row r="832" spans="1:16" x14ac:dyDescent="0.35">
      <c r="A832" s="49">
        <v>831</v>
      </c>
      <c r="B832" s="50">
        <v>40581</v>
      </c>
      <c r="C832" s="3">
        <v>1</v>
      </c>
      <c r="D832" s="3">
        <v>0</v>
      </c>
      <c r="E832" s="3" t="s">
        <v>105</v>
      </c>
      <c r="F832" s="3">
        <v>1</v>
      </c>
      <c r="G832" s="3" t="b">
        <v>0</v>
      </c>
      <c r="H832" s="3" t="s">
        <v>108</v>
      </c>
      <c r="I832" s="3" t="s">
        <v>113</v>
      </c>
      <c r="J832" s="3">
        <v>0.22</v>
      </c>
      <c r="K832" s="3">
        <v>0.2727</v>
      </c>
      <c r="L832" s="3">
        <v>0.75</v>
      </c>
      <c r="M832" s="3">
        <v>0</v>
      </c>
      <c r="N832" s="3">
        <v>1</v>
      </c>
      <c r="O832" s="3">
        <v>4</v>
      </c>
      <c r="P832" s="51">
        <v>5</v>
      </c>
    </row>
    <row r="833" spans="1:16" x14ac:dyDescent="0.35">
      <c r="A833" s="49">
        <v>832</v>
      </c>
      <c r="B833" s="50">
        <v>40581</v>
      </c>
      <c r="C833" s="3">
        <v>1</v>
      </c>
      <c r="D833" s="3">
        <v>0</v>
      </c>
      <c r="E833" s="3" t="s">
        <v>105</v>
      </c>
      <c r="F833" s="3">
        <v>2</v>
      </c>
      <c r="G833" s="3" t="b">
        <v>0</v>
      </c>
      <c r="H833" s="3" t="s">
        <v>108</v>
      </c>
      <c r="I833" s="3" t="s">
        <v>113</v>
      </c>
      <c r="J833" s="3">
        <v>0.2</v>
      </c>
      <c r="K833" s="3">
        <v>0.2576</v>
      </c>
      <c r="L833" s="3">
        <v>0.8</v>
      </c>
      <c r="M833" s="3">
        <v>0</v>
      </c>
      <c r="N833" s="3">
        <v>0</v>
      </c>
      <c r="O833" s="3">
        <v>3</v>
      </c>
      <c r="P833" s="51">
        <v>3</v>
      </c>
    </row>
    <row r="834" spans="1:16" x14ac:dyDescent="0.35">
      <c r="A834" s="49">
        <v>833</v>
      </c>
      <c r="B834" s="50">
        <v>40581</v>
      </c>
      <c r="C834" s="3">
        <v>1</v>
      </c>
      <c r="D834" s="3">
        <v>0</v>
      </c>
      <c r="E834" s="3" t="s">
        <v>105</v>
      </c>
      <c r="F834" s="3">
        <v>3</v>
      </c>
      <c r="G834" s="3" t="b">
        <v>0</v>
      </c>
      <c r="H834" s="3" t="s">
        <v>108</v>
      </c>
      <c r="I834" s="3" t="s">
        <v>113</v>
      </c>
      <c r="J834" s="3">
        <v>0.2</v>
      </c>
      <c r="K834" s="3">
        <v>0.2576</v>
      </c>
      <c r="L834" s="3">
        <v>0.86</v>
      </c>
      <c r="M834" s="3">
        <v>0</v>
      </c>
      <c r="N834" s="3">
        <v>0</v>
      </c>
      <c r="O834" s="3">
        <v>1</v>
      </c>
      <c r="P834" s="51">
        <v>1</v>
      </c>
    </row>
    <row r="835" spans="1:16" x14ac:dyDescent="0.35">
      <c r="A835" s="49">
        <v>834</v>
      </c>
      <c r="B835" s="50">
        <v>40581</v>
      </c>
      <c r="C835" s="3">
        <v>1</v>
      </c>
      <c r="D835" s="3">
        <v>0</v>
      </c>
      <c r="E835" s="3" t="s">
        <v>105</v>
      </c>
      <c r="F835" s="3">
        <v>4</v>
      </c>
      <c r="G835" s="3" t="b">
        <v>0</v>
      </c>
      <c r="H835" s="3" t="s">
        <v>108</v>
      </c>
      <c r="I835" s="3" t="s">
        <v>113</v>
      </c>
      <c r="J835" s="3">
        <v>0.2</v>
      </c>
      <c r="K835" s="3">
        <v>0.2576</v>
      </c>
      <c r="L835" s="3">
        <v>0.86</v>
      </c>
      <c r="M835" s="3">
        <v>0</v>
      </c>
      <c r="N835" s="3">
        <v>1</v>
      </c>
      <c r="O835" s="3">
        <v>1</v>
      </c>
      <c r="P835" s="51">
        <v>2</v>
      </c>
    </row>
    <row r="836" spans="1:16" x14ac:dyDescent="0.35">
      <c r="A836" s="49">
        <v>835</v>
      </c>
      <c r="B836" s="50">
        <v>40581</v>
      </c>
      <c r="C836" s="3">
        <v>1</v>
      </c>
      <c r="D836" s="3">
        <v>0</v>
      </c>
      <c r="E836" s="3" t="s">
        <v>105</v>
      </c>
      <c r="F836" s="3">
        <v>5</v>
      </c>
      <c r="G836" s="3" t="b">
        <v>0</v>
      </c>
      <c r="H836" s="3" t="s">
        <v>108</v>
      </c>
      <c r="I836" s="3" t="s">
        <v>113</v>
      </c>
      <c r="J836" s="3">
        <v>0.2</v>
      </c>
      <c r="K836" s="3">
        <v>0.2576</v>
      </c>
      <c r="L836" s="3">
        <v>0.86</v>
      </c>
      <c r="M836" s="3">
        <v>0</v>
      </c>
      <c r="N836" s="3">
        <v>1</v>
      </c>
      <c r="O836" s="3">
        <v>9</v>
      </c>
      <c r="P836" s="51">
        <v>10</v>
      </c>
    </row>
    <row r="837" spans="1:16" x14ac:dyDescent="0.35">
      <c r="A837" s="49">
        <v>836</v>
      </c>
      <c r="B837" s="50">
        <v>40581</v>
      </c>
      <c r="C837" s="3">
        <v>1</v>
      </c>
      <c r="D837" s="3">
        <v>0</v>
      </c>
      <c r="E837" s="3" t="s">
        <v>105</v>
      </c>
      <c r="F837" s="3">
        <v>6</v>
      </c>
      <c r="G837" s="3" t="b">
        <v>0</v>
      </c>
      <c r="H837" s="3" t="s">
        <v>108</v>
      </c>
      <c r="I837" s="3" t="s">
        <v>113</v>
      </c>
      <c r="J837" s="3">
        <v>0.18</v>
      </c>
      <c r="K837" s="3">
        <v>0.2424</v>
      </c>
      <c r="L837" s="3">
        <v>0.93</v>
      </c>
      <c r="M837" s="3">
        <v>0</v>
      </c>
      <c r="N837" s="3">
        <v>1</v>
      </c>
      <c r="O837" s="3">
        <v>29</v>
      </c>
      <c r="P837" s="51">
        <v>30</v>
      </c>
    </row>
    <row r="838" spans="1:16" x14ac:dyDescent="0.35">
      <c r="A838" s="49">
        <v>837</v>
      </c>
      <c r="B838" s="50">
        <v>40581</v>
      </c>
      <c r="C838" s="3">
        <v>1</v>
      </c>
      <c r="D838" s="3">
        <v>0</v>
      </c>
      <c r="E838" s="3" t="s">
        <v>105</v>
      </c>
      <c r="F838" s="3">
        <v>7</v>
      </c>
      <c r="G838" s="3" t="b">
        <v>0</v>
      </c>
      <c r="H838" s="3" t="s">
        <v>108</v>
      </c>
      <c r="I838" s="3" t="s">
        <v>113</v>
      </c>
      <c r="J838" s="3">
        <v>0.18</v>
      </c>
      <c r="K838" s="3">
        <v>0.2424</v>
      </c>
      <c r="L838" s="3">
        <v>0.86</v>
      </c>
      <c r="M838" s="3">
        <v>0</v>
      </c>
      <c r="N838" s="3">
        <v>6</v>
      </c>
      <c r="O838" s="3">
        <v>89</v>
      </c>
      <c r="P838" s="51">
        <v>95</v>
      </c>
    </row>
    <row r="839" spans="1:16" x14ac:dyDescent="0.35">
      <c r="A839" s="49">
        <v>838</v>
      </c>
      <c r="B839" s="50">
        <v>40581</v>
      </c>
      <c r="C839" s="3">
        <v>1</v>
      </c>
      <c r="D839" s="3">
        <v>0</v>
      </c>
      <c r="E839" s="3" t="s">
        <v>105</v>
      </c>
      <c r="F839" s="3">
        <v>8</v>
      </c>
      <c r="G839" s="3" t="b">
        <v>0</v>
      </c>
      <c r="H839" s="3" t="s">
        <v>108</v>
      </c>
      <c r="I839" s="3" t="s">
        <v>114</v>
      </c>
      <c r="J839" s="3">
        <v>0.16</v>
      </c>
      <c r="K839" s="3">
        <v>0.2273</v>
      </c>
      <c r="L839" s="3">
        <v>1</v>
      </c>
      <c r="M839" s="3">
        <v>0</v>
      </c>
      <c r="N839" s="3">
        <v>7</v>
      </c>
      <c r="O839" s="3">
        <v>223</v>
      </c>
      <c r="P839" s="51">
        <v>230</v>
      </c>
    </row>
    <row r="840" spans="1:16" x14ac:dyDescent="0.35">
      <c r="A840" s="49">
        <v>839</v>
      </c>
      <c r="B840" s="50">
        <v>40581</v>
      </c>
      <c r="C840" s="3">
        <v>1</v>
      </c>
      <c r="D840" s="3">
        <v>0</v>
      </c>
      <c r="E840" s="3" t="s">
        <v>105</v>
      </c>
      <c r="F840" s="3">
        <v>9</v>
      </c>
      <c r="G840" s="3" t="b">
        <v>0</v>
      </c>
      <c r="H840" s="3" t="s">
        <v>108</v>
      </c>
      <c r="I840" s="3" t="s">
        <v>113</v>
      </c>
      <c r="J840" s="3">
        <v>0.22</v>
      </c>
      <c r="K840" s="3">
        <v>0.2727</v>
      </c>
      <c r="L840" s="3">
        <v>0.8</v>
      </c>
      <c r="M840" s="3">
        <v>0</v>
      </c>
      <c r="N840" s="3">
        <v>3</v>
      </c>
      <c r="O840" s="3">
        <v>115</v>
      </c>
      <c r="P840" s="51">
        <v>118</v>
      </c>
    </row>
    <row r="841" spans="1:16" x14ac:dyDescent="0.35">
      <c r="A841" s="49">
        <v>840</v>
      </c>
      <c r="B841" s="50">
        <v>40581</v>
      </c>
      <c r="C841" s="3">
        <v>1</v>
      </c>
      <c r="D841" s="3">
        <v>0</v>
      </c>
      <c r="E841" s="3" t="s">
        <v>105</v>
      </c>
      <c r="F841" s="3">
        <v>10</v>
      </c>
      <c r="G841" s="3" t="b">
        <v>0</v>
      </c>
      <c r="H841" s="3" t="s">
        <v>108</v>
      </c>
      <c r="I841" s="3" t="s">
        <v>113</v>
      </c>
      <c r="J841" s="3">
        <v>0.24</v>
      </c>
      <c r="K841" s="3">
        <v>0.2576</v>
      </c>
      <c r="L841" s="3">
        <v>0.75</v>
      </c>
      <c r="M841" s="3">
        <v>0.1045</v>
      </c>
      <c r="N841" s="3">
        <v>6</v>
      </c>
      <c r="O841" s="3">
        <v>49</v>
      </c>
      <c r="P841" s="51">
        <v>55</v>
      </c>
    </row>
    <row r="842" spans="1:16" x14ac:dyDescent="0.35">
      <c r="A842" s="49">
        <v>841</v>
      </c>
      <c r="B842" s="50">
        <v>40581</v>
      </c>
      <c r="C842" s="3">
        <v>1</v>
      </c>
      <c r="D842" s="3">
        <v>0</v>
      </c>
      <c r="E842" s="3" t="s">
        <v>105</v>
      </c>
      <c r="F842" s="3">
        <v>11</v>
      </c>
      <c r="G842" s="3" t="b">
        <v>0</v>
      </c>
      <c r="H842" s="3" t="s">
        <v>108</v>
      </c>
      <c r="I842" s="3" t="s">
        <v>113</v>
      </c>
      <c r="J842" s="3">
        <v>0.3</v>
      </c>
      <c r="K842" s="3">
        <v>0.31819999999999998</v>
      </c>
      <c r="L842" s="3">
        <v>0.65</v>
      </c>
      <c r="M842" s="3">
        <v>8.9599999999999999E-2</v>
      </c>
      <c r="N842" s="3">
        <v>11</v>
      </c>
      <c r="O842" s="3">
        <v>36</v>
      </c>
      <c r="P842" s="51">
        <v>47</v>
      </c>
    </row>
    <row r="843" spans="1:16" x14ac:dyDescent="0.35">
      <c r="A843" s="49">
        <v>842</v>
      </c>
      <c r="B843" s="50">
        <v>40581</v>
      </c>
      <c r="C843" s="3">
        <v>1</v>
      </c>
      <c r="D843" s="3">
        <v>0</v>
      </c>
      <c r="E843" s="3" t="s">
        <v>105</v>
      </c>
      <c r="F843" s="3">
        <v>12</v>
      </c>
      <c r="G843" s="3" t="b">
        <v>0</v>
      </c>
      <c r="H843" s="3" t="s">
        <v>108</v>
      </c>
      <c r="I843" s="3" t="s">
        <v>114</v>
      </c>
      <c r="J843" s="3">
        <v>0.32</v>
      </c>
      <c r="K843" s="3">
        <v>0.34849999999999998</v>
      </c>
      <c r="L843" s="3">
        <v>0.62</v>
      </c>
      <c r="M843" s="3">
        <v>0</v>
      </c>
      <c r="N843" s="3">
        <v>7</v>
      </c>
      <c r="O843" s="3">
        <v>59</v>
      </c>
      <c r="P843" s="51">
        <v>66</v>
      </c>
    </row>
    <row r="844" spans="1:16" x14ac:dyDescent="0.35">
      <c r="A844" s="49">
        <v>843</v>
      </c>
      <c r="B844" s="50">
        <v>40581</v>
      </c>
      <c r="C844" s="3">
        <v>1</v>
      </c>
      <c r="D844" s="3">
        <v>0</v>
      </c>
      <c r="E844" s="3" t="s">
        <v>105</v>
      </c>
      <c r="F844" s="3">
        <v>13</v>
      </c>
      <c r="G844" s="3" t="b">
        <v>0</v>
      </c>
      <c r="H844" s="3" t="s">
        <v>108</v>
      </c>
      <c r="I844" s="3" t="s">
        <v>114</v>
      </c>
      <c r="J844" s="3">
        <v>0.36</v>
      </c>
      <c r="K844" s="3">
        <v>0.36359999999999998</v>
      </c>
      <c r="L844" s="3">
        <v>0.56999999999999995</v>
      </c>
      <c r="M844" s="3">
        <v>8.9599999999999999E-2</v>
      </c>
      <c r="N844" s="3">
        <v>10</v>
      </c>
      <c r="O844" s="3">
        <v>54</v>
      </c>
      <c r="P844" s="51">
        <v>64</v>
      </c>
    </row>
    <row r="845" spans="1:16" x14ac:dyDescent="0.35">
      <c r="A845" s="49">
        <v>844</v>
      </c>
      <c r="B845" s="50">
        <v>40581</v>
      </c>
      <c r="C845" s="3">
        <v>1</v>
      </c>
      <c r="D845" s="3">
        <v>0</v>
      </c>
      <c r="E845" s="3" t="s">
        <v>105</v>
      </c>
      <c r="F845" s="3">
        <v>14</v>
      </c>
      <c r="G845" s="3" t="b">
        <v>0</v>
      </c>
      <c r="H845" s="3" t="s">
        <v>108</v>
      </c>
      <c r="I845" s="3" t="s">
        <v>114</v>
      </c>
      <c r="J845" s="3">
        <v>0.36</v>
      </c>
      <c r="K845" s="3">
        <v>0.36359999999999998</v>
      </c>
      <c r="L845" s="3">
        <v>0.56999999999999995</v>
      </c>
      <c r="M845" s="3">
        <v>8.9599999999999999E-2</v>
      </c>
      <c r="N845" s="3">
        <v>8</v>
      </c>
      <c r="O845" s="3">
        <v>52</v>
      </c>
      <c r="P845" s="51">
        <v>60</v>
      </c>
    </row>
    <row r="846" spans="1:16" x14ac:dyDescent="0.35">
      <c r="A846" s="49">
        <v>845</v>
      </c>
      <c r="B846" s="50">
        <v>40581</v>
      </c>
      <c r="C846" s="3">
        <v>1</v>
      </c>
      <c r="D846" s="3">
        <v>0</v>
      </c>
      <c r="E846" s="3" t="s">
        <v>105</v>
      </c>
      <c r="F846" s="3">
        <v>15</v>
      </c>
      <c r="G846" s="3" t="b">
        <v>0</v>
      </c>
      <c r="H846" s="3" t="s">
        <v>108</v>
      </c>
      <c r="I846" s="3" t="s">
        <v>114</v>
      </c>
      <c r="J846" s="3">
        <v>0.38</v>
      </c>
      <c r="K846" s="3">
        <v>0.39389999999999997</v>
      </c>
      <c r="L846" s="3">
        <v>0.54</v>
      </c>
      <c r="M846" s="3">
        <v>8.9599999999999999E-2</v>
      </c>
      <c r="N846" s="3">
        <v>4</v>
      </c>
      <c r="O846" s="3">
        <v>46</v>
      </c>
      <c r="P846" s="51">
        <v>50</v>
      </c>
    </row>
    <row r="847" spans="1:16" x14ac:dyDescent="0.35">
      <c r="A847" s="49">
        <v>846</v>
      </c>
      <c r="B847" s="50">
        <v>40581</v>
      </c>
      <c r="C847" s="3">
        <v>1</v>
      </c>
      <c r="D847" s="3">
        <v>0</v>
      </c>
      <c r="E847" s="3" t="s">
        <v>105</v>
      </c>
      <c r="F847" s="3">
        <v>16</v>
      </c>
      <c r="G847" s="3" t="b">
        <v>0</v>
      </c>
      <c r="H847" s="3" t="s">
        <v>108</v>
      </c>
      <c r="I847" s="3" t="s">
        <v>114</v>
      </c>
      <c r="J847" s="3">
        <v>0.36</v>
      </c>
      <c r="K847" s="3">
        <v>0.34849999999999998</v>
      </c>
      <c r="L847" s="3">
        <v>0.56999999999999995</v>
      </c>
      <c r="M847" s="3">
        <v>0.1343</v>
      </c>
      <c r="N847" s="3">
        <v>16</v>
      </c>
      <c r="O847" s="3">
        <v>98</v>
      </c>
      <c r="P847" s="51">
        <v>114</v>
      </c>
    </row>
    <row r="848" spans="1:16" x14ac:dyDescent="0.35">
      <c r="A848" s="49">
        <v>847</v>
      </c>
      <c r="B848" s="50">
        <v>40581</v>
      </c>
      <c r="C848" s="3">
        <v>1</v>
      </c>
      <c r="D848" s="3">
        <v>0</v>
      </c>
      <c r="E848" s="3" t="s">
        <v>105</v>
      </c>
      <c r="F848" s="3">
        <v>17</v>
      </c>
      <c r="G848" s="3" t="b">
        <v>0</v>
      </c>
      <c r="H848" s="3" t="s">
        <v>108</v>
      </c>
      <c r="I848" s="3" t="s">
        <v>114</v>
      </c>
      <c r="J848" s="3">
        <v>0.32</v>
      </c>
      <c r="K848" s="3">
        <v>0.31819999999999998</v>
      </c>
      <c r="L848" s="3">
        <v>0.7</v>
      </c>
      <c r="M848" s="3">
        <v>0.16420000000000001</v>
      </c>
      <c r="N848" s="3">
        <v>9</v>
      </c>
      <c r="O848" s="3">
        <v>207</v>
      </c>
      <c r="P848" s="51">
        <v>216</v>
      </c>
    </row>
    <row r="849" spans="1:16" x14ac:dyDescent="0.35">
      <c r="A849" s="49">
        <v>848</v>
      </c>
      <c r="B849" s="50">
        <v>40581</v>
      </c>
      <c r="C849" s="3">
        <v>1</v>
      </c>
      <c r="D849" s="3">
        <v>0</v>
      </c>
      <c r="E849" s="3" t="s">
        <v>105</v>
      </c>
      <c r="F849" s="3">
        <v>18</v>
      </c>
      <c r="G849" s="3" t="b">
        <v>0</v>
      </c>
      <c r="H849" s="3" t="s">
        <v>108</v>
      </c>
      <c r="I849" s="3" t="s">
        <v>114</v>
      </c>
      <c r="J849" s="3">
        <v>0.34</v>
      </c>
      <c r="K849" s="3">
        <v>0.33329999999999999</v>
      </c>
      <c r="L849" s="3">
        <v>0.66</v>
      </c>
      <c r="M849" s="3">
        <v>0.1343</v>
      </c>
      <c r="N849" s="3">
        <v>5</v>
      </c>
      <c r="O849" s="3">
        <v>170</v>
      </c>
      <c r="P849" s="51">
        <v>175</v>
      </c>
    </row>
    <row r="850" spans="1:16" x14ac:dyDescent="0.35">
      <c r="A850" s="49">
        <v>849</v>
      </c>
      <c r="B850" s="50">
        <v>40581</v>
      </c>
      <c r="C850" s="3">
        <v>1</v>
      </c>
      <c r="D850" s="3">
        <v>0</v>
      </c>
      <c r="E850" s="3" t="s">
        <v>105</v>
      </c>
      <c r="F850" s="3">
        <v>19</v>
      </c>
      <c r="G850" s="3" t="b">
        <v>0</v>
      </c>
      <c r="H850" s="3" t="s">
        <v>108</v>
      </c>
      <c r="I850" s="3" t="s">
        <v>114</v>
      </c>
      <c r="J850" s="3">
        <v>0.32</v>
      </c>
      <c r="K850" s="3">
        <v>0.34849999999999998</v>
      </c>
      <c r="L850" s="3">
        <v>0.7</v>
      </c>
      <c r="M850" s="3">
        <v>0</v>
      </c>
      <c r="N850" s="3">
        <v>5</v>
      </c>
      <c r="O850" s="3">
        <v>123</v>
      </c>
      <c r="P850" s="51">
        <v>128</v>
      </c>
    </row>
    <row r="851" spans="1:16" x14ac:dyDescent="0.35">
      <c r="A851" s="49">
        <v>850</v>
      </c>
      <c r="B851" s="50">
        <v>40581</v>
      </c>
      <c r="C851" s="3">
        <v>1</v>
      </c>
      <c r="D851" s="3">
        <v>0</v>
      </c>
      <c r="E851" s="3" t="s">
        <v>105</v>
      </c>
      <c r="F851" s="3">
        <v>20</v>
      </c>
      <c r="G851" s="3" t="b">
        <v>0</v>
      </c>
      <c r="H851" s="3" t="s">
        <v>108</v>
      </c>
      <c r="I851" s="3" t="s">
        <v>114</v>
      </c>
      <c r="J851" s="3">
        <v>0.32</v>
      </c>
      <c r="K851" s="3">
        <v>0.33329999999999999</v>
      </c>
      <c r="L851" s="3">
        <v>0.7</v>
      </c>
      <c r="M851" s="3">
        <v>0.1045</v>
      </c>
      <c r="N851" s="3">
        <v>6</v>
      </c>
      <c r="O851" s="3">
        <v>82</v>
      </c>
      <c r="P851" s="51">
        <v>88</v>
      </c>
    </row>
    <row r="852" spans="1:16" x14ac:dyDescent="0.35">
      <c r="A852" s="49">
        <v>851</v>
      </c>
      <c r="B852" s="50">
        <v>40581</v>
      </c>
      <c r="C852" s="3">
        <v>1</v>
      </c>
      <c r="D852" s="3">
        <v>0</v>
      </c>
      <c r="E852" s="3" t="s">
        <v>105</v>
      </c>
      <c r="F852" s="3">
        <v>21</v>
      </c>
      <c r="G852" s="3" t="b">
        <v>0</v>
      </c>
      <c r="H852" s="3" t="s">
        <v>108</v>
      </c>
      <c r="I852" s="3" t="s">
        <v>113</v>
      </c>
      <c r="J852" s="3">
        <v>0.32</v>
      </c>
      <c r="K852" s="3">
        <v>0.34849999999999998</v>
      </c>
      <c r="L852" s="3">
        <v>0.7</v>
      </c>
      <c r="M852" s="3">
        <v>0</v>
      </c>
      <c r="N852" s="3">
        <v>3</v>
      </c>
      <c r="O852" s="3">
        <v>75</v>
      </c>
      <c r="P852" s="51">
        <v>78</v>
      </c>
    </row>
    <row r="853" spans="1:16" x14ac:dyDescent="0.35">
      <c r="A853" s="49">
        <v>852</v>
      </c>
      <c r="B853" s="50">
        <v>40581</v>
      </c>
      <c r="C853" s="3">
        <v>1</v>
      </c>
      <c r="D853" s="3">
        <v>0</v>
      </c>
      <c r="E853" s="3" t="s">
        <v>105</v>
      </c>
      <c r="F853" s="3">
        <v>22</v>
      </c>
      <c r="G853" s="3" t="b">
        <v>0</v>
      </c>
      <c r="H853" s="3" t="s">
        <v>108</v>
      </c>
      <c r="I853" s="3" t="s">
        <v>113</v>
      </c>
      <c r="J853" s="3">
        <v>0.28000000000000003</v>
      </c>
      <c r="K853" s="3">
        <v>0.30299999999999999</v>
      </c>
      <c r="L853" s="3">
        <v>0.81</v>
      </c>
      <c r="M853" s="3">
        <v>8.9599999999999999E-2</v>
      </c>
      <c r="N853" s="3">
        <v>3</v>
      </c>
      <c r="O853" s="3">
        <v>34</v>
      </c>
      <c r="P853" s="51">
        <v>37</v>
      </c>
    </row>
    <row r="854" spans="1:16" x14ac:dyDescent="0.35">
      <c r="A854" s="49">
        <v>853</v>
      </c>
      <c r="B854" s="50">
        <v>40581</v>
      </c>
      <c r="C854" s="3">
        <v>1</v>
      </c>
      <c r="D854" s="3">
        <v>0</v>
      </c>
      <c r="E854" s="3" t="s">
        <v>105</v>
      </c>
      <c r="F854" s="3">
        <v>23</v>
      </c>
      <c r="G854" s="3" t="b">
        <v>0</v>
      </c>
      <c r="H854" s="3" t="s">
        <v>108</v>
      </c>
      <c r="I854" s="3" t="s">
        <v>114</v>
      </c>
      <c r="J854" s="3">
        <v>0.3</v>
      </c>
      <c r="K854" s="3">
        <v>0.33329999999999999</v>
      </c>
      <c r="L854" s="3">
        <v>0.81</v>
      </c>
      <c r="M854" s="3">
        <v>0</v>
      </c>
      <c r="N854" s="3">
        <v>6</v>
      </c>
      <c r="O854" s="3">
        <v>19</v>
      </c>
      <c r="P854" s="51">
        <v>25</v>
      </c>
    </row>
    <row r="855" spans="1:16" x14ac:dyDescent="0.35">
      <c r="A855" s="49">
        <v>854</v>
      </c>
      <c r="B855" s="50">
        <v>40582</v>
      </c>
      <c r="C855" s="3">
        <v>1</v>
      </c>
      <c r="D855" s="3">
        <v>0</v>
      </c>
      <c r="E855" s="3" t="s">
        <v>105</v>
      </c>
      <c r="F855" s="3">
        <v>0</v>
      </c>
      <c r="G855" s="3" t="b">
        <v>0</v>
      </c>
      <c r="H855" s="3" t="s">
        <v>109</v>
      </c>
      <c r="I855" s="3" t="s">
        <v>114</v>
      </c>
      <c r="J855" s="3">
        <v>0.28000000000000003</v>
      </c>
      <c r="K855" s="3">
        <v>0.31819999999999998</v>
      </c>
      <c r="L855" s="3">
        <v>0.87</v>
      </c>
      <c r="M855" s="3">
        <v>0</v>
      </c>
      <c r="N855" s="3">
        <v>4</v>
      </c>
      <c r="O855" s="3">
        <v>6</v>
      </c>
      <c r="P855" s="51">
        <v>10</v>
      </c>
    </row>
    <row r="856" spans="1:16" x14ac:dyDescent="0.35">
      <c r="A856" s="49">
        <v>855</v>
      </c>
      <c r="B856" s="50">
        <v>40582</v>
      </c>
      <c r="C856" s="3">
        <v>1</v>
      </c>
      <c r="D856" s="3">
        <v>0</v>
      </c>
      <c r="E856" s="3" t="s">
        <v>105</v>
      </c>
      <c r="F856" s="3">
        <v>1</v>
      </c>
      <c r="G856" s="3" t="b">
        <v>0</v>
      </c>
      <c r="H856" s="3" t="s">
        <v>109</v>
      </c>
      <c r="I856" s="3" t="s">
        <v>114</v>
      </c>
      <c r="J856" s="3">
        <v>0.28000000000000003</v>
      </c>
      <c r="K856" s="3">
        <v>0.31819999999999998</v>
      </c>
      <c r="L856" s="3">
        <v>0.87</v>
      </c>
      <c r="M856" s="3">
        <v>0</v>
      </c>
      <c r="N856" s="3">
        <v>0</v>
      </c>
      <c r="O856" s="3">
        <v>4</v>
      </c>
      <c r="P856" s="51">
        <v>4</v>
      </c>
    </row>
    <row r="857" spans="1:16" x14ac:dyDescent="0.35">
      <c r="A857" s="49">
        <v>856</v>
      </c>
      <c r="B857" s="50">
        <v>40582</v>
      </c>
      <c r="C857" s="3">
        <v>1</v>
      </c>
      <c r="D857" s="3">
        <v>0</v>
      </c>
      <c r="E857" s="3" t="s">
        <v>105</v>
      </c>
      <c r="F857" s="3">
        <v>2</v>
      </c>
      <c r="G857" s="3" t="b">
        <v>0</v>
      </c>
      <c r="H857" s="3" t="s">
        <v>109</v>
      </c>
      <c r="I857" s="3" t="s">
        <v>114</v>
      </c>
      <c r="J857" s="3">
        <v>0.26</v>
      </c>
      <c r="K857" s="3">
        <v>0.2727</v>
      </c>
      <c r="L857" s="3">
        <v>0.93</v>
      </c>
      <c r="M857" s="3">
        <v>0.1045</v>
      </c>
      <c r="N857" s="3">
        <v>1</v>
      </c>
      <c r="O857" s="3">
        <v>1</v>
      </c>
      <c r="P857" s="51">
        <v>2</v>
      </c>
    </row>
    <row r="858" spans="1:16" x14ac:dyDescent="0.35">
      <c r="A858" s="49">
        <v>857</v>
      </c>
      <c r="B858" s="50">
        <v>40582</v>
      </c>
      <c r="C858" s="3">
        <v>1</v>
      </c>
      <c r="D858" s="3">
        <v>0</v>
      </c>
      <c r="E858" s="3" t="s">
        <v>105</v>
      </c>
      <c r="F858" s="3">
        <v>3</v>
      </c>
      <c r="G858" s="3" t="b">
        <v>0</v>
      </c>
      <c r="H858" s="3" t="s">
        <v>109</v>
      </c>
      <c r="I858" s="3" t="s">
        <v>115</v>
      </c>
      <c r="J858" s="3">
        <v>0.28000000000000003</v>
      </c>
      <c r="K858" s="3">
        <v>0.2727</v>
      </c>
      <c r="L858" s="3">
        <v>0.93</v>
      </c>
      <c r="M858" s="3">
        <v>0.16420000000000001</v>
      </c>
      <c r="N858" s="3">
        <v>0</v>
      </c>
      <c r="O858" s="3">
        <v>1</v>
      </c>
      <c r="P858" s="51">
        <v>1</v>
      </c>
    </row>
    <row r="859" spans="1:16" x14ac:dyDescent="0.35">
      <c r="A859" s="49">
        <v>858</v>
      </c>
      <c r="B859" s="50">
        <v>40582</v>
      </c>
      <c r="C859" s="3">
        <v>1</v>
      </c>
      <c r="D859" s="3">
        <v>0</v>
      </c>
      <c r="E859" s="3" t="s">
        <v>105</v>
      </c>
      <c r="F859" s="3">
        <v>4</v>
      </c>
      <c r="G859" s="3" t="b">
        <v>0</v>
      </c>
      <c r="H859" s="3" t="s">
        <v>109</v>
      </c>
      <c r="I859" s="3" t="s">
        <v>113</v>
      </c>
      <c r="J859" s="3">
        <v>0.26</v>
      </c>
      <c r="K859" s="3">
        <v>0.2576</v>
      </c>
      <c r="L859" s="3">
        <v>0.93</v>
      </c>
      <c r="M859" s="3">
        <v>0.16420000000000001</v>
      </c>
      <c r="N859" s="3">
        <v>0</v>
      </c>
      <c r="O859" s="3">
        <v>3</v>
      </c>
      <c r="P859" s="51">
        <v>3</v>
      </c>
    </row>
    <row r="860" spans="1:16" x14ac:dyDescent="0.35">
      <c r="A860" s="49">
        <v>859</v>
      </c>
      <c r="B860" s="50">
        <v>40582</v>
      </c>
      <c r="C860" s="3">
        <v>1</v>
      </c>
      <c r="D860" s="3">
        <v>0</v>
      </c>
      <c r="E860" s="3" t="s">
        <v>105</v>
      </c>
      <c r="F860" s="3">
        <v>5</v>
      </c>
      <c r="G860" s="3" t="b">
        <v>0</v>
      </c>
      <c r="H860" s="3" t="s">
        <v>109</v>
      </c>
      <c r="I860" s="3" t="s">
        <v>113</v>
      </c>
      <c r="J860" s="3">
        <v>0.26</v>
      </c>
      <c r="K860" s="3">
        <v>0.2273</v>
      </c>
      <c r="L860" s="3">
        <v>0.81</v>
      </c>
      <c r="M860" s="3">
        <v>0.32840000000000003</v>
      </c>
      <c r="N860" s="3">
        <v>0</v>
      </c>
      <c r="O860" s="3">
        <v>2</v>
      </c>
      <c r="P860" s="51">
        <v>2</v>
      </c>
    </row>
    <row r="861" spans="1:16" x14ac:dyDescent="0.35">
      <c r="A861" s="49">
        <v>860</v>
      </c>
      <c r="B861" s="50">
        <v>40582</v>
      </c>
      <c r="C861" s="3">
        <v>1</v>
      </c>
      <c r="D861" s="3">
        <v>0</v>
      </c>
      <c r="E861" s="3" t="s">
        <v>105</v>
      </c>
      <c r="F861" s="3">
        <v>6</v>
      </c>
      <c r="G861" s="3" t="b">
        <v>0</v>
      </c>
      <c r="H861" s="3" t="s">
        <v>109</v>
      </c>
      <c r="I861" s="3" t="s">
        <v>113</v>
      </c>
      <c r="J861" s="3">
        <v>0.26</v>
      </c>
      <c r="K861" s="3">
        <v>0.2273</v>
      </c>
      <c r="L861" s="3">
        <v>0.7</v>
      </c>
      <c r="M861" s="3">
        <v>0.32840000000000003</v>
      </c>
      <c r="N861" s="3">
        <v>0</v>
      </c>
      <c r="O861" s="3">
        <v>39</v>
      </c>
      <c r="P861" s="51">
        <v>39</v>
      </c>
    </row>
    <row r="862" spans="1:16" x14ac:dyDescent="0.35">
      <c r="A862" s="49">
        <v>861</v>
      </c>
      <c r="B862" s="50">
        <v>40582</v>
      </c>
      <c r="C862" s="3">
        <v>1</v>
      </c>
      <c r="D862" s="3">
        <v>0</v>
      </c>
      <c r="E862" s="3" t="s">
        <v>105</v>
      </c>
      <c r="F862" s="3">
        <v>7</v>
      </c>
      <c r="G862" s="3" t="b">
        <v>0</v>
      </c>
      <c r="H862" s="3" t="s">
        <v>109</v>
      </c>
      <c r="I862" s="3" t="s">
        <v>113</v>
      </c>
      <c r="J862" s="3">
        <v>0.24</v>
      </c>
      <c r="K862" s="3">
        <v>0.19700000000000001</v>
      </c>
      <c r="L862" s="3">
        <v>0.65</v>
      </c>
      <c r="M862" s="3">
        <v>0.41789999999999999</v>
      </c>
      <c r="N862" s="3">
        <v>3</v>
      </c>
      <c r="O862" s="3">
        <v>97</v>
      </c>
      <c r="P862" s="51">
        <v>100</v>
      </c>
    </row>
    <row r="863" spans="1:16" x14ac:dyDescent="0.35">
      <c r="A863" s="49">
        <v>862</v>
      </c>
      <c r="B863" s="50">
        <v>40582</v>
      </c>
      <c r="C863" s="3">
        <v>1</v>
      </c>
      <c r="D863" s="3">
        <v>0</v>
      </c>
      <c r="E863" s="3" t="s">
        <v>105</v>
      </c>
      <c r="F863" s="3">
        <v>8</v>
      </c>
      <c r="G863" s="3" t="b">
        <v>0</v>
      </c>
      <c r="H863" s="3" t="s">
        <v>109</v>
      </c>
      <c r="I863" s="3" t="s">
        <v>113</v>
      </c>
      <c r="J863" s="3">
        <v>0.24</v>
      </c>
      <c r="K863" s="3">
        <v>0.19700000000000001</v>
      </c>
      <c r="L863" s="3">
        <v>0.56000000000000005</v>
      </c>
      <c r="M863" s="3">
        <v>0.49249999999999999</v>
      </c>
      <c r="N863" s="3">
        <v>7</v>
      </c>
      <c r="O863" s="3">
        <v>236</v>
      </c>
      <c r="P863" s="51">
        <v>243</v>
      </c>
    </row>
    <row r="864" spans="1:16" x14ac:dyDescent="0.35">
      <c r="A864" s="49">
        <v>863</v>
      </c>
      <c r="B864" s="50">
        <v>40582</v>
      </c>
      <c r="C864" s="3">
        <v>1</v>
      </c>
      <c r="D864" s="3">
        <v>0</v>
      </c>
      <c r="E864" s="3" t="s">
        <v>105</v>
      </c>
      <c r="F864" s="3">
        <v>9</v>
      </c>
      <c r="G864" s="3" t="b">
        <v>0</v>
      </c>
      <c r="H864" s="3" t="s">
        <v>109</v>
      </c>
      <c r="I864" s="3" t="s">
        <v>113</v>
      </c>
      <c r="J864" s="3">
        <v>0.24</v>
      </c>
      <c r="K864" s="3">
        <v>0.19700000000000001</v>
      </c>
      <c r="L864" s="3">
        <v>0.52</v>
      </c>
      <c r="M864" s="3">
        <v>0.49249999999999999</v>
      </c>
      <c r="N864" s="3">
        <v>7</v>
      </c>
      <c r="O864" s="3">
        <v>128</v>
      </c>
      <c r="P864" s="51">
        <v>135</v>
      </c>
    </row>
    <row r="865" spans="1:16" x14ac:dyDescent="0.35">
      <c r="A865" s="49">
        <v>864</v>
      </c>
      <c r="B865" s="50">
        <v>40582</v>
      </c>
      <c r="C865" s="3">
        <v>1</v>
      </c>
      <c r="D865" s="3">
        <v>0</v>
      </c>
      <c r="E865" s="3" t="s">
        <v>105</v>
      </c>
      <c r="F865" s="3">
        <v>10</v>
      </c>
      <c r="G865" s="3" t="b">
        <v>0</v>
      </c>
      <c r="H865" s="3" t="s">
        <v>109</v>
      </c>
      <c r="I865" s="3" t="s">
        <v>113</v>
      </c>
      <c r="J865" s="3">
        <v>0.22</v>
      </c>
      <c r="K865" s="3">
        <v>0.18179999999999999</v>
      </c>
      <c r="L865" s="3">
        <v>0.47</v>
      </c>
      <c r="M865" s="3">
        <v>0.55220000000000002</v>
      </c>
      <c r="N865" s="3">
        <v>4</v>
      </c>
      <c r="O865" s="3">
        <v>44</v>
      </c>
      <c r="P865" s="51">
        <v>48</v>
      </c>
    </row>
    <row r="866" spans="1:16" x14ac:dyDescent="0.35">
      <c r="A866" s="49">
        <v>865</v>
      </c>
      <c r="B866" s="50">
        <v>40582</v>
      </c>
      <c r="C866" s="3">
        <v>1</v>
      </c>
      <c r="D866" s="3">
        <v>0</v>
      </c>
      <c r="E866" s="3" t="s">
        <v>105</v>
      </c>
      <c r="F866" s="3">
        <v>11</v>
      </c>
      <c r="G866" s="3" t="b">
        <v>0</v>
      </c>
      <c r="H866" s="3" t="s">
        <v>109</v>
      </c>
      <c r="I866" s="3" t="s">
        <v>113</v>
      </c>
      <c r="J866" s="3">
        <v>0.22</v>
      </c>
      <c r="K866" s="3">
        <v>0.18179999999999999</v>
      </c>
      <c r="L866" s="3">
        <v>0.47</v>
      </c>
      <c r="M866" s="3">
        <v>0.4627</v>
      </c>
      <c r="N866" s="3">
        <v>1</v>
      </c>
      <c r="O866" s="3">
        <v>49</v>
      </c>
      <c r="P866" s="51">
        <v>50</v>
      </c>
    </row>
    <row r="867" spans="1:16" x14ac:dyDescent="0.35">
      <c r="A867" s="49">
        <v>866</v>
      </c>
      <c r="B867" s="50">
        <v>40582</v>
      </c>
      <c r="C867" s="3">
        <v>1</v>
      </c>
      <c r="D867" s="3">
        <v>0</v>
      </c>
      <c r="E867" s="3" t="s">
        <v>105</v>
      </c>
      <c r="F867" s="3">
        <v>12</v>
      </c>
      <c r="G867" s="3" t="b">
        <v>0</v>
      </c>
      <c r="H867" s="3" t="s">
        <v>109</v>
      </c>
      <c r="I867" s="3" t="s">
        <v>113</v>
      </c>
      <c r="J867" s="3">
        <v>0.24</v>
      </c>
      <c r="K867" s="3">
        <v>0.19700000000000001</v>
      </c>
      <c r="L867" s="3">
        <v>0.38</v>
      </c>
      <c r="M867" s="3">
        <v>0.49249999999999999</v>
      </c>
      <c r="N867" s="3">
        <v>2</v>
      </c>
      <c r="O867" s="3">
        <v>63</v>
      </c>
      <c r="P867" s="51">
        <v>65</v>
      </c>
    </row>
    <row r="868" spans="1:16" x14ac:dyDescent="0.35">
      <c r="A868" s="49">
        <v>867</v>
      </c>
      <c r="B868" s="50">
        <v>40582</v>
      </c>
      <c r="C868" s="3">
        <v>1</v>
      </c>
      <c r="D868" s="3">
        <v>0</v>
      </c>
      <c r="E868" s="3" t="s">
        <v>105</v>
      </c>
      <c r="F868" s="3">
        <v>13</v>
      </c>
      <c r="G868" s="3" t="b">
        <v>0</v>
      </c>
      <c r="H868" s="3" t="s">
        <v>109</v>
      </c>
      <c r="I868" s="3" t="s">
        <v>114</v>
      </c>
      <c r="J868" s="3">
        <v>0.24</v>
      </c>
      <c r="K868" s="3">
        <v>0.19700000000000001</v>
      </c>
      <c r="L868" s="3">
        <v>0.32</v>
      </c>
      <c r="M868" s="3">
        <v>0.44779999999999998</v>
      </c>
      <c r="N868" s="3">
        <v>2</v>
      </c>
      <c r="O868" s="3">
        <v>48</v>
      </c>
      <c r="P868" s="51">
        <v>50</v>
      </c>
    </row>
    <row r="869" spans="1:16" x14ac:dyDescent="0.35">
      <c r="A869" s="49">
        <v>868</v>
      </c>
      <c r="B869" s="50">
        <v>40582</v>
      </c>
      <c r="C869" s="3">
        <v>1</v>
      </c>
      <c r="D869" s="3">
        <v>0</v>
      </c>
      <c r="E869" s="3" t="s">
        <v>105</v>
      </c>
      <c r="F869" s="3">
        <v>14</v>
      </c>
      <c r="G869" s="3" t="b">
        <v>0</v>
      </c>
      <c r="H869" s="3" t="s">
        <v>109</v>
      </c>
      <c r="I869" s="3" t="s">
        <v>113</v>
      </c>
      <c r="J869" s="3">
        <v>0.22</v>
      </c>
      <c r="K869" s="3">
        <v>0.19700000000000001</v>
      </c>
      <c r="L869" s="3">
        <v>0.37</v>
      </c>
      <c r="M869" s="3">
        <v>0.41789999999999999</v>
      </c>
      <c r="N869" s="3">
        <v>3</v>
      </c>
      <c r="O869" s="3">
        <v>61</v>
      </c>
      <c r="P869" s="51">
        <v>64</v>
      </c>
    </row>
    <row r="870" spans="1:16" x14ac:dyDescent="0.35">
      <c r="A870" s="49">
        <v>869</v>
      </c>
      <c r="B870" s="50">
        <v>40582</v>
      </c>
      <c r="C870" s="3">
        <v>1</v>
      </c>
      <c r="D870" s="3">
        <v>0</v>
      </c>
      <c r="E870" s="3" t="s">
        <v>105</v>
      </c>
      <c r="F870" s="3">
        <v>15</v>
      </c>
      <c r="G870" s="3" t="b">
        <v>0</v>
      </c>
      <c r="H870" s="3" t="s">
        <v>109</v>
      </c>
      <c r="I870" s="3" t="s">
        <v>113</v>
      </c>
      <c r="J870" s="3">
        <v>0.22</v>
      </c>
      <c r="K870" s="3">
        <v>0.19700000000000001</v>
      </c>
      <c r="L870" s="3">
        <v>0.35</v>
      </c>
      <c r="M870" s="3">
        <v>0.3881</v>
      </c>
      <c r="N870" s="3">
        <v>6</v>
      </c>
      <c r="O870" s="3">
        <v>45</v>
      </c>
      <c r="P870" s="51">
        <v>51</v>
      </c>
    </row>
    <row r="871" spans="1:16" x14ac:dyDescent="0.35">
      <c r="A871" s="49">
        <v>870</v>
      </c>
      <c r="B871" s="50">
        <v>40582</v>
      </c>
      <c r="C871" s="3">
        <v>1</v>
      </c>
      <c r="D871" s="3">
        <v>0</v>
      </c>
      <c r="E871" s="3" t="s">
        <v>105</v>
      </c>
      <c r="F871" s="3">
        <v>16</v>
      </c>
      <c r="G871" s="3" t="b">
        <v>0</v>
      </c>
      <c r="H871" s="3" t="s">
        <v>109</v>
      </c>
      <c r="I871" s="3" t="s">
        <v>113</v>
      </c>
      <c r="J871" s="3">
        <v>0.22</v>
      </c>
      <c r="K871" s="3">
        <v>0.18179999999999999</v>
      </c>
      <c r="L871" s="3">
        <v>0.35</v>
      </c>
      <c r="M871" s="3">
        <v>0.52239999999999998</v>
      </c>
      <c r="N871" s="3">
        <v>4</v>
      </c>
      <c r="O871" s="3">
        <v>79</v>
      </c>
      <c r="P871" s="51">
        <v>83</v>
      </c>
    </row>
    <row r="872" spans="1:16" x14ac:dyDescent="0.35">
      <c r="A872" s="49">
        <v>871</v>
      </c>
      <c r="B872" s="50">
        <v>40582</v>
      </c>
      <c r="C872" s="3">
        <v>1</v>
      </c>
      <c r="D872" s="3">
        <v>0</v>
      </c>
      <c r="E872" s="3" t="s">
        <v>105</v>
      </c>
      <c r="F872" s="3">
        <v>17</v>
      </c>
      <c r="G872" s="3" t="b">
        <v>0</v>
      </c>
      <c r="H872" s="3" t="s">
        <v>109</v>
      </c>
      <c r="I872" s="3" t="s">
        <v>113</v>
      </c>
      <c r="J872" s="3">
        <v>0.22</v>
      </c>
      <c r="K872" s="3">
        <v>0.18179999999999999</v>
      </c>
      <c r="L872" s="3">
        <v>0.32</v>
      </c>
      <c r="M872" s="3">
        <v>0.58209999999999995</v>
      </c>
      <c r="N872" s="3">
        <v>4</v>
      </c>
      <c r="O872" s="3">
        <v>172</v>
      </c>
      <c r="P872" s="51">
        <v>176</v>
      </c>
    </row>
    <row r="873" spans="1:16" x14ac:dyDescent="0.35">
      <c r="A873" s="49">
        <v>872</v>
      </c>
      <c r="B873" s="50">
        <v>40582</v>
      </c>
      <c r="C873" s="3">
        <v>1</v>
      </c>
      <c r="D873" s="3">
        <v>0</v>
      </c>
      <c r="E873" s="3" t="s">
        <v>105</v>
      </c>
      <c r="F873" s="3">
        <v>18</v>
      </c>
      <c r="G873" s="3" t="b">
        <v>0</v>
      </c>
      <c r="H873" s="3" t="s">
        <v>109</v>
      </c>
      <c r="I873" s="3" t="s">
        <v>113</v>
      </c>
      <c r="J873" s="3">
        <v>0.2</v>
      </c>
      <c r="K873" s="3">
        <v>0.18179999999999999</v>
      </c>
      <c r="L873" s="3">
        <v>0.32</v>
      </c>
      <c r="M873" s="3">
        <v>0.3881</v>
      </c>
      <c r="N873" s="3">
        <v>1</v>
      </c>
      <c r="O873" s="3">
        <v>151</v>
      </c>
      <c r="P873" s="51">
        <v>152</v>
      </c>
    </row>
    <row r="874" spans="1:16" x14ac:dyDescent="0.35">
      <c r="A874" s="49">
        <v>873</v>
      </c>
      <c r="B874" s="50">
        <v>40582</v>
      </c>
      <c r="C874" s="3">
        <v>1</v>
      </c>
      <c r="D874" s="3">
        <v>0</v>
      </c>
      <c r="E874" s="3" t="s">
        <v>105</v>
      </c>
      <c r="F874" s="3">
        <v>19</v>
      </c>
      <c r="G874" s="3" t="b">
        <v>0</v>
      </c>
      <c r="H874" s="3" t="s">
        <v>109</v>
      </c>
      <c r="I874" s="3" t="s">
        <v>113</v>
      </c>
      <c r="J874" s="3">
        <v>0.16</v>
      </c>
      <c r="K874" s="3">
        <v>0.1212</v>
      </c>
      <c r="L874" s="3">
        <v>0.4</v>
      </c>
      <c r="M874" s="3">
        <v>0.4627</v>
      </c>
      <c r="N874" s="3">
        <v>1</v>
      </c>
      <c r="O874" s="3">
        <v>100</v>
      </c>
      <c r="P874" s="51">
        <v>101</v>
      </c>
    </row>
    <row r="875" spans="1:16" x14ac:dyDescent="0.35">
      <c r="A875" s="49">
        <v>874</v>
      </c>
      <c r="B875" s="50">
        <v>40582</v>
      </c>
      <c r="C875" s="3">
        <v>1</v>
      </c>
      <c r="D875" s="3">
        <v>0</v>
      </c>
      <c r="E875" s="3" t="s">
        <v>105</v>
      </c>
      <c r="F875" s="3">
        <v>20</v>
      </c>
      <c r="G875" s="3" t="b">
        <v>0</v>
      </c>
      <c r="H875" s="3" t="s">
        <v>109</v>
      </c>
      <c r="I875" s="3" t="s">
        <v>113</v>
      </c>
      <c r="J875" s="3">
        <v>0.16</v>
      </c>
      <c r="K875" s="3">
        <v>0.13639999999999999</v>
      </c>
      <c r="L875" s="3">
        <v>0.4</v>
      </c>
      <c r="M875" s="3">
        <v>0.32840000000000003</v>
      </c>
      <c r="N875" s="3">
        <v>3</v>
      </c>
      <c r="O875" s="3">
        <v>53</v>
      </c>
      <c r="P875" s="51">
        <v>56</v>
      </c>
    </row>
    <row r="876" spans="1:16" x14ac:dyDescent="0.35">
      <c r="A876" s="49">
        <v>875</v>
      </c>
      <c r="B876" s="50">
        <v>40582</v>
      </c>
      <c r="C876" s="3">
        <v>1</v>
      </c>
      <c r="D876" s="3">
        <v>0</v>
      </c>
      <c r="E876" s="3" t="s">
        <v>105</v>
      </c>
      <c r="F876" s="3">
        <v>21</v>
      </c>
      <c r="G876" s="3" t="b">
        <v>0</v>
      </c>
      <c r="H876" s="3" t="s">
        <v>109</v>
      </c>
      <c r="I876" s="3" t="s">
        <v>113</v>
      </c>
      <c r="J876" s="3">
        <v>0.14000000000000001</v>
      </c>
      <c r="K876" s="3">
        <v>0.1061</v>
      </c>
      <c r="L876" s="3">
        <v>0.33</v>
      </c>
      <c r="M876" s="3">
        <v>0.4627</v>
      </c>
      <c r="N876" s="3">
        <v>8</v>
      </c>
      <c r="O876" s="3">
        <v>46</v>
      </c>
      <c r="P876" s="51">
        <v>54</v>
      </c>
    </row>
    <row r="877" spans="1:16" x14ac:dyDescent="0.35">
      <c r="A877" s="49">
        <v>876</v>
      </c>
      <c r="B877" s="50">
        <v>40582</v>
      </c>
      <c r="C877" s="3">
        <v>1</v>
      </c>
      <c r="D877" s="3">
        <v>0</v>
      </c>
      <c r="E877" s="3" t="s">
        <v>105</v>
      </c>
      <c r="F877" s="3">
        <v>22</v>
      </c>
      <c r="G877" s="3" t="b">
        <v>0</v>
      </c>
      <c r="H877" s="3" t="s">
        <v>109</v>
      </c>
      <c r="I877" s="3" t="s">
        <v>113</v>
      </c>
      <c r="J877" s="3">
        <v>0.12</v>
      </c>
      <c r="K877" s="3">
        <v>0.1061</v>
      </c>
      <c r="L877" s="3">
        <v>0.33</v>
      </c>
      <c r="M877" s="3">
        <v>0.35820000000000002</v>
      </c>
      <c r="N877" s="3">
        <v>0</v>
      </c>
      <c r="O877" s="3">
        <v>29</v>
      </c>
      <c r="P877" s="51">
        <v>29</v>
      </c>
    </row>
    <row r="878" spans="1:16" x14ac:dyDescent="0.35">
      <c r="A878" s="49">
        <v>877</v>
      </c>
      <c r="B878" s="50">
        <v>40582</v>
      </c>
      <c r="C878" s="3">
        <v>1</v>
      </c>
      <c r="D878" s="3">
        <v>0</v>
      </c>
      <c r="E878" s="3" t="s">
        <v>105</v>
      </c>
      <c r="F878" s="3">
        <v>23</v>
      </c>
      <c r="G878" s="3" t="b">
        <v>0</v>
      </c>
      <c r="H878" s="3" t="s">
        <v>109</v>
      </c>
      <c r="I878" s="3" t="s">
        <v>113</v>
      </c>
      <c r="J878" s="3">
        <v>0.12</v>
      </c>
      <c r="K878" s="3">
        <v>0.1061</v>
      </c>
      <c r="L878" s="3">
        <v>0.33</v>
      </c>
      <c r="M878" s="3">
        <v>0.32840000000000003</v>
      </c>
      <c r="N878" s="3">
        <v>3</v>
      </c>
      <c r="O878" s="3">
        <v>9</v>
      </c>
      <c r="P878" s="51">
        <v>12</v>
      </c>
    </row>
    <row r="879" spans="1:16" x14ac:dyDescent="0.35">
      <c r="A879" s="49">
        <v>878</v>
      </c>
      <c r="B879" s="50">
        <v>40583</v>
      </c>
      <c r="C879" s="3">
        <v>1</v>
      </c>
      <c r="D879" s="3">
        <v>0</v>
      </c>
      <c r="E879" s="3" t="s">
        <v>105</v>
      </c>
      <c r="F879" s="3">
        <v>0</v>
      </c>
      <c r="G879" s="3" t="b">
        <v>0</v>
      </c>
      <c r="H879" s="3" t="s">
        <v>110</v>
      </c>
      <c r="I879" s="3" t="s">
        <v>113</v>
      </c>
      <c r="J879" s="3">
        <v>0.1</v>
      </c>
      <c r="K879" s="3">
        <v>7.5800000000000006E-2</v>
      </c>
      <c r="L879" s="3">
        <v>0.36</v>
      </c>
      <c r="M879" s="3">
        <v>0.35820000000000002</v>
      </c>
      <c r="N879" s="3">
        <v>0</v>
      </c>
      <c r="O879" s="3">
        <v>17</v>
      </c>
      <c r="P879" s="51">
        <v>17</v>
      </c>
    </row>
    <row r="880" spans="1:16" x14ac:dyDescent="0.35">
      <c r="A880" s="49">
        <v>879</v>
      </c>
      <c r="B880" s="50">
        <v>40583</v>
      </c>
      <c r="C880" s="3">
        <v>1</v>
      </c>
      <c r="D880" s="3">
        <v>0</v>
      </c>
      <c r="E880" s="3" t="s">
        <v>105</v>
      </c>
      <c r="F880" s="3">
        <v>1</v>
      </c>
      <c r="G880" s="3" t="b">
        <v>0</v>
      </c>
      <c r="H880" s="3" t="s">
        <v>110</v>
      </c>
      <c r="I880" s="3" t="s">
        <v>113</v>
      </c>
      <c r="J880" s="3">
        <v>0.1</v>
      </c>
      <c r="K880" s="3">
        <v>0.1061</v>
      </c>
      <c r="L880" s="3">
        <v>0.36</v>
      </c>
      <c r="M880" s="3">
        <v>0.22389999999999999</v>
      </c>
      <c r="N880" s="3">
        <v>0</v>
      </c>
      <c r="O880" s="3">
        <v>7</v>
      </c>
      <c r="P880" s="51">
        <v>7</v>
      </c>
    </row>
    <row r="881" spans="1:16" x14ac:dyDescent="0.35">
      <c r="A881" s="49">
        <v>880</v>
      </c>
      <c r="B881" s="50">
        <v>40583</v>
      </c>
      <c r="C881" s="3">
        <v>1</v>
      </c>
      <c r="D881" s="3">
        <v>0</v>
      </c>
      <c r="E881" s="3" t="s">
        <v>105</v>
      </c>
      <c r="F881" s="3">
        <v>2</v>
      </c>
      <c r="G881" s="3" t="b">
        <v>0</v>
      </c>
      <c r="H881" s="3" t="s">
        <v>110</v>
      </c>
      <c r="I881" s="3" t="s">
        <v>113</v>
      </c>
      <c r="J881" s="3">
        <v>0.08</v>
      </c>
      <c r="K881" s="3">
        <v>7.5800000000000006E-2</v>
      </c>
      <c r="L881" s="3">
        <v>0.38</v>
      </c>
      <c r="M881" s="3">
        <v>0.28360000000000002</v>
      </c>
      <c r="N881" s="3">
        <v>1</v>
      </c>
      <c r="O881" s="3">
        <v>2</v>
      </c>
      <c r="P881" s="51">
        <v>3</v>
      </c>
    </row>
    <row r="882" spans="1:16" x14ac:dyDescent="0.35">
      <c r="A882" s="49">
        <v>881</v>
      </c>
      <c r="B882" s="50">
        <v>40583</v>
      </c>
      <c r="C882" s="3">
        <v>1</v>
      </c>
      <c r="D882" s="3">
        <v>0</v>
      </c>
      <c r="E882" s="3" t="s">
        <v>105</v>
      </c>
      <c r="F882" s="3">
        <v>3</v>
      </c>
      <c r="G882" s="3" t="b">
        <v>0</v>
      </c>
      <c r="H882" s="3" t="s">
        <v>110</v>
      </c>
      <c r="I882" s="3" t="s">
        <v>113</v>
      </c>
      <c r="J882" s="3">
        <v>0.06</v>
      </c>
      <c r="K882" s="3">
        <v>7.5800000000000006E-2</v>
      </c>
      <c r="L882" s="3">
        <v>0.45</v>
      </c>
      <c r="M882" s="3">
        <v>0.1343</v>
      </c>
      <c r="N882" s="3">
        <v>0</v>
      </c>
      <c r="O882" s="3">
        <v>2</v>
      </c>
      <c r="P882" s="51">
        <v>2</v>
      </c>
    </row>
    <row r="883" spans="1:16" x14ac:dyDescent="0.35">
      <c r="A883" s="49">
        <v>882</v>
      </c>
      <c r="B883" s="50">
        <v>40583</v>
      </c>
      <c r="C883" s="3">
        <v>1</v>
      </c>
      <c r="D883" s="3">
        <v>0</v>
      </c>
      <c r="E883" s="3" t="s">
        <v>105</v>
      </c>
      <c r="F883" s="3">
        <v>5</v>
      </c>
      <c r="G883" s="3" t="b">
        <v>0</v>
      </c>
      <c r="H883" s="3" t="s">
        <v>110</v>
      </c>
      <c r="I883" s="3" t="s">
        <v>113</v>
      </c>
      <c r="J883" s="3">
        <v>0.06</v>
      </c>
      <c r="K883" s="3">
        <v>0.1061</v>
      </c>
      <c r="L883" s="3">
        <v>0.45</v>
      </c>
      <c r="M883" s="3">
        <v>0.1045</v>
      </c>
      <c r="N883" s="3">
        <v>0</v>
      </c>
      <c r="O883" s="3">
        <v>7</v>
      </c>
      <c r="P883" s="51">
        <v>7</v>
      </c>
    </row>
    <row r="884" spans="1:16" x14ac:dyDescent="0.35">
      <c r="A884" s="49">
        <v>883</v>
      </c>
      <c r="B884" s="50">
        <v>40583</v>
      </c>
      <c r="C884" s="3">
        <v>1</v>
      </c>
      <c r="D884" s="3">
        <v>0</v>
      </c>
      <c r="E884" s="3" t="s">
        <v>105</v>
      </c>
      <c r="F884" s="3">
        <v>6</v>
      </c>
      <c r="G884" s="3" t="b">
        <v>0</v>
      </c>
      <c r="H884" s="3" t="s">
        <v>110</v>
      </c>
      <c r="I884" s="3" t="s">
        <v>113</v>
      </c>
      <c r="J884" s="3">
        <v>0.06</v>
      </c>
      <c r="K884" s="3">
        <v>0.1515</v>
      </c>
      <c r="L884" s="3">
        <v>0.45</v>
      </c>
      <c r="M884" s="3">
        <v>0</v>
      </c>
      <c r="N884" s="3">
        <v>0</v>
      </c>
      <c r="O884" s="3">
        <v>43</v>
      </c>
      <c r="P884" s="51">
        <v>43</v>
      </c>
    </row>
    <row r="885" spans="1:16" x14ac:dyDescent="0.35">
      <c r="A885" s="49">
        <v>884</v>
      </c>
      <c r="B885" s="50">
        <v>40583</v>
      </c>
      <c r="C885" s="3">
        <v>1</v>
      </c>
      <c r="D885" s="3">
        <v>0</v>
      </c>
      <c r="E885" s="3" t="s">
        <v>105</v>
      </c>
      <c r="F885" s="3">
        <v>7</v>
      </c>
      <c r="G885" s="3" t="b">
        <v>0</v>
      </c>
      <c r="H885" s="3" t="s">
        <v>110</v>
      </c>
      <c r="I885" s="3" t="s">
        <v>113</v>
      </c>
      <c r="J885" s="3">
        <v>0.06</v>
      </c>
      <c r="K885" s="3">
        <v>0.1061</v>
      </c>
      <c r="L885" s="3">
        <v>0.49</v>
      </c>
      <c r="M885" s="3">
        <v>0.1045</v>
      </c>
      <c r="N885" s="3">
        <v>4</v>
      </c>
      <c r="O885" s="3">
        <v>95</v>
      </c>
      <c r="P885" s="51">
        <v>99</v>
      </c>
    </row>
    <row r="886" spans="1:16" x14ac:dyDescent="0.35">
      <c r="A886" s="49">
        <v>885</v>
      </c>
      <c r="B886" s="50">
        <v>40583</v>
      </c>
      <c r="C886" s="3">
        <v>1</v>
      </c>
      <c r="D886" s="3">
        <v>0</v>
      </c>
      <c r="E886" s="3" t="s">
        <v>105</v>
      </c>
      <c r="F886" s="3">
        <v>8</v>
      </c>
      <c r="G886" s="3" t="b">
        <v>0</v>
      </c>
      <c r="H886" s="3" t="s">
        <v>110</v>
      </c>
      <c r="I886" s="3" t="s">
        <v>113</v>
      </c>
      <c r="J886" s="3">
        <v>0.1</v>
      </c>
      <c r="K886" s="3">
        <v>0.13639999999999999</v>
      </c>
      <c r="L886" s="3">
        <v>0.42</v>
      </c>
      <c r="M886" s="3">
        <v>0</v>
      </c>
      <c r="N886" s="3">
        <v>1</v>
      </c>
      <c r="O886" s="3">
        <v>198</v>
      </c>
      <c r="P886" s="51">
        <v>199</v>
      </c>
    </row>
    <row r="887" spans="1:16" x14ac:dyDescent="0.35">
      <c r="A887" s="49">
        <v>886</v>
      </c>
      <c r="B887" s="50">
        <v>40583</v>
      </c>
      <c r="C887" s="3">
        <v>1</v>
      </c>
      <c r="D887" s="3">
        <v>0</v>
      </c>
      <c r="E887" s="3" t="s">
        <v>105</v>
      </c>
      <c r="F887" s="3">
        <v>9</v>
      </c>
      <c r="G887" s="3" t="b">
        <v>0</v>
      </c>
      <c r="H887" s="3" t="s">
        <v>110</v>
      </c>
      <c r="I887" s="3" t="s">
        <v>113</v>
      </c>
      <c r="J887" s="3">
        <v>0.12</v>
      </c>
      <c r="K887" s="3">
        <v>0.13639999999999999</v>
      </c>
      <c r="L887" s="3">
        <v>0.39</v>
      </c>
      <c r="M887" s="3">
        <v>0.16420000000000001</v>
      </c>
      <c r="N887" s="3">
        <v>4</v>
      </c>
      <c r="O887" s="3">
        <v>119</v>
      </c>
      <c r="P887" s="51">
        <v>123</v>
      </c>
    </row>
    <row r="888" spans="1:16" x14ac:dyDescent="0.35">
      <c r="A888" s="49">
        <v>887</v>
      </c>
      <c r="B888" s="50">
        <v>40583</v>
      </c>
      <c r="C888" s="3">
        <v>1</v>
      </c>
      <c r="D888" s="3">
        <v>0</v>
      </c>
      <c r="E888" s="3" t="s">
        <v>105</v>
      </c>
      <c r="F888" s="3">
        <v>10</v>
      </c>
      <c r="G888" s="3" t="b">
        <v>0</v>
      </c>
      <c r="H888" s="3" t="s">
        <v>110</v>
      </c>
      <c r="I888" s="3" t="s">
        <v>113</v>
      </c>
      <c r="J888" s="3">
        <v>0.14000000000000001</v>
      </c>
      <c r="K888" s="3">
        <v>0.18179999999999999</v>
      </c>
      <c r="L888" s="3">
        <v>0.36</v>
      </c>
      <c r="M888" s="3">
        <v>0</v>
      </c>
      <c r="N888" s="3">
        <v>8</v>
      </c>
      <c r="O888" s="3">
        <v>51</v>
      </c>
      <c r="P888" s="51">
        <v>59</v>
      </c>
    </row>
    <row r="889" spans="1:16" x14ac:dyDescent="0.35">
      <c r="A889" s="49">
        <v>888</v>
      </c>
      <c r="B889" s="50">
        <v>40583</v>
      </c>
      <c r="C889" s="3">
        <v>1</v>
      </c>
      <c r="D889" s="3">
        <v>0</v>
      </c>
      <c r="E889" s="3" t="s">
        <v>105</v>
      </c>
      <c r="F889" s="3">
        <v>11</v>
      </c>
      <c r="G889" s="3" t="b">
        <v>0</v>
      </c>
      <c r="H889" s="3" t="s">
        <v>110</v>
      </c>
      <c r="I889" s="3" t="s">
        <v>114</v>
      </c>
      <c r="J889" s="3">
        <v>0.14000000000000001</v>
      </c>
      <c r="K889" s="3">
        <v>0.1515</v>
      </c>
      <c r="L889" s="3">
        <v>0.43</v>
      </c>
      <c r="M889" s="3">
        <v>0.16420000000000001</v>
      </c>
      <c r="N889" s="3">
        <v>1</v>
      </c>
      <c r="O889" s="3">
        <v>40</v>
      </c>
      <c r="P889" s="51">
        <v>41</v>
      </c>
    </row>
    <row r="890" spans="1:16" x14ac:dyDescent="0.35">
      <c r="A890" s="49">
        <v>889</v>
      </c>
      <c r="B890" s="50">
        <v>40583</v>
      </c>
      <c r="C890" s="3">
        <v>1</v>
      </c>
      <c r="D890" s="3">
        <v>0</v>
      </c>
      <c r="E890" s="3" t="s">
        <v>105</v>
      </c>
      <c r="F890" s="3">
        <v>12</v>
      </c>
      <c r="G890" s="3" t="b">
        <v>0</v>
      </c>
      <c r="H890" s="3" t="s">
        <v>110</v>
      </c>
      <c r="I890" s="3" t="s">
        <v>114</v>
      </c>
      <c r="J890" s="3">
        <v>0.18</v>
      </c>
      <c r="K890" s="3">
        <v>0.18179999999999999</v>
      </c>
      <c r="L890" s="3">
        <v>0.4</v>
      </c>
      <c r="M890" s="3">
        <v>0.22389999999999999</v>
      </c>
      <c r="N890" s="3">
        <v>4</v>
      </c>
      <c r="O890" s="3">
        <v>57</v>
      </c>
      <c r="P890" s="51">
        <v>61</v>
      </c>
    </row>
    <row r="891" spans="1:16" x14ac:dyDescent="0.35">
      <c r="A891" s="49">
        <v>890</v>
      </c>
      <c r="B891" s="50">
        <v>40583</v>
      </c>
      <c r="C891" s="3">
        <v>1</v>
      </c>
      <c r="D891" s="3">
        <v>0</v>
      </c>
      <c r="E891" s="3" t="s">
        <v>105</v>
      </c>
      <c r="F891" s="3">
        <v>13</v>
      </c>
      <c r="G891" s="3" t="b">
        <v>0</v>
      </c>
      <c r="H891" s="3" t="s">
        <v>110</v>
      </c>
      <c r="I891" s="3" t="s">
        <v>113</v>
      </c>
      <c r="J891" s="3">
        <v>0.18</v>
      </c>
      <c r="K891" s="3">
        <v>0.16669999999999999</v>
      </c>
      <c r="L891" s="3">
        <v>0.4</v>
      </c>
      <c r="M891" s="3">
        <v>0.25369999999999998</v>
      </c>
      <c r="N891" s="3">
        <v>2</v>
      </c>
      <c r="O891" s="3">
        <v>67</v>
      </c>
      <c r="P891" s="51">
        <v>69</v>
      </c>
    </row>
    <row r="892" spans="1:16" x14ac:dyDescent="0.35">
      <c r="A892" s="49">
        <v>891</v>
      </c>
      <c r="B892" s="50">
        <v>40583</v>
      </c>
      <c r="C892" s="3">
        <v>1</v>
      </c>
      <c r="D892" s="3">
        <v>0</v>
      </c>
      <c r="E892" s="3" t="s">
        <v>105</v>
      </c>
      <c r="F892" s="3">
        <v>14</v>
      </c>
      <c r="G892" s="3" t="b">
        <v>0</v>
      </c>
      <c r="H892" s="3" t="s">
        <v>110</v>
      </c>
      <c r="I892" s="3" t="s">
        <v>113</v>
      </c>
      <c r="J892" s="3">
        <v>0.2</v>
      </c>
      <c r="K892" s="3">
        <v>0.18179999999999999</v>
      </c>
      <c r="L892" s="3">
        <v>0.34</v>
      </c>
      <c r="M892" s="3">
        <v>0.29849999999999999</v>
      </c>
      <c r="N892" s="3">
        <v>2</v>
      </c>
      <c r="O892" s="3">
        <v>56</v>
      </c>
      <c r="P892" s="51">
        <v>58</v>
      </c>
    </row>
    <row r="893" spans="1:16" x14ac:dyDescent="0.35">
      <c r="A893" s="49">
        <v>892</v>
      </c>
      <c r="B893" s="50">
        <v>40583</v>
      </c>
      <c r="C893" s="3">
        <v>1</v>
      </c>
      <c r="D893" s="3">
        <v>0</v>
      </c>
      <c r="E893" s="3" t="s">
        <v>105</v>
      </c>
      <c r="F893" s="3">
        <v>15</v>
      </c>
      <c r="G893" s="3" t="b">
        <v>0</v>
      </c>
      <c r="H893" s="3" t="s">
        <v>110</v>
      </c>
      <c r="I893" s="3" t="s">
        <v>114</v>
      </c>
      <c r="J893" s="3">
        <v>0.2</v>
      </c>
      <c r="K893" s="3">
        <v>0.18179999999999999</v>
      </c>
      <c r="L893" s="3">
        <v>0.34</v>
      </c>
      <c r="M893" s="3">
        <v>0.28360000000000002</v>
      </c>
      <c r="N893" s="3">
        <v>3</v>
      </c>
      <c r="O893" s="3">
        <v>61</v>
      </c>
      <c r="P893" s="51">
        <v>64</v>
      </c>
    </row>
    <row r="894" spans="1:16" x14ac:dyDescent="0.35">
      <c r="A894" s="49">
        <v>893</v>
      </c>
      <c r="B894" s="50">
        <v>40583</v>
      </c>
      <c r="C894" s="3">
        <v>1</v>
      </c>
      <c r="D894" s="3">
        <v>0</v>
      </c>
      <c r="E894" s="3" t="s">
        <v>105</v>
      </c>
      <c r="F894" s="3">
        <v>16</v>
      </c>
      <c r="G894" s="3" t="b">
        <v>0</v>
      </c>
      <c r="H894" s="3" t="s">
        <v>110</v>
      </c>
      <c r="I894" s="3" t="s">
        <v>114</v>
      </c>
      <c r="J894" s="3">
        <v>0.2</v>
      </c>
      <c r="K894" s="3">
        <v>0.19700000000000001</v>
      </c>
      <c r="L894" s="3">
        <v>0.37</v>
      </c>
      <c r="M894" s="3">
        <v>0.25369999999999998</v>
      </c>
      <c r="N894" s="3">
        <v>7</v>
      </c>
      <c r="O894" s="3">
        <v>72</v>
      </c>
      <c r="P894" s="51">
        <v>79</v>
      </c>
    </row>
    <row r="895" spans="1:16" x14ac:dyDescent="0.35">
      <c r="A895" s="49">
        <v>894</v>
      </c>
      <c r="B895" s="50">
        <v>40583</v>
      </c>
      <c r="C895" s="3">
        <v>1</v>
      </c>
      <c r="D895" s="3">
        <v>0</v>
      </c>
      <c r="E895" s="3" t="s">
        <v>105</v>
      </c>
      <c r="F895" s="3">
        <v>17</v>
      </c>
      <c r="G895" s="3" t="b">
        <v>0</v>
      </c>
      <c r="H895" s="3" t="s">
        <v>110</v>
      </c>
      <c r="I895" s="3" t="s">
        <v>114</v>
      </c>
      <c r="J895" s="3">
        <v>0.2</v>
      </c>
      <c r="K895" s="3">
        <v>0.19700000000000001</v>
      </c>
      <c r="L895" s="3">
        <v>0.34</v>
      </c>
      <c r="M895" s="3">
        <v>0.25369999999999998</v>
      </c>
      <c r="N895" s="3">
        <v>9</v>
      </c>
      <c r="O895" s="3">
        <v>157</v>
      </c>
      <c r="P895" s="51">
        <v>166</v>
      </c>
    </row>
    <row r="896" spans="1:16" x14ac:dyDescent="0.35">
      <c r="A896" s="49">
        <v>895</v>
      </c>
      <c r="B896" s="50">
        <v>40583</v>
      </c>
      <c r="C896" s="3">
        <v>1</v>
      </c>
      <c r="D896" s="3">
        <v>0</v>
      </c>
      <c r="E896" s="3" t="s">
        <v>105</v>
      </c>
      <c r="F896" s="3">
        <v>18</v>
      </c>
      <c r="G896" s="3" t="b">
        <v>0</v>
      </c>
      <c r="H896" s="3" t="s">
        <v>110</v>
      </c>
      <c r="I896" s="3" t="s">
        <v>114</v>
      </c>
      <c r="J896" s="3">
        <v>0.18</v>
      </c>
      <c r="K896" s="3">
        <v>0.16669999999999999</v>
      </c>
      <c r="L896" s="3">
        <v>0.47</v>
      </c>
      <c r="M896" s="3">
        <v>0.29849999999999999</v>
      </c>
      <c r="N896" s="3">
        <v>2</v>
      </c>
      <c r="O896" s="3">
        <v>168</v>
      </c>
      <c r="P896" s="51">
        <v>170</v>
      </c>
    </row>
    <row r="897" spans="1:16" x14ac:dyDescent="0.35">
      <c r="A897" s="49">
        <v>896</v>
      </c>
      <c r="B897" s="50">
        <v>40583</v>
      </c>
      <c r="C897" s="3">
        <v>1</v>
      </c>
      <c r="D897" s="3">
        <v>0</v>
      </c>
      <c r="E897" s="3" t="s">
        <v>105</v>
      </c>
      <c r="F897" s="3">
        <v>19</v>
      </c>
      <c r="G897" s="3" t="b">
        <v>0</v>
      </c>
      <c r="H897" s="3" t="s">
        <v>110</v>
      </c>
      <c r="I897" s="3" t="s">
        <v>115</v>
      </c>
      <c r="J897" s="3">
        <v>0.14000000000000001</v>
      </c>
      <c r="K897" s="3">
        <v>0.1212</v>
      </c>
      <c r="L897" s="3">
        <v>0.86</v>
      </c>
      <c r="M897" s="3">
        <v>0.25369999999999998</v>
      </c>
      <c r="N897" s="3">
        <v>1</v>
      </c>
      <c r="O897" s="3">
        <v>87</v>
      </c>
      <c r="P897" s="51">
        <v>88</v>
      </c>
    </row>
    <row r="898" spans="1:16" x14ac:dyDescent="0.35">
      <c r="A898" s="49">
        <v>897</v>
      </c>
      <c r="B898" s="50">
        <v>40583</v>
      </c>
      <c r="C898" s="3">
        <v>1</v>
      </c>
      <c r="D898" s="3">
        <v>0</v>
      </c>
      <c r="E898" s="3" t="s">
        <v>105</v>
      </c>
      <c r="F898" s="3">
        <v>20</v>
      </c>
      <c r="G898" s="3" t="b">
        <v>0</v>
      </c>
      <c r="H898" s="3" t="s">
        <v>110</v>
      </c>
      <c r="I898" s="3" t="s">
        <v>115</v>
      </c>
      <c r="J898" s="3">
        <v>0.14000000000000001</v>
      </c>
      <c r="K898" s="3">
        <v>0.1515</v>
      </c>
      <c r="L898" s="3">
        <v>0.86</v>
      </c>
      <c r="M898" s="3">
        <v>0.16420000000000001</v>
      </c>
      <c r="N898" s="3">
        <v>0</v>
      </c>
      <c r="O898" s="3">
        <v>84</v>
      </c>
      <c r="P898" s="51">
        <v>84</v>
      </c>
    </row>
    <row r="899" spans="1:16" x14ac:dyDescent="0.35">
      <c r="A899" s="49">
        <v>898</v>
      </c>
      <c r="B899" s="50">
        <v>40583</v>
      </c>
      <c r="C899" s="3">
        <v>1</v>
      </c>
      <c r="D899" s="3">
        <v>0</v>
      </c>
      <c r="E899" s="3" t="s">
        <v>105</v>
      </c>
      <c r="F899" s="3">
        <v>21</v>
      </c>
      <c r="G899" s="3" t="b">
        <v>0</v>
      </c>
      <c r="H899" s="3" t="s">
        <v>110</v>
      </c>
      <c r="I899" s="3" t="s">
        <v>114</v>
      </c>
      <c r="J899" s="3">
        <v>0.14000000000000001</v>
      </c>
      <c r="K899" s="3">
        <v>0.1515</v>
      </c>
      <c r="L899" s="3">
        <v>0.86</v>
      </c>
      <c r="M899" s="3">
        <v>0.16420000000000001</v>
      </c>
      <c r="N899" s="3">
        <v>0</v>
      </c>
      <c r="O899" s="3">
        <v>83</v>
      </c>
      <c r="P899" s="51">
        <v>83</v>
      </c>
    </row>
    <row r="900" spans="1:16" x14ac:dyDescent="0.35">
      <c r="A900" s="49">
        <v>899</v>
      </c>
      <c r="B900" s="50">
        <v>40583</v>
      </c>
      <c r="C900" s="3">
        <v>1</v>
      </c>
      <c r="D900" s="3">
        <v>0</v>
      </c>
      <c r="E900" s="3" t="s">
        <v>105</v>
      </c>
      <c r="F900" s="3">
        <v>22</v>
      </c>
      <c r="G900" s="3" t="b">
        <v>0</v>
      </c>
      <c r="H900" s="3" t="s">
        <v>110</v>
      </c>
      <c r="I900" s="3" t="s">
        <v>115</v>
      </c>
      <c r="J900" s="3">
        <v>0.16</v>
      </c>
      <c r="K900" s="3">
        <v>0.16669999999999999</v>
      </c>
      <c r="L900" s="3">
        <v>0.8</v>
      </c>
      <c r="M900" s="3">
        <v>0.16420000000000001</v>
      </c>
      <c r="N900" s="3">
        <v>4</v>
      </c>
      <c r="O900" s="3">
        <v>42</v>
      </c>
      <c r="P900" s="51">
        <v>46</v>
      </c>
    </row>
    <row r="901" spans="1:16" x14ac:dyDescent="0.35">
      <c r="A901" s="49">
        <v>900</v>
      </c>
      <c r="B901" s="50">
        <v>40583</v>
      </c>
      <c r="C901" s="3">
        <v>1</v>
      </c>
      <c r="D901" s="3">
        <v>0</v>
      </c>
      <c r="E901" s="3" t="s">
        <v>105</v>
      </c>
      <c r="F901" s="3">
        <v>23</v>
      </c>
      <c r="G901" s="3" t="b">
        <v>0</v>
      </c>
      <c r="H901" s="3" t="s">
        <v>110</v>
      </c>
      <c r="I901" s="3" t="s">
        <v>115</v>
      </c>
      <c r="J901" s="3">
        <v>0.16</v>
      </c>
      <c r="K901" s="3">
        <v>0.1515</v>
      </c>
      <c r="L901" s="3">
        <v>0.8</v>
      </c>
      <c r="M901" s="3">
        <v>0.19400000000000001</v>
      </c>
      <c r="N901" s="3">
        <v>0</v>
      </c>
      <c r="O901" s="3">
        <v>37</v>
      </c>
      <c r="P901" s="51">
        <v>37</v>
      </c>
    </row>
    <row r="902" spans="1:16" x14ac:dyDescent="0.35">
      <c r="A902" s="49">
        <v>901</v>
      </c>
      <c r="B902" s="50">
        <v>40584</v>
      </c>
      <c r="C902" s="3">
        <v>1</v>
      </c>
      <c r="D902" s="3">
        <v>0</v>
      </c>
      <c r="E902" s="3" t="s">
        <v>105</v>
      </c>
      <c r="F902" s="3">
        <v>0</v>
      </c>
      <c r="G902" s="3" t="b">
        <v>0</v>
      </c>
      <c r="H902" s="3" t="s">
        <v>111</v>
      </c>
      <c r="I902" s="3" t="s">
        <v>115</v>
      </c>
      <c r="J902" s="3">
        <v>0.14000000000000001</v>
      </c>
      <c r="K902" s="3">
        <v>0.13639999999999999</v>
      </c>
      <c r="L902" s="3">
        <v>0.86</v>
      </c>
      <c r="M902" s="3">
        <v>0.19400000000000001</v>
      </c>
      <c r="N902" s="3">
        <v>0</v>
      </c>
      <c r="O902" s="3">
        <v>16</v>
      </c>
      <c r="P902" s="51">
        <v>16</v>
      </c>
    </row>
    <row r="903" spans="1:16" x14ac:dyDescent="0.35">
      <c r="A903" s="49">
        <v>902</v>
      </c>
      <c r="B903" s="50">
        <v>40584</v>
      </c>
      <c r="C903" s="3">
        <v>1</v>
      </c>
      <c r="D903" s="3">
        <v>0</v>
      </c>
      <c r="E903" s="3" t="s">
        <v>105</v>
      </c>
      <c r="F903" s="3">
        <v>1</v>
      </c>
      <c r="G903" s="3" t="b">
        <v>0</v>
      </c>
      <c r="H903" s="3" t="s">
        <v>111</v>
      </c>
      <c r="I903" s="3" t="s">
        <v>115</v>
      </c>
      <c r="J903" s="3">
        <v>0.14000000000000001</v>
      </c>
      <c r="K903" s="3">
        <v>0.1515</v>
      </c>
      <c r="L903" s="3">
        <v>0.8</v>
      </c>
      <c r="M903" s="3">
        <v>0.1343</v>
      </c>
      <c r="N903" s="3">
        <v>0</v>
      </c>
      <c r="O903" s="3">
        <v>7</v>
      </c>
      <c r="P903" s="51">
        <v>7</v>
      </c>
    </row>
    <row r="904" spans="1:16" x14ac:dyDescent="0.35">
      <c r="A904" s="49">
        <v>903</v>
      </c>
      <c r="B904" s="50">
        <v>40584</v>
      </c>
      <c r="C904" s="3">
        <v>1</v>
      </c>
      <c r="D904" s="3">
        <v>0</v>
      </c>
      <c r="E904" s="3" t="s">
        <v>105</v>
      </c>
      <c r="F904" s="3">
        <v>2</v>
      </c>
      <c r="G904" s="3" t="b">
        <v>0</v>
      </c>
      <c r="H904" s="3" t="s">
        <v>111</v>
      </c>
      <c r="I904" s="3" t="s">
        <v>115</v>
      </c>
      <c r="J904" s="3">
        <v>0.14000000000000001</v>
      </c>
      <c r="K904" s="3">
        <v>0.1515</v>
      </c>
      <c r="L904" s="3">
        <v>0.8</v>
      </c>
      <c r="M904" s="3">
        <v>0.1343</v>
      </c>
      <c r="N904" s="3">
        <v>0</v>
      </c>
      <c r="O904" s="3">
        <v>3</v>
      </c>
      <c r="P904" s="51">
        <v>3</v>
      </c>
    </row>
    <row r="905" spans="1:16" x14ac:dyDescent="0.35">
      <c r="A905" s="49">
        <v>904</v>
      </c>
      <c r="B905" s="50">
        <v>40584</v>
      </c>
      <c r="C905" s="3">
        <v>1</v>
      </c>
      <c r="D905" s="3">
        <v>0</v>
      </c>
      <c r="E905" s="3" t="s">
        <v>105</v>
      </c>
      <c r="F905" s="3">
        <v>4</v>
      </c>
      <c r="G905" s="3" t="b">
        <v>0</v>
      </c>
      <c r="H905" s="3" t="s">
        <v>111</v>
      </c>
      <c r="I905" s="3" t="s">
        <v>114</v>
      </c>
      <c r="J905" s="3">
        <v>0.14000000000000001</v>
      </c>
      <c r="K905" s="3">
        <v>0.13639999999999999</v>
      </c>
      <c r="L905" s="3">
        <v>0.59</v>
      </c>
      <c r="M905" s="3">
        <v>0.22389999999999999</v>
      </c>
      <c r="N905" s="3">
        <v>0</v>
      </c>
      <c r="O905" s="3">
        <v>1</v>
      </c>
      <c r="P905" s="51">
        <v>1</v>
      </c>
    </row>
    <row r="906" spans="1:16" x14ac:dyDescent="0.35">
      <c r="A906" s="49">
        <v>905</v>
      </c>
      <c r="B906" s="50">
        <v>40584</v>
      </c>
      <c r="C906" s="3">
        <v>1</v>
      </c>
      <c r="D906" s="3">
        <v>0</v>
      </c>
      <c r="E906" s="3" t="s">
        <v>105</v>
      </c>
      <c r="F906" s="3">
        <v>5</v>
      </c>
      <c r="G906" s="3" t="b">
        <v>0</v>
      </c>
      <c r="H906" s="3" t="s">
        <v>111</v>
      </c>
      <c r="I906" s="3" t="s">
        <v>114</v>
      </c>
      <c r="J906" s="3">
        <v>0.12</v>
      </c>
      <c r="K906" s="3">
        <v>0.1212</v>
      </c>
      <c r="L906" s="3">
        <v>0.5</v>
      </c>
      <c r="M906" s="3">
        <v>0.22389999999999999</v>
      </c>
      <c r="N906" s="3">
        <v>0</v>
      </c>
      <c r="O906" s="3">
        <v>6</v>
      </c>
      <c r="P906" s="51">
        <v>6</v>
      </c>
    </row>
    <row r="907" spans="1:16" x14ac:dyDescent="0.35">
      <c r="A907" s="49">
        <v>906</v>
      </c>
      <c r="B907" s="50">
        <v>40584</v>
      </c>
      <c r="C907" s="3">
        <v>1</v>
      </c>
      <c r="D907" s="3">
        <v>0</v>
      </c>
      <c r="E907" s="3" t="s">
        <v>105</v>
      </c>
      <c r="F907" s="3">
        <v>6</v>
      </c>
      <c r="G907" s="3" t="b">
        <v>0</v>
      </c>
      <c r="H907" s="3" t="s">
        <v>111</v>
      </c>
      <c r="I907" s="3" t="s">
        <v>114</v>
      </c>
      <c r="J907" s="3">
        <v>0.12</v>
      </c>
      <c r="K907" s="3">
        <v>0.1212</v>
      </c>
      <c r="L907" s="3">
        <v>0.54</v>
      </c>
      <c r="M907" s="3">
        <v>0.28360000000000002</v>
      </c>
      <c r="N907" s="3">
        <v>0</v>
      </c>
      <c r="O907" s="3">
        <v>26</v>
      </c>
      <c r="P907" s="51">
        <v>26</v>
      </c>
    </row>
    <row r="908" spans="1:16" x14ac:dyDescent="0.35">
      <c r="A908" s="49">
        <v>907</v>
      </c>
      <c r="B908" s="50">
        <v>40584</v>
      </c>
      <c r="C908" s="3">
        <v>1</v>
      </c>
      <c r="D908" s="3">
        <v>0</v>
      </c>
      <c r="E908" s="3" t="s">
        <v>105</v>
      </c>
      <c r="F908" s="3">
        <v>7</v>
      </c>
      <c r="G908" s="3" t="b">
        <v>0</v>
      </c>
      <c r="H908" s="3" t="s">
        <v>111</v>
      </c>
      <c r="I908" s="3" t="s">
        <v>113</v>
      </c>
      <c r="J908" s="3">
        <v>0.1</v>
      </c>
      <c r="K908" s="3">
        <v>7.5800000000000006E-2</v>
      </c>
      <c r="L908" s="3">
        <v>0.5</v>
      </c>
      <c r="M908" s="3">
        <v>0.41789999999999999</v>
      </c>
      <c r="N908" s="3">
        <v>0</v>
      </c>
      <c r="O908" s="3">
        <v>99</v>
      </c>
      <c r="P908" s="51">
        <v>99</v>
      </c>
    </row>
    <row r="909" spans="1:16" x14ac:dyDescent="0.35">
      <c r="A909" s="49">
        <v>908</v>
      </c>
      <c r="B909" s="50">
        <v>40584</v>
      </c>
      <c r="C909" s="3">
        <v>1</v>
      </c>
      <c r="D909" s="3">
        <v>0</v>
      </c>
      <c r="E909" s="3" t="s">
        <v>105</v>
      </c>
      <c r="F909" s="3">
        <v>8</v>
      </c>
      <c r="G909" s="3" t="b">
        <v>0</v>
      </c>
      <c r="H909" s="3" t="s">
        <v>111</v>
      </c>
      <c r="I909" s="3" t="s">
        <v>113</v>
      </c>
      <c r="J909" s="3">
        <v>0.1</v>
      </c>
      <c r="K909" s="3">
        <v>7.5800000000000006E-2</v>
      </c>
      <c r="L909" s="3">
        <v>0.49</v>
      </c>
      <c r="M909" s="3">
        <v>0.32840000000000003</v>
      </c>
      <c r="N909" s="3">
        <v>5</v>
      </c>
      <c r="O909" s="3">
        <v>173</v>
      </c>
      <c r="P909" s="51">
        <v>178</v>
      </c>
    </row>
    <row r="910" spans="1:16" x14ac:dyDescent="0.35">
      <c r="A910" s="49">
        <v>909</v>
      </c>
      <c r="B910" s="50">
        <v>40584</v>
      </c>
      <c r="C910" s="3">
        <v>1</v>
      </c>
      <c r="D910" s="3">
        <v>0</v>
      </c>
      <c r="E910" s="3" t="s">
        <v>105</v>
      </c>
      <c r="F910" s="3">
        <v>9</v>
      </c>
      <c r="G910" s="3" t="b">
        <v>0</v>
      </c>
      <c r="H910" s="3" t="s">
        <v>111</v>
      </c>
      <c r="I910" s="3" t="s">
        <v>113</v>
      </c>
      <c r="J910" s="3">
        <v>0.12</v>
      </c>
      <c r="K910" s="3">
        <v>0.1061</v>
      </c>
      <c r="L910" s="3">
        <v>0.42</v>
      </c>
      <c r="M910" s="3">
        <v>0.35820000000000002</v>
      </c>
      <c r="N910" s="3">
        <v>1</v>
      </c>
      <c r="O910" s="3">
        <v>121</v>
      </c>
      <c r="P910" s="51">
        <v>122</v>
      </c>
    </row>
    <row r="911" spans="1:16" x14ac:dyDescent="0.35">
      <c r="A911" s="49">
        <v>910</v>
      </c>
      <c r="B911" s="50">
        <v>40584</v>
      </c>
      <c r="C911" s="3">
        <v>1</v>
      </c>
      <c r="D911" s="3">
        <v>0</v>
      </c>
      <c r="E911" s="3" t="s">
        <v>105</v>
      </c>
      <c r="F911" s="3">
        <v>10</v>
      </c>
      <c r="G911" s="3" t="b">
        <v>0</v>
      </c>
      <c r="H911" s="3" t="s">
        <v>111</v>
      </c>
      <c r="I911" s="3" t="s">
        <v>113</v>
      </c>
      <c r="J911" s="3">
        <v>0.12</v>
      </c>
      <c r="K911" s="3">
        <v>0.1061</v>
      </c>
      <c r="L911" s="3">
        <v>0.42</v>
      </c>
      <c r="M911" s="3">
        <v>0.29849999999999999</v>
      </c>
      <c r="N911" s="3">
        <v>1</v>
      </c>
      <c r="O911" s="3">
        <v>34</v>
      </c>
      <c r="P911" s="51">
        <v>35</v>
      </c>
    </row>
    <row r="912" spans="1:16" x14ac:dyDescent="0.35">
      <c r="A912" s="49">
        <v>911</v>
      </c>
      <c r="B912" s="50">
        <v>40584</v>
      </c>
      <c r="C912" s="3">
        <v>1</v>
      </c>
      <c r="D912" s="3">
        <v>0</v>
      </c>
      <c r="E912" s="3" t="s">
        <v>105</v>
      </c>
      <c r="F912" s="3">
        <v>11</v>
      </c>
      <c r="G912" s="3" t="b">
        <v>0</v>
      </c>
      <c r="H912" s="3" t="s">
        <v>111</v>
      </c>
      <c r="I912" s="3" t="s">
        <v>113</v>
      </c>
      <c r="J912" s="3">
        <v>0.14000000000000001</v>
      </c>
      <c r="K912" s="3">
        <v>0.1212</v>
      </c>
      <c r="L912" s="3">
        <v>0.39</v>
      </c>
      <c r="M912" s="3">
        <v>0.35820000000000002</v>
      </c>
      <c r="N912" s="3">
        <v>1</v>
      </c>
      <c r="O912" s="3">
        <v>44</v>
      </c>
      <c r="P912" s="51">
        <v>45</v>
      </c>
    </row>
    <row r="913" spans="1:16" x14ac:dyDescent="0.35">
      <c r="A913" s="49">
        <v>912</v>
      </c>
      <c r="B913" s="50">
        <v>40584</v>
      </c>
      <c r="C913" s="3">
        <v>1</v>
      </c>
      <c r="D913" s="3">
        <v>0</v>
      </c>
      <c r="E913" s="3" t="s">
        <v>105</v>
      </c>
      <c r="F913" s="3">
        <v>12</v>
      </c>
      <c r="G913" s="3" t="b">
        <v>0</v>
      </c>
      <c r="H913" s="3" t="s">
        <v>111</v>
      </c>
      <c r="I913" s="3" t="s">
        <v>113</v>
      </c>
      <c r="J913" s="3">
        <v>0.16</v>
      </c>
      <c r="K913" s="3">
        <v>0.13639999999999999</v>
      </c>
      <c r="L913" s="3">
        <v>0.34</v>
      </c>
      <c r="M913" s="3">
        <v>0.3881</v>
      </c>
      <c r="N913" s="3">
        <v>4</v>
      </c>
      <c r="O913" s="3">
        <v>65</v>
      </c>
      <c r="P913" s="51">
        <v>69</v>
      </c>
    </row>
    <row r="914" spans="1:16" x14ac:dyDescent="0.35">
      <c r="A914" s="49">
        <v>913</v>
      </c>
      <c r="B914" s="50">
        <v>40584</v>
      </c>
      <c r="C914" s="3">
        <v>1</v>
      </c>
      <c r="D914" s="3">
        <v>0</v>
      </c>
      <c r="E914" s="3" t="s">
        <v>105</v>
      </c>
      <c r="F914" s="3">
        <v>13</v>
      </c>
      <c r="G914" s="3" t="b">
        <v>0</v>
      </c>
      <c r="H914" s="3" t="s">
        <v>111</v>
      </c>
      <c r="I914" s="3" t="s">
        <v>113</v>
      </c>
      <c r="J914" s="3">
        <v>0.18</v>
      </c>
      <c r="K914" s="3">
        <v>0.16669999999999999</v>
      </c>
      <c r="L914" s="3">
        <v>0.28999999999999998</v>
      </c>
      <c r="M914" s="3">
        <v>0.29849999999999999</v>
      </c>
      <c r="N914" s="3">
        <v>3</v>
      </c>
      <c r="O914" s="3">
        <v>59</v>
      </c>
      <c r="P914" s="51">
        <v>62</v>
      </c>
    </row>
    <row r="915" spans="1:16" x14ac:dyDescent="0.35">
      <c r="A915" s="49">
        <v>914</v>
      </c>
      <c r="B915" s="50">
        <v>40584</v>
      </c>
      <c r="C915" s="3">
        <v>1</v>
      </c>
      <c r="D915" s="3">
        <v>0</v>
      </c>
      <c r="E915" s="3" t="s">
        <v>105</v>
      </c>
      <c r="F915" s="3">
        <v>14</v>
      </c>
      <c r="G915" s="3" t="b">
        <v>0</v>
      </c>
      <c r="H915" s="3" t="s">
        <v>111</v>
      </c>
      <c r="I915" s="3" t="s">
        <v>113</v>
      </c>
      <c r="J915" s="3">
        <v>0.2</v>
      </c>
      <c r="K915" s="3">
        <v>0.18179999999999999</v>
      </c>
      <c r="L915" s="3">
        <v>0.27</v>
      </c>
      <c r="M915" s="3">
        <v>0.28360000000000002</v>
      </c>
      <c r="N915" s="3">
        <v>6</v>
      </c>
      <c r="O915" s="3">
        <v>42</v>
      </c>
      <c r="P915" s="51">
        <v>48</v>
      </c>
    </row>
    <row r="916" spans="1:16" x14ac:dyDescent="0.35">
      <c r="A916" s="49">
        <v>915</v>
      </c>
      <c r="B916" s="50">
        <v>40584</v>
      </c>
      <c r="C916" s="3">
        <v>1</v>
      </c>
      <c r="D916" s="3">
        <v>0</v>
      </c>
      <c r="E916" s="3" t="s">
        <v>105</v>
      </c>
      <c r="F916" s="3">
        <v>15</v>
      </c>
      <c r="G916" s="3" t="b">
        <v>0</v>
      </c>
      <c r="H916" s="3" t="s">
        <v>111</v>
      </c>
      <c r="I916" s="3" t="s">
        <v>113</v>
      </c>
      <c r="J916" s="3">
        <v>0.2</v>
      </c>
      <c r="K916" s="3">
        <v>0.19700000000000001</v>
      </c>
      <c r="L916" s="3">
        <v>0.25</v>
      </c>
      <c r="M916" s="3">
        <v>0.25369999999999998</v>
      </c>
      <c r="N916" s="3">
        <v>0</v>
      </c>
      <c r="O916" s="3">
        <v>50</v>
      </c>
      <c r="P916" s="51">
        <v>50</v>
      </c>
    </row>
    <row r="917" spans="1:16" x14ac:dyDescent="0.35">
      <c r="A917" s="49">
        <v>916</v>
      </c>
      <c r="B917" s="50">
        <v>40584</v>
      </c>
      <c r="C917" s="3">
        <v>1</v>
      </c>
      <c r="D917" s="3">
        <v>0</v>
      </c>
      <c r="E917" s="3" t="s">
        <v>105</v>
      </c>
      <c r="F917" s="3">
        <v>16</v>
      </c>
      <c r="G917" s="3" t="b">
        <v>0</v>
      </c>
      <c r="H917" s="3" t="s">
        <v>111</v>
      </c>
      <c r="I917" s="3" t="s">
        <v>113</v>
      </c>
      <c r="J917" s="3">
        <v>0.2</v>
      </c>
      <c r="K917" s="3">
        <v>0.18179999999999999</v>
      </c>
      <c r="L917" s="3">
        <v>0.27</v>
      </c>
      <c r="M917" s="3">
        <v>0.29849999999999999</v>
      </c>
      <c r="N917" s="3">
        <v>4</v>
      </c>
      <c r="O917" s="3">
        <v>76</v>
      </c>
      <c r="P917" s="51">
        <v>80</v>
      </c>
    </row>
    <row r="918" spans="1:16" x14ac:dyDescent="0.35">
      <c r="A918" s="49">
        <v>917</v>
      </c>
      <c r="B918" s="50">
        <v>40584</v>
      </c>
      <c r="C918" s="3">
        <v>1</v>
      </c>
      <c r="D918" s="3">
        <v>0</v>
      </c>
      <c r="E918" s="3" t="s">
        <v>105</v>
      </c>
      <c r="F918" s="3">
        <v>17</v>
      </c>
      <c r="G918" s="3" t="b">
        <v>0</v>
      </c>
      <c r="H918" s="3" t="s">
        <v>111</v>
      </c>
      <c r="I918" s="3" t="s">
        <v>113</v>
      </c>
      <c r="J918" s="3">
        <v>0.18</v>
      </c>
      <c r="K918" s="3">
        <v>0.18179999999999999</v>
      </c>
      <c r="L918" s="3">
        <v>0.26</v>
      </c>
      <c r="M918" s="3">
        <v>0.19400000000000001</v>
      </c>
      <c r="N918" s="3">
        <v>6</v>
      </c>
      <c r="O918" s="3">
        <v>159</v>
      </c>
      <c r="P918" s="51">
        <v>165</v>
      </c>
    </row>
    <row r="919" spans="1:16" x14ac:dyDescent="0.35">
      <c r="A919" s="49">
        <v>918</v>
      </c>
      <c r="B919" s="50">
        <v>40584</v>
      </c>
      <c r="C919" s="3">
        <v>1</v>
      </c>
      <c r="D919" s="3">
        <v>0</v>
      </c>
      <c r="E919" s="3" t="s">
        <v>105</v>
      </c>
      <c r="F919" s="3">
        <v>18</v>
      </c>
      <c r="G919" s="3" t="b">
        <v>0</v>
      </c>
      <c r="H919" s="3" t="s">
        <v>111</v>
      </c>
      <c r="I919" s="3" t="s">
        <v>113</v>
      </c>
      <c r="J919" s="3">
        <v>0.16</v>
      </c>
      <c r="K919" s="3">
        <v>0.18179999999999999</v>
      </c>
      <c r="L919" s="3">
        <v>0.28000000000000003</v>
      </c>
      <c r="M919" s="3">
        <v>0.1343</v>
      </c>
      <c r="N919" s="3">
        <v>3</v>
      </c>
      <c r="O919" s="3">
        <v>157</v>
      </c>
      <c r="P919" s="51">
        <v>160</v>
      </c>
    </row>
    <row r="920" spans="1:16" x14ac:dyDescent="0.35">
      <c r="A920" s="49">
        <v>919</v>
      </c>
      <c r="B920" s="50">
        <v>40584</v>
      </c>
      <c r="C920" s="3">
        <v>1</v>
      </c>
      <c r="D920" s="3">
        <v>0</v>
      </c>
      <c r="E920" s="3" t="s">
        <v>105</v>
      </c>
      <c r="F920" s="3">
        <v>19</v>
      </c>
      <c r="G920" s="3" t="b">
        <v>0</v>
      </c>
      <c r="H920" s="3" t="s">
        <v>111</v>
      </c>
      <c r="I920" s="3" t="s">
        <v>113</v>
      </c>
      <c r="J920" s="3">
        <v>0.14000000000000001</v>
      </c>
      <c r="K920" s="3">
        <v>0.16669999999999999</v>
      </c>
      <c r="L920" s="3">
        <v>0.28000000000000003</v>
      </c>
      <c r="M920" s="3">
        <v>0.1045</v>
      </c>
      <c r="N920" s="3">
        <v>2</v>
      </c>
      <c r="O920" s="3">
        <v>110</v>
      </c>
      <c r="P920" s="51">
        <v>112</v>
      </c>
    </row>
    <row r="921" spans="1:16" x14ac:dyDescent="0.35">
      <c r="A921" s="49">
        <v>920</v>
      </c>
      <c r="B921" s="50">
        <v>40584</v>
      </c>
      <c r="C921" s="3">
        <v>1</v>
      </c>
      <c r="D921" s="3">
        <v>0</v>
      </c>
      <c r="E921" s="3" t="s">
        <v>105</v>
      </c>
      <c r="F921" s="3">
        <v>20</v>
      </c>
      <c r="G921" s="3" t="b">
        <v>0</v>
      </c>
      <c r="H921" s="3" t="s">
        <v>111</v>
      </c>
      <c r="I921" s="3" t="s">
        <v>113</v>
      </c>
      <c r="J921" s="3">
        <v>0.14000000000000001</v>
      </c>
      <c r="K921" s="3">
        <v>0.18179999999999999</v>
      </c>
      <c r="L921" s="3">
        <v>0.31</v>
      </c>
      <c r="M921" s="3">
        <v>8.9599999999999999E-2</v>
      </c>
      <c r="N921" s="3">
        <v>4</v>
      </c>
      <c r="O921" s="3">
        <v>93</v>
      </c>
      <c r="P921" s="51">
        <v>97</v>
      </c>
    </row>
    <row r="922" spans="1:16" x14ac:dyDescent="0.35">
      <c r="A922" s="49">
        <v>921</v>
      </c>
      <c r="B922" s="50">
        <v>40584</v>
      </c>
      <c r="C922" s="3">
        <v>1</v>
      </c>
      <c r="D922" s="3">
        <v>0</v>
      </c>
      <c r="E922" s="3" t="s">
        <v>105</v>
      </c>
      <c r="F922" s="3">
        <v>21</v>
      </c>
      <c r="G922" s="3" t="b">
        <v>0</v>
      </c>
      <c r="H922" s="3" t="s">
        <v>111</v>
      </c>
      <c r="I922" s="3" t="s">
        <v>113</v>
      </c>
      <c r="J922" s="3">
        <v>0.14000000000000001</v>
      </c>
      <c r="K922" s="3">
        <v>0.21210000000000001</v>
      </c>
      <c r="L922" s="3">
        <v>0.39</v>
      </c>
      <c r="M922" s="3">
        <v>0</v>
      </c>
      <c r="N922" s="3">
        <v>2</v>
      </c>
      <c r="O922" s="3">
        <v>70</v>
      </c>
      <c r="P922" s="51">
        <v>72</v>
      </c>
    </row>
    <row r="923" spans="1:16" x14ac:dyDescent="0.35">
      <c r="A923" s="49">
        <v>922</v>
      </c>
      <c r="B923" s="50">
        <v>40584</v>
      </c>
      <c r="C923" s="3">
        <v>1</v>
      </c>
      <c r="D923" s="3">
        <v>0</v>
      </c>
      <c r="E923" s="3" t="s">
        <v>105</v>
      </c>
      <c r="F923" s="3">
        <v>22</v>
      </c>
      <c r="G923" s="3" t="b">
        <v>0</v>
      </c>
      <c r="H923" s="3" t="s">
        <v>111</v>
      </c>
      <c r="I923" s="3" t="s">
        <v>113</v>
      </c>
      <c r="J923" s="3">
        <v>0.12</v>
      </c>
      <c r="K923" s="3">
        <v>0.19700000000000001</v>
      </c>
      <c r="L923" s="3">
        <v>0.39</v>
      </c>
      <c r="M923" s="3">
        <v>0</v>
      </c>
      <c r="N923" s="3">
        <v>4</v>
      </c>
      <c r="O923" s="3">
        <v>47</v>
      </c>
      <c r="P923" s="51">
        <v>51</v>
      </c>
    </row>
    <row r="924" spans="1:16" x14ac:dyDescent="0.35">
      <c r="A924" s="49">
        <v>923</v>
      </c>
      <c r="B924" s="50">
        <v>40584</v>
      </c>
      <c r="C924" s="3">
        <v>1</v>
      </c>
      <c r="D924" s="3">
        <v>0</v>
      </c>
      <c r="E924" s="3" t="s">
        <v>105</v>
      </c>
      <c r="F924" s="3">
        <v>23</v>
      </c>
      <c r="G924" s="3" t="b">
        <v>0</v>
      </c>
      <c r="H924" s="3" t="s">
        <v>111</v>
      </c>
      <c r="I924" s="3" t="s">
        <v>113</v>
      </c>
      <c r="J924" s="3">
        <v>0.12</v>
      </c>
      <c r="K924" s="3">
        <v>0.1515</v>
      </c>
      <c r="L924" s="3">
        <v>0.42</v>
      </c>
      <c r="M924" s="3">
        <v>0.1045</v>
      </c>
      <c r="N924" s="3">
        <v>1</v>
      </c>
      <c r="O924" s="3">
        <v>33</v>
      </c>
      <c r="P924" s="51">
        <v>34</v>
      </c>
    </row>
    <row r="925" spans="1:16" x14ac:dyDescent="0.35">
      <c r="A925" s="49">
        <v>924</v>
      </c>
      <c r="B925" s="50">
        <v>40585</v>
      </c>
      <c r="C925" s="3">
        <v>1</v>
      </c>
      <c r="D925" s="3">
        <v>0</v>
      </c>
      <c r="E925" s="3" t="s">
        <v>105</v>
      </c>
      <c r="F925" s="3">
        <v>0</v>
      </c>
      <c r="G925" s="3" t="b">
        <v>0</v>
      </c>
      <c r="H925" s="3" t="s">
        <v>112</v>
      </c>
      <c r="I925" s="3" t="s">
        <v>113</v>
      </c>
      <c r="J925" s="3">
        <v>0.1</v>
      </c>
      <c r="K925" s="3">
        <v>0.13639999999999999</v>
      </c>
      <c r="L925" s="3">
        <v>0.49</v>
      </c>
      <c r="M925" s="3">
        <v>0.1045</v>
      </c>
      <c r="N925" s="3">
        <v>2</v>
      </c>
      <c r="O925" s="3">
        <v>12</v>
      </c>
      <c r="P925" s="51">
        <v>14</v>
      </c>
    </row>
    <row r="926" spans="1:16" x14ac:dyDescent="0.35">
      <c r="A926" s="49">
        <v>925</v>
      </c>
      <c r="B926" s="50">
        <v>40585</v>
      </c>
      <c r="C926" s="3">
        <v>1</v>
      </c>
      <c r="D926" s="3">
        <v>0</v>
      </c>
      <c r="E926" s="3" t="s">
        <v>105</v>
      </c>
      <c r="F926" s="3">
        <v>1</v>
      </c>
      <c r="G926" s="3" t="b">
        <v>0</v>
      </c>
      <c r="H926" s="3" t="s">
        <v>112</v>
      </c>
      <c r="I926" s="3" t="s">
        <v>113</v>
      </c>
      <c r="J926" s="3">
        <v>0.1</v>
      </c>
      <c r="K926" s="3">
        <v>0.13639999999999999</v>
      </c>
      <c r="L926" s="3">
        <v>0.54</v>
      </c>
      <c r="M926" s="3">
        <v>8.9599999999999999E-2</v>
      </c>
      <c r="N926" s="3">
        <v>1</v>
      </c>
      <c r="O926" s="3">
        <v>6</v>
      </c>
      <c r="P926" s="51">
        <v>7</v>
      </c>
    </row>
    <row r="927" spans="1:16" x14ac:dyDescent="0.35">
      <c r="A927" s="49">
        <v>926</v>
      </c>
      <c r="B927" s="50">
        <v>40585</v>
      </c>
      <c r="C927" s="3">
        <v>1</v>
      </c>
      <c r="D927" s="3">
        <v>0</v>
      </c>
      <c r="E927" s="3" t="s">
        <v>105</v>
      </c>
      <c r="F927" s="3">
        <v>2</v>
      </c>
      <c r="G927" s="3" t="b">
        <v>0</v>
      </c>
      <c r="H927" s="3" t="s">
        <v>112</v>
      </c>
      <c r="I927" s="3" t="s">
        <v>113</v>
      </c>
      <c r="J927" s="3">
        <v>0.1</v>
      </c>
      <c r="K927" s="3">
        <v>0.13639999999999999</v>
      </c>
      <c r="L927" s="3">
        <v>0.54</v>
      </c>
      <c r="M927" s="3">
        <v>8.9599999999999999E-2</v>
      </c>
      <c r="N927" s="3">
        <v>0</v>
      </c>
      <c r="O927" s="3">
        <v>3</v>
      </c>
      <c r="P927" s="51">
        <v>3</v>
      </c>
    </row>
    <row r="928" spans="1:16" x14ac:dyDescent="0.35">
      <c r="A928" s="49">
        <v>927</v>
      </c>
      <c r="B928" s="50">
        <v>40585</v>
      </c>
      <c r="C928" s="3">
        <v>1</v>
      </c>
      <c r="D928" s="3">
        <v>0</v>
      </c>
      <c r="E928" s="3" t="s">
        <v>105</v>
      </c>
      <c r="F928" s="3">
        <v>5</v>
      </c>
      <c r="G928" s="3" t="b">
        <v>0</v>
      </c>
      <c r="H928" s="3" t="s">
        <v>112</v>
      </c>
      <c r="I928" s="3" t="s">
        <v>113</v>
      </c>
      <c r="J928" s="3">
        <v>0.08</v>
      </c>
      <c r="K928" s="3">
        <v>0.1212</v>
      </c>
      <c r="L928" s="3">
        <v>0.63</v>
      </c>
      <c r="M928" s="3">
        <v>8.9599999999999999E-2</v>
      </c>
      <c r="N928" s="3">
        <v>0</v>
      </c>
      <c r="O928" s="3">
        <v>4</v>
      </c>
      <c r="P928" s="51">
        <v>4</v>
      </c>
    </row>
    <row r="929" spans="1:16" x14ac:dyDescent="0.35">
      <c r="A929" s="49">
        <v>928</v>
      </c>
      <c r="B929" s="50">
        <v>40585</v>
      </c>
      <c r="C929" s="3">
        <v>1</v>
      </c>
      <c r="D929" s="3">
        <v>0</v>
      </c>
      <c r="E929" s="3" t="s">
        <v>105</v>
      </c>
      <c r="F929" s="3">
        <v>6</v>
      </c>
      <c r="G929" s="3" t="b">
        <v>0</v>
      </c>
      <c r="H929" s="3" t="s">
        <v>112</v>
      </c>
      <c r="I929" s="3" t="s">
        <v>113</v>
      </c>
      <c r="J929" s="3">
        <v>0.1</v>
      </c>
      <c r="K929" s="3">
        <v>0.18179999999999999</v>
      </c>
      <c r="L929" s="3">
        <v>0.68</v>
      </c>
      <c r="M929" s="3">
        <v>0</v>
      </c>
      <c r="N929" s="3">
        <v>1</v>
      </c>
      <c r="O929" s="3">
        <v>23</v>
      </c>
      <c r="P929" s="51">
        <v>24</v>
      </c>
    </row>
    <row r="930" spans="1:16" x14ac:dyDescent="0.35">
      <c r="A930" s="49">
        <v>929</v>
      </c>
      <c r="B930" s="50">
        <v>40585</v>
      </c>
      <c r="C930" s="3">
        <v>1</v>
      </c>
      <c r="D930" s="3">
        <v>0</v>
      </c>
      <c r="E930" s="3" t="s">
        <v>105</v>
      </c>
      <c r="F930" s="3">
        <v>7</v>
      </c>
      <c r="G930" s="3" t="b">
        <v>0</v>
      </c>
      <c r="H930" s="3" t="s">
        <v>112</v>
      </c>
      <c r="I930" s="3" t="s">
        <v>113</v>
      </c>
      <c r="J930" s="3">
        <v>0.08</v>
      </c>
      <c r="K930" s="3">
        <v>0.16669999999999999</v>
      </c>
      <c r="L930" s="3">
        <v>0.73</v>
      </c>
      <c r="M930" s="3">
        <v>0</v>
      </c>
      <c r="N930" s="3">
        <v>1</v>
      </c>
      <c r="O930" s="3">
        <v>73</v>
      </c>
      <c r="P930" s="51">
        <v>74</v>
      </c>
    </row>
    <row r="931" spans="1:16" x14ac:dyDescent="0.35">
      <c r="A931" s="49">
        <v>930</v>
      </c>
      <c r="B931" s="50">
        <v>40585</v>
      </c>
      <c r="C931" s="3">
        <v>1</v>
      </c>
      <c r="D931" s="3">
        <v>0</v>
      </c>
      <c r="E931" s="3" t="s">
        <v>105</v>
      </c>
      <c r="F931" s="3">
        <v>8</v>
      </c>
      <c r="G931" s="3" t="b">
        <v>0</v>
      </c>
      <c r="H931" s="3" t="s">
        <v>112</v>
      </c>
      <c r="I931" s="3" t="s">
        <v>113</v>
      </c>
      <c r="J931" s="3">
        <v>0.1</v>
      </c>
      <c r="K931" s="3">
        <v>0.1212</v>
      </c>
      <c r="L931" s="3">
        <v>0.74</v>
      </c>
      <c r="M931" s="3">
        <v>0.16420000000000001</v>
      </c>
      <c r="N931" s="3">
        <v>4</v>
      </c>
      <c r="O931" s="3">
        <v>212</v>
      </c>
      <c r="P931" s="51">
        <v>216</v>
      </c>
    </row>
    <row r="932" spans="1:16" x14ac:dyDescent="0.35">
      <c r="A932" s="49">
        <v>931</v>
      </c>
      <c r="B932" s="50">
        <v>40585</v>
      </c>
      <c r="C932" s="3">
        <v>1</v>
      </c>
      <c r="D932" s="3">
        <v>0</v>
      </c>
      <c r="E932" s="3" t="s">
        <v>105</v>
      </c>
      <c r="F932" s="3">
        <v>9</v>
      </c>
      <c r="G932" s="3" t="b">
        <v>0</v>
      </c>
      <c r="H932" s="3" t="s">
        <v>112</v>
      </c>
      <c r="I932" s="3" t="s">
        <v>113</v>
      </c>
      <c r="J932" s="3">
        <v>0.12</v>
      </c>
      <c r="K932" s="3">
        <v>0.1212</v>
      </c>
      <c r="L932" s="3">
        <v>0.74</v>
      </c>
      <c r="M932" s="3">
        <v>0.22389999999999999</v>
      </c>
      <c r="N932" s="3">
        <v>8</v>
      </c>
      <c r="O932" s="3">
        <v>132</v>
      </c>
      <c r="P932" s="51">
        <v>140</v>
      </c>
    </row>
    <row r="933" spans="1:16" x14ac:dyDescent="0.35">
      <c r="A933" s="49">
        <v>932</v>
      </c>
      <c r="B933" s="50">
        <v>40585</v>
      </c>
      <c r="C933" s="3">
        <v>1</v>
      </c>
      <c r="D933" s="3">
        <v>0</v>
      </c>
      <c r="E933" s="3" t="s">
        <v>105</v>
      </c>
      <c r="F933" s="3">
        <v>10</v>
      </c>
      <c r="G933" s="3" t="b">
        <v>0</v>
      </c>
      <c r="H933" s="3" t="s">
        <v>112</v>
      </c>
      <c r="I933" s="3" t="s">
        <v>113</v>
      </c>
      <c r="J933" s="3">
        <v>0.14000000000000001</v>
      </c>
      <c r="K933" s="3">
        <v>0.13639999999999999</v>
      </c>
      <c r="L933" s="3">
        <v>0.69</v>
      </c>
      <c r="M933" s="3">
        <v>0.19400000000000001</v>
      </c>
      <c r="N933" s="3">
        <v>5</v>
      </c>
      <c r="O933" s="3">
        <v>39</v>
      </c>
      <c r="P933" s="51">
        <v>44</v>
      </c>
    </row>
    <row r="934" spans="1:16" x14ac:dyDescent="0.35">
      <c r="A934" s="49">
        <v>933</v>
      </c>
      <c r="B934" s="50">
        <v>40585</v>
      </c>
      <c r="C934" s="3">
        <v>1</v>
      </c>
      <c r="D934" s="3">
        <v>0</v>
      </c>
      <c r="E934" s="3" t="s">
        <v>105</v>
      </c>
      <c r="F934" s="3">
        <v>11</v>
      </c>
      <c r="G934" s="3" t="b">
        <v>0</v>
      </c>
      <c r="H934" s="3" t="s">
        <v>112</v>
      </c>
      <c r="I934" s="3" t="s">
        <v>113</v>
      </c>
      <c r="J934" s="3">
        <v>0.22</v>
      </c>
      <c r="K934" s="3">
        <v>0.2273</v>
      </c>
      <c r="L934" s="3">
        <v>0.47</v>
      </c>
      <c r="M934" s="3">
        <v>0.1343</v>
      </c>
      <c r="N934" s="3">
        <v>12</v>
      </c>
      <c r="O934" s="3">
        <v>52</v>
      </c>
      <c r="P934" s="51">
        <v>64</v>
      </c>
    </row>
    <row r="935" spans="1:16" x14ac:dyDescent="0.35">
      <c r="A935" s="49">
        <v>934</v>
      </c>
      <c r="B935" s="50">
        <v>40585</v>
      </c>
      <c r="C935" s="3">
        <v>1</v>
      </c>
      <c r="D935" s="3">
        <v>0</v>
      </c>
      <c r="E935" s="3" t="s">
        <v>105</v>
      </c>
      <c r="F935" s="3">
        <v>12</v>
      </c>
      <c r="G935" s="3" t="b">
        <v>0</v>
      </c>
      <c r="H935" s="3" t="s">
        <v>112</v>
      </c>
      <c r="I935" s="3" t="s">
        <v>113</v>
      </c>
      <c r="J935" s="3">
        <v>0.22</v>
      </c>
      <c r="K935" s="3">
        <v>0.2273</v>
      </c>
      <c r="L935" s="3">
        <v>0.47</v>
      </c>
      <c r="M935" s="3">
        <v>0.1343</v>
      </c>
      <c r="N935" s="3">
        <v>7</v>
      </c>
      <c r="O935" s="3">
        <v>64</v>
      </c>
      <c r="P935" s="51">
        <v>71</v>
      </c>
    </row>
    <row r="936" spans="1:16" x14ac:dyDescent="0.35">
      <c r="A936" s="49">
        <v>935</v>
      </c>
      <c r="B936" s="50">
        <v>40585</v>
      </c>
      <c r="C936" s="3">
        <v>1</v>
      </c>
      <c r="D936" s="3">
        <v>0</v>
      </c>
      <c r="E936" s="3" t="s">
        <v>105</v>
      </c>
      <c r="F936" s="3">
        <v>13</v>
      </c>
      <c r="G936" s="3" t="b">
        <v>0</v>
      </c>
      <c r="H936" s="3" t="s">
        <v>112</v>
      </c>
      <c r="I936" s="3" t="s">
        <v>113</v>
      </c>
      <c r="J936" s="3">
        <v>0.24</v>
      </c>
      <c r="K936" s="3">
        <v>0.2273</v>
      </c>
      <c r="L936" s="3">
        <v>0.35</v>
      </c>
      <c r="M936" s="3">
        <v>0.19400000000000001</v>
      </c>
      <c r="N936" s="3">
        <v>21</v>
      </c>
      <c r="O936" s="3">
        <v>89</v>
      </c>
      <c r="P936" s="51">
        <v>110</v>
      </c>
    </row>
    <row r="937" spans="1:16" x14ac:dyDescent="0.35">
      <c r="A937" s="49">
        <v>936</v>
      </c>
      <c r="B937" s="50">
        <v>40585</v>
      </c>
      <c r="C937" s="3">
        <v>1</v>
      </c>
      <c r="D937" s="3">
        <v>0</v>
      </c>
      <c r="E937" s="3" t="s">
        <v>105</v>
      </c>
      <c r="F937" s="3">
        <v>14</v>
      </c>
      <c r="G937" s="3" t="b">
        <v>0</v>
      </c>
      <c r="H937" s="3" t="s">
        <v>112</v>
      </c>
      <c r="I937" s="3" t="s">
        <v>113</v>
      </c>
      <c r="J937" s="3">
        <v>0.3</v>
      </c>
      <c r="K937" s="3">
        <v>0.28789999999999999</v>
      </c>
      <c r="L937" s="3">
        <v>0.26</v>
      </c>
      <c r="M937" s="3">
        <v>0.25369999999999998</v>
      </c>
      <c r="N937" s="3">
        <v>17</v>
      </c>
      <c r="O937" s="3">
        <v>67</v>
      </c>
      <c r="P937" s="51">
        <v>84</v>
      </c>
    </row>
    <row r="938" spans="1:16" x14ac:dyDescent="0.35">
      <c r="A938" s="49">
        <v>937</v>
      </c>
      <c r="B938" s="50">
        <v>40585</v>
      </c>
      <c r="C938" s="3">
        <v>1</v>
      </c>
      <c r="D938" s="3">
        <v>0</v>
      </c>
      <c r="E938" s="3" t="s">
        <v>105</v>
      </c>
      <c r="F938" s="3">
        <v>15</v>
      </c>
      <c r="G938" s="3" t="b">
        <v>0</v>
      </c>
      <c r="H938" s="3" t="s">
        <v>112</v>
      </c>
      <c r="I938" s="3" t="s">
        <v>113</v>
      </c>
      <c r="J938" s="3">
        <v>0.32</v>
      </c>
      <c r="K938" s="3">
        <v>0.31819999999999998</v>
      </c>
      <c r="L938" s="3">
        <v>0.21</v>
      </c>
      <c r="M938" s="3">
        <v>0.16420000000000001</v>
      </c>
      <c r="N938" s="3">
        <v>12</v>
      </c>
      <c r="O938" s="3">
        <v>62</v>
      </c>
      <c r="P938" s="51">
        <v>74</v>
      </c>
    </row>
    <row r="939" spans="1:16" x14ac:dyDescent="0.35">
      <c r="A939" s="49">
        <v>938</v>
      </c>
      <c r="B939" s="50">
        <v>40585</v>
      </c>
      <c r="C939" s="3">
        <v>1</v>
      </c>
      <c r="D939" s="3">
        <v>0</v>
      </c>
      <c r="E939" s="3" t="s">
        <v>105</v>
      </c>
      <c r="F939" s="3">
        <v>16</v>
      </c>
      <c r="G939" s="3" t="b">
        <v>0</v>
      </c>
      <c r="H939" s="3" t="s">
        <v>112</v>
      </c>
      <c r="I939" s="3" t="s">
        <v>113</v>
      </c>
      <c r="J939" s="3">
        <v>0.3</v>
      </c>
      <c r="K939" s="3">
        <v>0.28789999999999999</v>
      </c>
      <c r="L939" s="3">
        <v>0.28000000000000003</v>
      </c>
      <c r="M939" s="3">
        <v>0.19400000000000001</v>
      </c>
      <c r="N939" s="3">
        <v>14</v>
      </c>
      <c r="O939" s="3">
        <v>111</v>
      </c>
      <c r="P939" s="51">
        <v>125</v>
      </c>
    </row>
    <row r="940" spans="1:16" x14ac:dyDescent="0.35">
      <c r="A940" s="49">
        <v>939</v>
      </c>
      <c r="B940" s="50">
        <v>40585</v>
      </c>
      <c r="C940" s="3">
        <v>1</v>
      </c>
      <c r="D940" s="3">
        <v>0</v>
      </c>
      <c r="E940" s="3" t="s">
        <v>105</v>
      </c>
      <c r="F940" s="3">
        <v>17</v>
      </c>
      <c r="G940" s="3" t="b">
        <v>0</v>
      </c>
      <c r="H940" s="3" t="s">
        <v>112</v>
      </c>
      <c r="I940" s="3" t="s">
        <v>113</v>
      </c>
      <c r="J940" s="3">
        <v>0.3</v>
      </c>
      <c r="K940" s="3">
        <v>0.33329999999999999</v>
      </c>
      <c r="L940" s="3">
        <v>0.24</v>
      </c>
      <c r="M940" s="3">
        <v>0</v>
      </c>
      <c r="N940" s="3">
        <v>18</v>
      </c>
      <c r="O940" s="3">
        <v>193</v>
      </c>
      <c r="P940" s="51">
        <v>211</v>
      </c>
    </row>
    <row r="941" spans="1:16" x14ac:dyDescent="0.35">
      <c r="A941" s="49">
        <v>940</v>
      </c>
      <c r="B941" s="50">
        <v>40585</v>
      </c>
      <c r="C941" s="3">
        <v>1</v>
      </c>
      <c r="D941" s="3">
        <v>0</v>
      </c>
      <c r="E941" s="3" t="s">
        <v>105</v>
      </c>
      <c r="F941" s="3">
        <v>18</v>
      </c>
      <c r="G941" s="3" t="b">
        <v>0</v>
      </c>
      <c r="H941" s="3" t="s">
        <v>112</v>
      </c>
      <c r="I941" s="3" t="s">
        <v>113</v>
      </c>
      <c r="J941" s="3">
        <v>0.28000000000000003</v>
      </c>
      <c r="K941" s="3">
        <v>0.31819999999999998</v>
      </c>
      <c r="L941" s="3">
        <v>0.28000000000000003</v>
      </c>
      <c r="M941" s="3">
        <v>0</v>
      </c>
      <c r="N941" s="3">
        <v>9</v>
      </c>
      <c r="O941" s="3">
        <v>165</v>
      </c>
      <c r="P941" s="51">
        <v>174</v>
      </c>
    </row>
    <row r="942" spans="1:16" x14ac:dyDescent="0.35">
      <c r="A942" s="49">
        <v>941</v>
      </c>
      <c r="B942" s="50">
        <v>40585</v>
      </c>
      <c r="C942" s="3">
        <v>1</v>
      </c>
      <c r="D942" s="3">
        <v>0</v>
      </c>
      <c r="E942" s="3" t="s">
        <v>105</v>
      </c>
      <c r="F942" s="3">
        <v>19</v>
      </c>
      <c r="G942" s="3" t="b">
        <v>0</v>
      </c>
      <c r="H942" s="3" t="s">
        <v>112</v>
      </c>
      <c r="I942" s="3" t="s">
        <v>113</v>
      </c>
      <c r="J942" s="3">
        <v>0.26</v>
      </c>
      <c r="K942" s="3">
        <v>0.30299999999999999</v>
      </c>
      <c r="L942" s="3">
        <v>0.33</v>
      </c>
      <c r="M942" s="3">
        <v>0</v>
      </c>
      <c r="N942" s="3">
        <v>7</v>
      </c>
      <c r="O942" s="3">
        <v>94</v>
      </c>
      <c r="P942" s="51">
        <v>101</v>
      </c>
    </row>
    <row r="943" spans="1:16" x14ac:dyDescent="0.35">
      <c r="A943" s="49">
        <v>942</v>
      </c>
      <c r="B943" s="50">
        <v>40585</v>
      </c>
      <c r="C943" s="3">
        <v>1</v>
      </c>
      <c r="D943" s="3">
        <v>0</v>
      </c>
      <c r="E943" s="3" t="s">
        <v>105</v>
      </c>
      <c r="F943" s="3">
        <v>20</v>
      </c>
      <c r="G943" s="3" t="b">
        <v>0</v>
      </c>
      <c r="H943" s="3" t="s">
        <v>112</v>
      </c>
      <c r="I943" s="3" t="s">
        <v>113</v>
      </c>
      <c r="J943" s="3">
        <v>0.22</v>
      </c>
      <c r="K943" s="3">
        <v>0.2273</v>
      </c>
      <c r="L943" s="3">
        <v>0.55000000000000004</v>
      </c>
      <c r="M943" s="3">
        <v>0.1343</v>
      </c>
      <c r="N943" s="3">
        <v>2</v>
      </c>
      <c r="O943" s="3">
        <v>61</v>
      </c>
      <c r="P943" s="51">
        <v>63</v>
      </c>
    </row>
    <row r="944" spans="1:16" x14ac:dyDescent="0.35">
      <c r="A944" s="49">
        <v>943</v>
      </c>
      <c r="B944" s="50">
        <v>40585</v>
      </c>
      <c r="C944" s="3">
        <v>1</v>
      </c>
      <c r="D944" s="3">
        <v>0</v>
      </c>
      <c r="E944" s="3" t="s">
        <v>105</v>
      </c>
      <c r="F944" s="3">
        <v>21</v>
      </c>
      <c r="G944" s="3" t="b">
        <v>0</v>
      </c>
      <c r="H944" s="3" t="s">
        <v>112</v>
      </c>
      <c r="I944" s="3" t="s">
        <v>113</v>
      </c>
      <c r="J944" s="3">
        <v>0.2</v>
      </c>
      <c r="K944" s="3">
        <v>0.21210000000000001</v>
      </c>
      <c r="L944" s="3">
        <v>0.59</v>
      </c>
      <c r="M944" s="3">
        <v>0.1343</v>
      </c>
      <c r="N944" s="3">
        <v>1</v>
      </c>
      <c r="O944" s="3">
        <v>46</v>
      </c>
      <c r="P944" s="51">
        <v>47</v>
      </c>
    </row>
    <row r="945" spans="1:16" x14ac:dyDescent="0.35">
      <c r="A945" s="49">
        <v>944</v>
      </c>
      <c r="B945" s="50">
        <v>40585</v>
      </c>
      <c r="C945" s="3">
        <v>1</v>
      </c>
      <c r="D945" s="3">
        <v>0</v>
      </c>
      <c r="E945" s="3" t="s">
        <v>105</v>
      </c>
      <c r="F945" s="3">
        <v>22</v>
      </c>
      <c r="G945" s="3" t="b">
        <v>0</v>
      </c>
      <c r="H945" s="3" t="s">
        <v>112</v>
      </c>
      <c r="I945" s="3" t="s">
        <v>113</v>
      </c>
      <c r="J945" s="3">
        <v>0.2</v>
      </c>
      <c r="K945" s="3">
        <v>0.2273</v>
      </c>
      <c r="L945" s="3">
        <v>0.64</v>
      </c>
      <c r="M945" s="3">
        <v>8.9599999999999999E-2</v>
      </c>
      <c r="N945" s="3">
        <v>2</v>
      </c>
      <c r="O945" s="3">
        <v>41</v>
      </c>
      <c r="P945" s="51">
        <v>43</v>
      </c>
    </row>
    <row r="946" spans="1:16" x14ac:dyDescent="0.35">
      <c r="A946" s="49">
        <v>945</v>
      </c>
      <c r="B946" s="50">
        <v>40585</v>
      </c>
      <c r="C946" s="3">
        <v>1</v>
      </c>
      <c r="D946" s="3">
        <v>0</v>
      </c>
      <c r="E946" s="3" t="s">
        <v>105</v>
      </c>
      <c r="F946" s="3">
        <v>23</v>
      </c>
      <c r="G946" s="3" t="b">
        <v>0</v>
      </c>
      <c r="H946" s="3" t="s">
        <v>112</v>
      </c>
      <c r="I946" s="3" t="s">
        <v>113</v>
      </c>
      <c r="J946" s="3">
        <v>0.18</v>
      </c>
      <c r="K946" s="3">
        <v>0.2424</v>
      </c>
      <c r="L946" s="3">
        <v>0.69</v>
      </c>
      <c r="M946" s="3">
        <v>0</v>
      </c>
      <c r="N946" s="3">
        <v>5</v>
      </c>
      <c r="O946" s="3">
        <v>48</v>
      </c>
      <c r="P946" s="51">
        <v>53</v>
      </c>
    </row>
    <row r="947" spans="1:16" x14ac:dyDescent="0.35">
      <c r="A947" s="49">
        <v>946</v>
      </c>
      <c r="B947" s="50">
        <v>40586</v>
      </c>
      <c r="C947" s="3">
        <v>1</v>
      </c>
      <c r="D947" s="3">
        <v>0</v>
      </c>
      <c r="E947" s="3" t="s">
        <v>105</v>
      </c>
      <c r="F947" s="3">
        <v>0</v>
      </c>
      <c r="G947" s="3" t="b">
        <v>0</v>
      </c>
      <c r="H947" s="3" t="s">
        <v>106</v>
      </c>
      <c r="I947" s="3" t="s">
        <v>113</v>
      </c>
      <c r="J947" s="3">
        <v>0.16</v>
      </c>
      <c r="K947" s="3">
        <v>0.19700000000000001</v>
      </c>
      <c r="L947" s="3">
        <v>0.69</v>
      </c>
      <c r="M947" s="3">
        <v>8.9599999999999999E-2</v>
      </c>
      <c r="N947" s="3">
        <v>3</v>
      </c>
      <c r="O947" s="3">
        <v>27</v>
      </c>
      <c r="P947" s="51">
        <v>30</v>
      </c>
    </row>
    <row r="948" spans="1:16" x14ac:dyDescent="0.35">
      <c r="A948" s="49">
        <v>947</v>
      </c>
      <c r="B948" s="50">
        <v>40586</v>
      </c>
      <c r="C948" s="3">
        <v>1</v>
      </c>
      <c r="D948" s="3">
        <v>0</v>
      </c>
      <c r="E948" s="3" t="s">
        <v>105</v>
      </c>
      <c r="F948" s="3">
        <v>1</v>
      </c>
      <c r="G948" s="3" t="b">
        <v>0</v>
      </c>
      <c r="H948" s="3" t="s">
        <v>106</v>
      </c>
      <c r="I948" s="3" t="s">
        <v>113</v>
      </c>
      <c r="J948" s="3">
        <v>0.14000000000000001</v>
      </c>
      <c r="K948" s="3">
        <v>0.21210000000000001</v>
      </c>
      <c r="L948" s="3">
        <v>0.86</v>
      </c>
      <c r="M948" s="3">
        <v>0</v>
      </c>
      <c r="N948" s="3">
        <v>2</v>
      </c>
      <c r="O948" s="3">
        <v>22</v>
      </c>
      <c r="P948" s="51">
        <v>24</v>
      </c>
    </row>
    <row r="949" spans="1:16" x14ac:dyDescent="0.35">
      <c r="A949" s="49">
        <v>948</v>
      </c>
      <c r="B949" s="50">
        <v>40586</v>
      </c>
      <c r="C949" s="3">
        <v>1</v>
      </c>
      <c r="D949" s="3">
        <v>0</v>
      </c>
      <c r="E949" s="3" t="s">
        <v>105</v>
      </c>
      <c r="F949" s="3">
        <v>2</v>
      </c>
      <c r="G949" s="3" t="b">
        <v>0</v>
      </c>
      <c r="H949" s="3" t="s">
        <v>106</v>
      </c>
      <c r="I949" s="3" t="s">
        <v>113</v>
      </c>
      <c r="J949" s="3">
        <v>0.14000000000000001</v>
      </c>
      <c r="K949" s="3">
        <v>0.21210000000000001</v>
      </c>
      <c r="L949" s="3">
        <v>0.8</v>
      </c>
      <c r="M949" s="3">
        <v>0</v>
      </c>
      <c r="N949" s="3">
        <v>2</v>
      </c>
      <c r="O949" s="3">
        <v>13</v>
      </c>
      <c r="P949" s="51">
        <v>15</v>
      </c>
    </row>
    <row r="950" spans="1:16" x14ac:dyDescent="0.35">
      <c r="A950" s="49">
        <v>949</v>
      </c>
      <c r="B950" s="50">
        <v>40586</v>
      </c>
      <c r="C950" s="3">
        <v>1</v>
      </c>
      <c r="D950" s="3">
        <v>0</v>
      </c>
      <c r="E950" s="3" t="s">
        <v>105</v>
      </c>
      <c r="F950" s="3">
        <v>3</v>
      </c>
      <c r="G950" s="3" t="b">
        <v>0</v>
      </c>
      <c r="H950" s="3" t="s">
        <v>106</v>
      </c>
      <c r="I950" s="3" t="s">
        <v>113</v>
      </c>
      <c r="J950" s="3">
        <v>0.12</v>
      </c>
      <c r="K950" s="3">
        <v>0.19700000000000001</v>
      </c>
      <c r="L950" s="3">
        <v>0.8</v>
      </c>
      <c r="M950" s="3">
        <v>0</v>
      </c>
      <c r="N950" s="3">
        <v>3</v>
      </c>
      <c r="O950" s="3">
        <v>7</v>
      </c>
      <c r="P950" s="51">
        <v>10</v>
      </c>
    </row>
    <row r="951" spans="1:16" x14ac:dyDescent="0.35">
      <c r="A951" s="49">
        <v>950</v>
      </c>
      <c r="B951" s="50">
        <v>40586</v>
      </c>
      <c r="C951" s="3">
        <v>1</v>
      </c>
      <c r="D951" s="3">
        <v>0</v>
      </c>
      <c r="E951" s="3" t="s">
        <v>105</v>
      </c>
      <c r="F951" s="3">
        <v>4</v>
      </c>
      <c r="G951" s="3" t="b">
        <v>0</v>
      </c>
      <c r="H951" s="3" t="s">
        <v>106</v>
      </c>
      <c r="I951" s="3" t="s">
        <v>113</v>
      </c>
      <c r="J951" s="3">
        <v>0.12</v>
      </c>
      <c r="K951" s="3">
        <v>0.16669999999999999</v>
      </c>
      <c r="L951" s="3">
        <v>0.74</v>
      </c>
      <c r="M951" s="3">
        <v>8.9599999999999999E-2</v>
      </c>
      <c r="N951" s="3">
        <v>0</v>
      </c>
      <c r="O951" s="3">
        <v>4</v>
      </c>
      <c r="P951" s="51">
        <v>4</v>
      </c>
    </row>
    <row r="952" spans="1:16" x14ac:dyDescent="0.35">
      <c r="A952" s="49">
        <v>951</v>
      </c>
      <c r="B952" s="50">
        <v>40586</v>
      </c>
      <c r="C952" s="3">
        <v>1</v>
      </c>
      <c r="D952" s="3">
        <v>0</v>
      </c>
      <c r="E952" s="3" t="s">
        <v>105</v>
      </c>
      <c r="F952" s="3">
        <v>5</v>
      </c>
      <c r="G952" s="3" t="b">
        <v>0</v>
      </c>
      <c r="H952" s="3" t="s">
        <v>106</v>
      </c>
      <c r="I952" s="3" t="s">
        <v>113</v>
      </c>
      <c r="J952" s="3">
        <v>0.12</v>
      </c>
      <c r="K952" s="3">
        <v>0.16669999999999999</v>
      </c>
      <c r="L952" s="3">
        <v>0.74</v>
      </c>
      <c r="M952" s="3">
        <v>8.9599999999999999E-2</v>
      </c>
      <c r="N952" s="3">
        <v>0</v>
      </c>
      <c r="O952" s="3">
        <v>1</v>
      </c>
      <c r="P952" s="51">
        <v>1</v>
      </c>
    </row>
    <row r="953" spans="1:16" x14ac:dyDescent="0.35">
      <c r="A953" s="49">
        <v>952</v>
      </c>
      <c r="B953" s="50">
        <v>40586</v>
      </c>
      <c r="C953" s="3">
        <v>1</v>
      </c>
      <c r="D953" s="3">
        <v>0</v>
      </c>
      <c r="E953" s="3" t="s">
        <v>105</v>
      </c>
      <c r="F953" s="3">
        <v>6</v>
      </c>
      <c r="G953" s="3" t="b">
        <v>0</v>
      </c>
      <c r="H953" s="3" t="s">
        <v>106</v>
      </c>
      <c r="I953" s="3" t="s">
        <v>113</v>
      </c>
      <c r="J953" s="3">
        <v>0.12</v>
      </c>
      <c r="K953" s="3">
        <v>0.13639999999999999</v>
      </c>
      <c r="L953" s="3">
        <v>0.93</v>
      </c>
      <c r="M953" s="3">
        <v>0.19400000000000001</v>
      </c>
      <c r="N953" s="3">
        <v>1</v>
      </c>
      <c r="O953" s="3">
        <v>1</v>
      </c>
      <c r="P953" s="51">
        <v>2</v>
      </c>
    </row>
    <row r="954" spans="1:16" x14ac:dyDescent="0.35">
      <c r="A954" s="49">
        <v>953</v>
      </c>
      <c r="B954" s="50">
        <v>40586</v>
      </c>
      <c r="C954" s="3">
        <v>1</v>
      </c>
      <c r="D954" s="3">
        <v>0</v>
      </c>
      <c r="E954" s="3" t="s">
        <v>105</v>
      </c>
      <c r="F954" s="3">
        <v>7</v>
      </c>
      <c r="G954" s="3" t="b">
        <v>0</v>
      </c>
      <c r="H954" s="3" t="s">
        <v>106</v>
      </c>
      <c r="I954" s="3" t="s">
        <v>113</v>
      </c>
      <c r="J954" s="3">
        <v>0.12</v>
      </c>
      <c r="K954" s="3">
        <v>0.1515</v>
      </c>
      <c r="L954" s="3">
        <v>0.8</v>
      </c>
      <c r="M954" s="3">
        <v>0.1045</v>
      </c>
      <c r="N954" s="3">
        <v>2</v>
      </c>
      <c r="O954" s="3">
        <v>9</v>
      </c>
      <c r="P954" s="51">
        <v>11</v>
      </c>
    </row>
    <row r="955" spans="1:16" x14ac:dyDescent="0.35">
      <c r="A955" s="49">
        <v>954</v>
      </c>
      <c r="B955" s="50">
        <v>40586</v>
      </c>
      <c r="C955" s="3">
        <v>1</v>
      </c>
      <c r="D955" s="3">
        <v>0</v>
      </c>
      <c r="E955" s="3" t="s">
        <v>105</v>
      </c>
      <c r="F955" s="3">
        <v>8</v>
      </c>
      <c r="G955" s="3" t="b">
        <v>0</v>
      </c>
      <c r="H955" s="3" t="s">
        <v>106</v>
      </c>
      <c r="I955" s="3" t="s">
        <v>113</v>
      </c>
      <c r="J955" s="3">
        <v>0.14000000000000001</v>
      </c>
      <c r="K955" s="3">
        <v>0.1515</v>
      </c>
      <c r="L955" s="3">
        <v>0.86</v>
      </c>
      <c r="M955" s="3">
        <v>0.1343</v>
      </c>
      <c r="N955" s="3">
        <v>2</v>
      </c>
      <c r="O955" s="3">
        <v>28</v>
      </c>
      <c r="P955" s="51">
        <v>30</v>
      </c>
    </row>
    <row r="956" spans="1:16" x14ac:dyDescent="0.35">
      <c r="A956" s="49">
        <v>955</v>
      </c>
      <c r="B956" s="50">
        <v>40586</v>
      </c>
      <c r="C956" s="3">
        <v>1</v>
      </c>
      <c r="D956" s="3">
        <v>0</v>
      </c>
      <c r="E956" s="3" t="s">
        <v>105</v>
      </c>
      <c r="F956" s="3">
        <v>9</v>
      </c>
      <c r="G956" s="3" t="b">
        <v>0</v>
      </c>
      <c r="H956" s="3" t="s">
        <v>106</v>
      </c>
      <c r="I956" s="3" t="s">
        <v>113</v>
      </c>
      <c r="J956" s="3">
        <v>0.16</v>
      </c>
      <c r="K956" s="3">
        <v>0.18179999999999999</v>
      </c>
      <c r="L956" s="3">
        <v>0.64</v>
      </c>
      <c r="M956" s="3">
        <v>0.1343</v>
      </c>
      <c r="N956" s="3">
        <v>5</v>
      </c>
      <c r="O956" s="3">
        <v>38</v>
      </c>
      <c r="P956" s="51">
        <v>43</v>
      </c>
    </row>
    <row r="957" spans="1:16" x14ac:dyDescent="0.35">
      <c r="A957" s="49">
        <v>956</v>
      </c>
      <c r="B957" s="50">
        <v>40586</v>
      </c>
      <c r="C957" s="3">
        <v>1</v>
      </c>
      <c r="D957" s="3">
        <v>0</v>
      </c>
      <c r="E957" s="3" t="s">
        <v>105</v>
      </c>
      <c r="F957" s="3">
        <v>10</v>
      </c>
      <c r="G957" s="3" t="b">
        <v>0</v>
      </c>
      <c r="H957" s="3" t="s">
        <v>106</v>
      </c>
      <c r="I957" s="3" t="s">
        <v>113</v>
      </c>
      <c r="J957" s="3">
        <v>0.22</v>
      </c>
      <c r="K957" s="3">
        <v>0.21210000000000001</v>
      </c>
      <c r="L957" s="3">
        <v>0.41</v>
      </c>
      <c r="M957" s="3">
        <v>0.25369999999999998</v>
      </c>
      <c r="N957" s="3">
        <v>13</v>
      </c>
      <c r="O957" s="3">
        <v>71</v>
      </c>
      <c r="P957" s="51">
        <v>84</v>
      </c>
    </row>
    <row r="958" spans="1:16" x14ac:dyDescent="0.35">
      <c r="A958" s="49">
        <v>957</v>
      </c>
      <c r="B958" s="50">
        <v>40586</v>
      </c>
      <c r="C958" s="3">
        <v>1</v>
      </c>
      <c r="D958" s="3">
        <v>0</v>
      </c>
      <c r="E958" s="3" t="s">
        <v>105</v>
      </c>
      <c r="F958" s="3">
        <v>11</v>
      </c>
      <c r="G958" s="3" t="b">
        <v>0</v>
      </c>
      <c r="H958" s="3" t="s">
        <v>106</v>
      </c>
      <c r="I958" s="3" t="s">
        <v>113</v>
      </c>
      <c r="J958" s="3">
        <v>0.3</v>
      </c>
      <c r="K958" s="3">
        <v>0.2727</v>
      </c>
      <c r="L958" s="3">
        <v>0.28000000000000003</v>
      </c>
      <c r="M958" s="3">
        <v>0.32840000000000003</v>
      </c>
      <c r="N958" s="3">
        <v>30</v>
      </c>
      <c r="O958" s="3">
        <v>84</v>
      </c>
      <c r="P958" s="51">
        <v>114</v>
      </c>
    </row>
    <row r="959" spans="1:16" x14ac:dyDescent="0.35">
      <c r="A959" s="49">
        <v>958</v>
      </c>
      <c r="B959" s="50">
        <v>40586</v>
      </c>
      <c r="C959" s="3">
        <v>1</v>
      </c>
      <c r="D959" s="3">
        <v>0</v>
      </c>
      <c r="E959" s="3" t="s">
        <v>105</v>
      </c>
      <c r="F959" s="3">
        <v>12</v>
      </c>
      <c r="G959" s="3" t="b">
        <v>0</v>
      </c>
      <c r="H959" s="3" t="s">
        <v>106</v>
      </c>
      <c r="I959" s="3" t="s">
        <v>113</v>
      </c>
      <c r="J959" s="3">
        <v>0.3</v>
      </c>
      <c r="K959" s="3">
        <v>0.2727</v>
      </c>
      <c r="L959" s="3">
        <v>0.39</v>
      </c>
      <c r="M959" s="3">
        <v>0.4627</v>
      </c>
      <c r="N959" s="3">
        <v>27</v>
      </c>
      <c r="O959" s="3">
        <v>93</v>
      </c>
      <c r="P959" s="51">
        <v>120</v>
      </c>
    </row>
    <row r="960" spans="1:16" x14ac:dyDescent="0.35">
      <c r="A960" s="49">
        <v>959</v>
      </c>
      <c r="B960" s="50">
        <v>40586</v>
      </c>
      <c r="C960" s="3">
        <v>1</v>
      </c>
      <c r="D960" s="3">
        <v>0</v>
      </c>
      <c r="E960" s="3" t="s">
        <v>105</v>
      </c>
      <c r="F960" s="3">
        <v>13</v>
      </c>
      <c r="G960" s="3" t="b">
        <v>0</v>
      </c>
      <c r="H960" s="3" t="s">
        <v>106</v>
      </c>
      <c r="I960" s="3" t="s">
        <v>113</v>
      </c>
      <c r="J960" s="3">
        <v>0.3</v>
      </c>
      <c r="K960" s="3">
        <v>0.2727</v>
      </c>
      <c r="L960" s="3">
        <v>0.39</v>
      </c>
      <c r="M960" s="3">
        <v>0.41789999999999999</v>
      </c>
      <c r="N960" s="3">
        <v>32</v>
      </c>
      <c r="O960" s="3">
        <v>103</v>
      </c>
      <c r="P960" s="51">
        <v>135</v>
      </c>
    </row>
    <row r="961" spans="1:16" x14ac:dyDescent="0.35">
      <c r="A961" s="49">
        <v>960</v>
      </c>
      <c r="B961" s="50">
        <v>40586</v>
      </c>
      <c r="C961" s="3">
        <v>1</v>
      </c>
      <c r="D961" s="3">
        <v>0</v>
      </c>
      <c r="E961" s="3" t="s">
        <v>105</v>
      </c>
      <c r="F961" s="3">
        <v>14</v>
      </c>
      <c r="G961" s="3" t="b">
        <v>0</v>
      </c>
      <c r="H961" s="3" t="s">
        <v>106</v>
      </c>
      <c r="I961" s="3" t="s">
        <v>113</v>
      </c>
      <c r="J961" s="3">
        <v>0.34</v>
      </c>
      <c r="K961" s="3">
        <v>0.31819999999999998</v>
      </c>
      <c r="L961" s="3">
        <v>0.31</v>
      </c>
      <c r="M961" s="3">
        <v>0.28360000000000002</v>
      </c>
      <c r="N961" s="3">
        <v>30</v>
      </c>
      <c r="O961" s="3">
        <v>90</v>
      </c>
      <c r="P961" s="51">
        <v>120</v>
      </c>
    </row>
    <row r="962" spans="1:16" x14ac:dyDescent="0.35">
      <c r="A962" s="49">
        <v>961</v>
      </c>
      <c r="B962" s="50">
        <v>40586</v>
      </c>
      <c r="C962" s="3">
        <v>1</v>
      </c>
      <c r="D962" s="3">
        <v>0</v>
      </c>
      <c r="E962" s="3" t="s">
        <v>105</v>
      </c>
      <c r="F962" s="3">
        <v>15</v>
      </c>
      <c r="G962" s="3" t="b">
        <v>0</v>
      </c>
      <c r="H962" s="3" t="s">
        <v>106</v>
      </c>
      <c r="I962" s="3" t="s">
        <v>113</v>
      </c>
      <c r="J962" s="3">
        <v>0.34</v>
      </c>
      <c r="K962" s="3">
        <v>0.30299999999999999</v>
      </c>
      <c r="L962" s="3">
        <v>0.28999999999999998</v>
      </c>
      <c r="M962" s="3">
        <v>0.41789999999999999</v>
      </c>
      <c r="N962" s="3">
        <v>47</v>
      </c>
      <c r="O962" s="3">
        <v>127</v>
      </c>
      <c r="P962" s="51">
        <v>174</v>
      </c>
    </row>
    <row r="963" spans="1:16" x14ac:dyDescent="0.35">
      <c r="A963" s="49">
        <v>962</v>
      </c>
      <c r="B963" s="50">
        <v>40586</v>
      </c>
      <c r="C963" s="3">
        <v>1</v>
      </c>
      <c r="D963" s="3">
        <v>0</v>
      </c>
      <c r="E963" s="3" t="s">
        <v>105</v>
      </c>
      <c r="F963" s="3">
        <v>16</v>
      </c>
      <c r="G963" s="3" t="b">
        <v>0</v>
      </c>
      <c r="H963" s="3" t="s">
        <v>106</v>
      </c>
      <c r="I963" s="3" t="s">
        <v>113</v>
      </c>
      <c r="J963" s="3">
        <v>0.34</v>
      </c>
      <c r="K963" s="3">
        <v>0.30299999999999999</v>
      </c>
      <c r="L963" s="3">
        <v>0.28999999999999998</v>
      </c>
      <c r="M963" s="3">
        <v>0.41789999999999999</v>
      </c>
      <c r="N963" s="3">
        <v>42</v>
      </c>
      <c r="O963" s="3">
        <v>103</v>
      </c>
      <c r="P963" s="51">
        <v>145</v>
      </c>
    </row>
    <row r="964" spans="1:16" x14ac:dyDescent="0.35">
      <c r="A964" s="49">
        <v>963</v>
      </c>
      <c r="B964" s="50">
        <v>40586</v>
      </c>
      <c r="C964" s="3">
        <v>1</v>
      </c>
      <c r="D964" s="3">
        <v>0</v>
      </c>
      <c r="E964" s="3" t="s">
        <v>105</v>
      </c>
      <c r="F964" s="3">
        <v>17</v>
      </c>
      <c r="G964" s="3" t="b">
        <v>0</v>
      </c>
      <c r="H964" s="3" t="s">
        <v>106</v>
      </c>
      <c r="I964" s="3" t="s">
        <v>113</v>
      </c>
      <c r="J964" s="3">
        <v>0.32</v>
      </c>
      <c r="K964" s="3">
        <v>0.28789999999999999</v>
      </c>
      <c r="L964" s="3">
        <v>0.31</v>
      </c>
      <c r="M964" s="3">
        <v>0.52239999999999998</v>
      </c>
      <c r="N964" s="3">
        <v>24</v>
      </c>
      <c r="O964" s="3">
        <v>113</v>
      </c>
      <c r="P964" s="51">
        <v>137</v>
      </c>
    </row>
    <row r="965" spans="1:16" x14ac:dyDescent="0.35">
      <c r="A965" s="49">
        <v>964</v>
      </c>
      <c r="B965" s="50">
        <v>40586</v>
      </c>
      <c r="C965" s="3">
        <v>1</v>
      </c>
      <c r="D965" s="3">
        <v>0</v>
      </c>
      <c r="E965" s="3" t="s">
        <v>105</v>
      </c>
      <c r="F965" s="3">
        <v>18</v>
      </c>
      <c r="G965" s="3" t="b">
        <v>0</v>
      </c>
      <c r="H965" s="3" t="s">
        <v>106</v>
      </c>
      <c r="I965" s="3" t="s">
        <v>113</v>
      </c>
      <c r="J965" s="3">
        <v>0.28000000000000003</v>
      </c>
      <c r="K965" s="3">
        <v>0.2576</v>
      </c>
      <c r="L965" s="3">
        <v>0.38</v>
      </c>
      <c r="M965" s="3">
        <v>0.32840000000000003</v>
      </c>
      <c r="N965" s="3">
        <v>4</v>
      </c>
      <c r="O965" s="3">
        <v>60</v>
      </c>
      <c r="P965" s="51">
        <v>64</v>
      </c>
    </row>
    <row r="966" spans="1:16" x14ac:dyDescent="0.35">
      <c r="A966" s="49">
        <v>965</v>
      </c>
      <c r="B966" s="50">
        <v>40586</v>
      </c>
      <c r="C966" s="3">
        <v>1</v>
      </c>
      <c r="D966" s="3">
        <v>0</v>
      </c>
      <c r="E966" s="3" t="s">
        <v>105</v>
      </c>
      <c r="F966" s="3">
        <v>19</v>
      </c>
      <c r="G966" s="3" t="b">
        <v>0</v>
      </c>
      <c r="H966" s="3" t="s">
        <v>106</v>
      </c>
      <c r="I966" s="3" t="s">
        <v>113</v>
      </c>
      <c r="J966" s="3">
        <v>0.28000000000000003</v>
      </c>
      <c r="K966" s="3">
        <v>0.2727</v>
      </c>
      <c r="L966" s="3">
        <v>0.38</v>
      </c>
      <c r="M966" s="3">
        <v>0.16420000000000001</v>
      </c>
      <c r="N966" s="3">
        <v>2</v>
      </c>
      <c r="O966" s="3">
        <v>39</v>
      </c>
      <c r="P966" s="51">
        <v>41</v>
      </c>
    </row>
    <row r="967" spans="1:16" x14ac:dyDescent="0.35">
      <c r="A967" s="49">
        <v>966</v>
      </c>
      <c r="B967" s="50">
        <v>40586</v>
      </c>
      <c r="C967" s="3">
        <v>1</v>
      </c>
      <c r="D967" s="3">
        <v>0</v>
      </c>
      <c r="E967" s="3" t="s">
        <v>105</v>
      </c>
      <c r="F967" s="3">
        <v>20</v>
      </c>
      <c r="G967" s="3" t="b">
        <v>0</v>
      </c>
      <c r="H967" s="3" t="s">
        <v>106</v>
      </c>
      <c r="I967" s="3" t="s">
        <v>113</v>
      </c>
      <c r="J967" s="3">
        <v>0.26</v>
      </c>
      <c r="K967" s="3">
        <v>0.2576</v>
      </c>
      <c r="L967" s="3">
        <v>0.41</v>
      </c>
      <c r="M967" s="3">
        <v>0.22389999999999999</v>
      </c>
      <c r="N967" s="3">
        <v>1</v>
      </c>
      <c r="O967" s="3">
        <v>39</v>
      </c>
      <c r="P967" s="51">
        <v>40</v>
      </c>
    </row>
    <row r="968" spans="1:16" x14ac:dyDescent="0.35">
      <c r="A968" s="49">
        <v>967</v>
      </c>
      <c r="B968" s="50">
        <v>40586</v>
      </c>
      <c r="C968" s="3">
        <v>1</v>
      </c>
      <c r="D968" s="3">
        <v>0</v>
      </c>
      <c r="E968" s="3" t="s">
        <v>105</v>
      </c>
      <c r="F968" s="3">
        <v>21</v>
      </c>
      <c r="G968" s="3" t="b">
        <v>0</v>
      </c>
      <c r="H968" s="3" t="s">
        <v>106</v>
      </c>
      <c r="I968" s="3" t="s">
        <v>113</v>
      </c>
      <c r="J968" s="3">
        <v>0.26</v>
      </c>
      <c r="K968" s="3">
        <v>0.30299999999999999</v>
      </c>
      <c r="L968" s="3">
        <v>0.41</v>
      </c>
      <c r="M968" s="3">
        <v>0</v>
      </c>
      <c r="N968" s="3">
        <v>9</v>
      </c>
      <c r="O968" s="3">
        <v>42</v>
      </c>
      <c r="P968" s="51">
        <v>51</v>
      </c>
    </row>
    <row r="969" spans="1:16" x14ac:dyDescent="0.35">
      <c r="A969" s="49">
        <v>968</v>
      </c>
      <c r="B969" s="50">
        <v>40586</v>
      </c>
      <c r="C969" s="3">
        <v>1</v>
      </c>
      <c r="D969" s="3">
        <v>0</v>
      </c>
      <c r="E969" s="3" t="s">
        <v>105</v>
      </c>
      <c r="F969" s="3">
        <v>22</v>
      </c>
      <c r="G969" s="3" t="b">
        <v>0</v>
      </c>
      <c r="H969" s="3" t="s">
        <v>106</v>
      </c>
      <c r="I969" s="3" t="s">
        <v>113</v>
      </c>
      <c r="J969" s="3">
        <v>0.24</v>
      </c>
      <c r="K969" s="3">
        <v>0.2576</v>
      </c>
      <c r="L969" s="3">
        <v>0.44</v>
      </c>
      <c r="M969" s="3">
        <v>8.9599999999999999E-2</v>
      </c>
      <c r="N969" s="3">
        <v>6</v>
      </c>
      <c r="O969" s="3">
        <v>39</v>
      </c>
      <c r="P969" s="51">
        <v>45</v>
      </c>
    </row>
    <row r="970" spans="1:16" x14ac:dyDescent="0.35">
      <c r="A970" s="49">
        <v>969</v>
      </c>
      <c r="B970" s="50">
        <v>40586</v>
      </c>
      <c r="C970" s="3">
        <v>1</v>
      </c>
      <c r="D970" s="3">
        <v>0</v>
      </c>
      <c r="E970" s="3" t="s">
        <v>105</v>
      </c>
      <c r="F970" s="3">
        <v>23</v>
      </c>
      <c r="G970" s="3" t="b">
        <v>0</v>
      </c>
      <c r="H970" s="3" t="s">
        <v>106</v>
      </c>
      <c r="I970" s="3" t="s">
        <v>113</v>
      </c>
      <c r="J970" s="3">
        <v>0.22</v>
      </c>
      <c r="K970" s="3">
        <v>0.2273</v>
      </c>
      <c r="L970" s="3">
        <v>0.51</v>
      </c>
      <c r="M970" s="3">
        <v>0.1343</v>
      </c>
      <c r="N970" s="3">
        <v>1</v>
      </c>
      <c r="O970" s="3">
        <v>31</v>
      </c>
      <c r="P970" s="51">
        <v>32</v>
      </c>
    </row>
    <row r="971" spans="1:16" x14ac:dyDescent="0.35">
      <c r="A971" s="49">
        <v>970</v>
      </c>
      <c r="B971" s="50">
        <v>40587</v>
      </c>
      <c r="C971" s="3">
        <v>1</v>
      </c>
      <c r="D971" s="3">
        <v>0</v>
      </c>
      <c r="E971" s="3" t="s">
        <v>105</v>
      </c>
      <c r="F971" s="3">
        <v>0</v>
      </c>
      <c r="G971" s="3" t="b">
        <v>0</v>
      </c>
      <c r="H971" s="3" t="s">
        <v>107</v>
      </c>
      <c r="I971" s="3" t="s">
        <v>113</v>
      </c>
      <c r="J971" s="3">
        <v>0.2</v>
      </c>
      <c r="K971" s="3">
        <v>0.2273</v>
      </c>
      <c r="L971" s="3">
        <v>0.64</v>
      </c>
      <c r="M971" s="3">
        <v>0.1045</v>
      </c>
      <c r="N971" s="3">
        <v>5</v>
      </c>
      <c r="O971" s="3">
        <v>34</v>
      </c>
      <c r="P971" s="51">
        <v>39</v>
      </c>
    </row>
    <row r="972" spans="1:16" x14ac:dyDescent="0.35">
      <c r="A972" s="49">
        <v>971</v>
      </c>
      <c r="B972" s="50">
        <v>40587</v>
      </c>
      <c r="C972" s="3">
        <v>1</v>
      </c>
      <c r="D972" s="3">
        <v>0</v>
      </c>
      <c r="E972" s="3" t="s">
        <v>105</v>
      </c>
      <c r="F972" s="3">
        <v>1</v>
      </c>
      <c r="G972" s="3" t="b">
        <v>0</v>
      </c>
      <c r="H972" s="3" t="s">
        <v>107</v>
      </c>
      <c r="I972" s="3" t="s">
        <v>113</v>
      </c>
      <c r="J972" s="3">
        <v>0.2</v>
      </c>
      <c r="K972" s="3">
        <v>0.2273</v>
      </c>
      <c r="L972" s="3">
        <v>0.59</v>
      </c>
      <c r="M972" s="3">
        <v>8.9599999999999999E-2</v>
      </c>
      <c r="N972" s="3">
        <v>1</v>
      </c>
      <c r="O972" s="3">
        <v>23</v>
      </c>
      <c r="P972" s="51">
        <v>24</v>
      </c>
    </row>
    <row r="973" spans="1:16" x14ac:dyDescent="0.35">
      <c r="A973" s="49">
        <v>972</v>
      </c>
      <c r="B973" s="50">
        <v>40587</v>
      </c>
      <c r="C973" s="3">
        <v>1</v>
      </c>
      <c r="D973" s="3">
        <v>0</v>
      </c>
      <c r="E973" s="3" t="s">
        <v>105</v>
      </c>
      <c r="F973" s="3">
        <v>2</v>
      </c>
      <c r="G973" s="3" t="b">
        <v>0</v>
      </c>
      <c r="H973" s="3" t="s">
        <v>107</v>
      </c>
      <c r="I973" s="3" t="s">
        <v>114</v>
      </c>
      <c r="J973" s="3">
        <v>0.2</v>
      </c>
      <c r="K973" s="3">
        <v>0.2273</v>
      </c>
      <c r="L973" s="3">
        <v>0.75</v>
      </c>
      <c r="M973" s="3">
        <v>8.9599999999999999E-2</v>
      </c>
      <c r="N973" s="3">
        <v>1</v>
      </c>
      <c r="O973" s="3">
        <v>19</v>
      </c>
      <c r="P973" s="51">
        <v>20</v>
      </c>
    </row>
    <row r="974" spans="1:16" x14ac:dyDescent="0.35">
      <c r="A974" s="49">
        <v>973</v>
      </c>
      <c r="B974" s="50">
        <v>40587</v>
      </c>
      <c r="C974" s="3">
        <v>1</v>
      </c>
      <c r="D974" s="3">
        <v>0</v>
      </c>
      <c r="E974" s="3" t="s">
        <v>105</v>
      </c>
      <c r="F974" s="3">
        <v>3</v>
      </c>
      <c r="G974" s="3" t="b">
        <v>0</v>
      </c>
      <c r="H974" s="3" t="s">
        <v>107</v>
      </c>
      <c r="I974" s="3" t="s">
        <v>114</v>
      </c>
      <c r="J974" s="3">
        <v>0.2</v>
      </c>
      <c r="K974" s="3">
        <v>0.2273</v>
      </c>
      <c r="L974" s="3">
        <v>0.69</v>
      </c>
      <c r="M974" s="3">
        <v>0.1045</v>
      </c>
      <c r="N974" s="3">
        <v>4</v>
      </c>
      <c r="O974" s="3">
        <v>8</v>
      </c>
      <c r="P974" s="51">
        <v>12</v>
      </c>
    </row>
    <row r="975" spans="1:16" x14ac:dyDescent="0.35">
      <c r="A975" s="49">
        <v>974</v>
      </c>
      <c r="B975" s="50">
        <v>40587</v>
      </c>
      <c r="C975" s="3">
        <v>1</v>
      </c>
      <c r="D975" s="3">
        <v>0</v>
      </c>
      <c r="E975" s="3" t="s">
        <v>105</v>
      </c>
      <c r="F975" s="3">
        <v>4</v>
      </c>
      <c r="G975" s="3" t="b">
        <v>0</v>
      </c>
      <c r="H975" s="3" t="s">
        <v>107</v>
      </c>
      <c r="I975" s="3" t="s">
        <v>114</v>
      </c>
      <c r="J975" s="3">
        <v>0.2</v>
      </c>
      <c r="K975" s="3">
        <v>0.21210000000000001</v>
      </c>
      <c r="L975" s="3">
        <v>0.69</v>
      </c>
      <c r="M975" s="3">
        <v>0.16420000000000001</v>
      </c>
      <c r="N975" s="3">
        <v>0</v>
      </c>
      <c r="O975" s="3">
        <v>2</v>
      </c>
      <c r="P975" s="51">
        <v>2</v>
      </c>
    </row>
    <row r="976" spans="1:16" x14ac:dyDescent="0.35">
      <c r="A976" s="49">
        <v>975</v>
      </c>
      <c r="B976" s="50">
        <v>40587</v>
      </c>
      <c r="C976" s="3">
        <v>1</v>
      </c>
      <c r="D976" s="3">
        <v>0</v>
      </c>
      <c r="E976" s="3" t="s">
        <v>105</v>
      </c>
      <c r="F976" s="3">
        <v>6</v>
      </c>
      <c r="G976" s="3" t="b">
        <v>0</v>
      </c>
      <c r="H976" s="3" t="s">
        <v>107</v>
      </c>
      <c r="I976" s="3" t="s">
        <v>114</v>
      </c>
      <c r="J976" s="3">
        <v>0.2</v>
      </c>
      <c r="K976" s="3">
        <v>0.21210000000000001</v>
      </c>
      <c r="L976" s="3">
        <v>0.69</v>
      </c>
      <c r="M976" s="3">
        <v>0.1343</v>
      </c>
      <c r="N976" s="3">
        <v>2</v>
      </c>
      <c r="O976" s="3">
        <v>3</v>
      </c>
      <c r="P976" s="51">
        <v>5</v>
      </c>
    </row>
    <row r="977" spans="1:16" x14ac:dyDescent="0.35">
      <c r="A977" s="49">
        <v>976</v>
      </c>
      <c r="B977" s="50">
        <v>40587</v>
      </c>
      <c r="C977" s="3">
        <v>1</v>
      </c>
      <c r="D977" s="3">
        <v>0</v>
      </c>
      <c r="E977" s="3" t="s">
        <v>105</v>
      </c>
      <c r="F977" s="3">
        <v>7</v>
      </c>
      <c r="G977" s="3" t="b">
        <v>0</v>
      </c>
      <c r="H977" s="3" t="s">
        <v>107</v>
      </c>
      <c r="I977" s="3" t="s">
        <v>114</v>
      </c>
      <c r="J977" s="3">
        <v>0.22</v>
      </c>
      <c r="K977" s="3">
        <v>0.2727</v>
      </c>
      <c r="L977" s="3">
        <v>0.55000000000000004</v>
      </c>
      <c r="M977" s="3">
        <v>0</v>
      </c>
      <c r="N977" s="3">
        <v>0</v>
      </c>
      <c r="O977" s="3">
        <v>3</v>
      </c>
      <c r="P977" s="51">
        <v>3</v>
      </c>
    </row>
    <row r="978" spans="1:16" x14ac:dyDescent="0.35">
      <c r="A978" s="49">
        <v>977</v>
      </c>
      <c r="B978" s="50">
        <v>40587</v>
      </c>
      <c r="C978" s="3">
        <v>1</v>
      </c>
      <c r="D978" s="3">
        <v>0</v>
      </c>
      <c r="E978" s="3" t="s">
        <v>105</v>
      </c>
      <c r="F978" s="3">
        <v>8</v>
      </c>
      <c r="G978" s="3" t="b">
        <v>0</v>
      </c>
      <c r="H978" s="3" t="s">
        <v>107</v>
      </c>
      <c r="I978" s="3" t="s">
        <v>114</v>
      </c>
      <c r="J978" s="3">
        <v>0.22</v>
      </c>
      <c r="K978" s="3">
        <v>0.2273</v>
      </c>
      <c r="L978" s="3">
        <v>0.64</v>
      </c>
      <c r="M978" s="3">
        <v>0.19400000000000001</v>
      </c>
      <c r="N978" s="3">
        <v>1</v>
      </c>
      <c r="O978" s="3">
        <v>11</v>
      </c>
      <c r="P978" s="51">
        <v>12</v>
      </c>
    </row>
    <row r="979" spans="1:16" x14ac:dyDescent="0.35">
      <c r="A979" s="49">
        <v>978</v>
      </c>
      <c r="B979" s="50">
        <v>40587</v>
      </c>
      <c r="C979" s="3">
        <v>1</v>
      </c>
      <c r="D979" s="3">
        <v>0</v>
      </c>
      <c r="E979" s="3" t="s">
        <v>105</v>
      </c>
      <c r="F979" s="3">
        <v>9</v>
      </c>
      <c r="G979" s="3" t="b">
        <v>0</v>
      </c>
      <c r="H979" s="3" t="s">
        <v>107</v>
      </c>
      <c r="I979" s="3" t="s">
        <v>114</v>
      </c>
      <c r="J979" s="3">
        <v>0.24</v>
      </c>
      <c r="K979" s="3">
        <v>0.2273</v>
      </c>
      <c r="L979" s="3">
        <v>0.6</v>
      </c>
      <c r="M979" s="3">
        <v>0.22389999999999999</v>
      </c>
      <c r="N979" s="3">
        <v>12</v>
      </c>
      <c r="O979" s="3">
        <v>35</v>
      </c>
      <c r="P979" s="51">
        <v>47</v>
      </c>
    </row>
    <row r="980" spans="1:16" x14ac:dyDescent="0.35">
      <c r="A980" s="49">
        <v>979</v>
      </c>
      <c r="B980" s="50">
        <v>40587</v>
      </c>
      <c r="C980" s="3">
        <v>1</v>
      </c>
      <c r="D980" s="3">
        <v>0</v>
      </c>
      <c r="E980" s="3" t="s">
        <v>105</v>
      </c>
      <c r="F980" s="3">
        <v>10</v>
      </c>
      <c r="G980" s="3" t="b">
        <v>0</v>
      </c>
      <c r="H980" s="3" t="s">
        <v>107</v>
      </c>
      <c r="I980" s="3" t="s">
        <v>113</v>
      </c>
      <c r="J980" s="3">
        <v>0.3</v>
      </c>
      <c r="K980" s="3">
        <v>0.2727</v>
      </c>
      <c r="L980" s="3">
        <v>0.45</v>
      </c>
      <c r="M980" s="3">
        <v>0.32840000000000003</v>
      </c>
      <c r="N980" s="3">
        <v>19</v>
      </c>
      <c r="O980" s="3">
        <v>86</v>
      </c>
      <c r="P980" s="51">
        <v>105</v>
      </c>
    </row>
    <row r="981" spans="1:16" x14ac:dyDescent="0.35">
      <c r="A981" s="49">
        <v>980</v>
      </c>
      <c r="B981" s="50">
        <v>40587</v>
      </c>
      <c r="C981" s="3">
        <v>1</v>
      </c>
      <c r="D981" s="3">
        <v>0</v>
      </c>
      <c r="E981" s="3" t="s">
        <v>105</v>
      </c>
      <c r="F981" s="3">
        <v>11</v>
      </c>
      <c r="G981" s="3" t="b">
        <v>0</v>
      </c>
      <c r="H981" s="3" t="s">
        <v>107</v>
      </c>
      <c r="I981" s="3" t="s">
        <v>113</v>
      </c>
      <c r="J981" s="3">
        <v>0.32</v>
      </c>
      <c r="K981" s="3">
        <v>0.28789999999999999</v>
      </c>
      <c r="L981" s="3">
        <v>0.39</v>
      </c>
      <c r="M981" s="3">
        <v>0.44779999999999998</v>
      </c>
      <c r="N981" s="3">
        <v>26</v>
      </c>
      <c r="O981" s="3">
        <v>86</v>
      </c>
      <c r="P981" s="51">
        <v>112</v>
      </c>
    </row>
    <row r="982" spans="1:16" x14ac:dyDescent="0.35">
      <c r="A982" s="49">
        <v>981</v>
      </c>
      <c r="B982" s="50">
        <v>40587</v>
      </c>
      <c r="C982" s="3">
        <v>1</v>
      </c>
      <c r="D982" s="3">
        <v>0</v>
      </c>
      <c r="E982" s="3" t="s">
        <v>105</v>
      </c>
      <c r="F982" s="3">
        <v>12</v>
      </c>
      <c r="G982" s="3" t="b">
        <v>0</v>
      </c>
      <c r="H982" s="3" t="s">
        <v>107</v>
      </c>
      <c r="I982" s="3" t="s">
        <v>113</v>
      </c>
      <c r="J982" s="3">
        <v>0.36</v>
      </c>
      <c r="K982" s="3">
        <v>0.31819999999999998</v>
      </c>
      <c r="L982" s="3">
        <v>0.32</v>
      </c>
      <c r="M982" s="3">
        <v>0.4627</v>
      </c>
      <c r="N982" s="3">
        <v>58</v>
      </c>
      <c r="O982" s="3">
        <v>94</v>
      </c>
      <c r="P982" s="51">
        <v>152</v>
      </c>
    </row>
    <row r="983" spans="1:16" x14ac:dyDescent="0.35">
      <c r="A983" s="49">
        <v>982</v>
      </c>
      <c r="B983" s="50">
        <v>40587</v>
      </c>
      <c r="C983" s="3">
        <v>1</v>
      </c>
      <c r="D983" s="3">
        <v>0</v>
      </c>
      <c r="E983" s="3" t="s">
        <v>105</v>
      </c>
      <c r="F983" s="3">
        <v>13</v>
      </c>
      <c r="G983" s="3" t="b">
        <v>0</v>
      </c>
      <c r="H983" s="3" t="s">
        <v>107</v>
      </c>
      <c r="I983" s="3" t="s">
        <v>113</v>
      </c>
      <c r="J983" s="3">
        <v>0.38</v>
      </c>
      <c r="K983" s="3">
        <v>0.39389999999999997</v>
      </c>
      <c r="L983" s="3">
        <v>0.28999999999999998</v>
      </c>
      <c r="M983" s="3">
        <v>0.35820000000000002</v>
      </c>
      <c r="N983" s="3">
        <v>62</v>
      </c>
      <c r="O983" s="3">
        <v>92</v>
      </c>
      <c r="P983" s="51">
        <v>154</v>
      </c>
    </row>
    <row r="984" spans="1:16" x14ac:dyDescent="0.35">
      <c r="A984" s="49">
        <v>983</v>
      </c>
      <c r="B984" s="50">
        <v>40587</v>
      </c>
      <c r="C984" s="3">
        <v>1</v>
      </c>
      <c r="D984" s="3">
        <v>0</v>
      </c>
      <c r="E984" s="3" t="s">
        <v>105</v>
      </c>
      <c r="F984" s="3">
        <v>14</v>
      </c>
      <c r="G984" s="3" t="b">
        <v>0</v>
      </c>
      <c r="H984" s="3" t="s">
        <v>107</v>
      </c>
      <c r="I984" s="3" t="s">
        <v>114</v>
      </c>
      <c r="J984" s="3">
        <v>0.4</v>
      </c>
      <c r="K984" s="3">
        <v>0.40910000000000002</v>
      </c>
      <c r="L984" s="3">
        <v>0.3</v>
      </c>
      <c r="M984" s="3">
        <v>0.41789999999999999</v>
      </c>
      <c r="N984" s="3">
        <v>51</v>
      </c>
      <c r="O984" s="3">
        <v>110</v>
      </c>
      <c r="P984" s="51">
        <v>161</v>
      </c>
    </row>
    <row r="985" spans="1:16" x14ac:dyDescent="0.35">
      <c r="A985" s="49">
        <v>984</v>
      </c>
      <c r="B985" s="50">
        <v>40587</v>
      </c>
      <c r="C985" s="3">
        <v>1</v>
      </c>
      <c r="D985" s="3">
        <v>0</v>
      </c>
      <c r="E985" s="3" t="s">
        <v>105</v>
      </c>
      <c r="F985" s="3">
        <v>15</v>
      </c>
      <c r="G985" s="3" t="b">
        <v>0</v>
      </c>
      <c r="H985" s="3" t="s">
        <v>107</v>
      </c>
      <c r="I985" s="3" t="s">
        <v>114</v>
      </c>
      <c r="J985" s="3">
        <v>0.4</v>
      </c>
      <c r="K985" s="3">
        <v>0.40910000000000002</v>
      </c>
      <c r="L985" s="3">
        <v>0.3</v>
      </c>
      <c r="M985" s="3">
        <v>0.29849999999999999</v>
      </c>
      <c r="N985" s="3">
        <v>40</v>
      </c>
      <c r="O985" s="3">
        <v>122</v>
      </c>
      <c r="P985" s="51">
        <v>162</v>
      </c>
    </row>
    <row r="986" spans="1:16" x14ac:dyDescent="0.35">
      <c r="A986" s="49">
        <v>985</v>
      </c>
      <c r="B986" s="50">
        <v>40587</v>
      </c>
      <c r="C986" s="3">
        <v>1</v>
      </c>
      <c r="D986" s="3">
        <v>0</v>
      </c>
      <c r="E986" s="3" t="s">
        <v>105</v>
      </c>
      <c r="F986" s="3">
        <v>16</v>
      </c>
      <c r="G986" s="3" t="b">
        <v>0</v>
      </c>
      <c r="H986" s="3" t="s">
        <v>107</v>
      </c>
      <c r="I986" s="3" t="s">
        <v>114</v>
      </c>
      <c r="J986" s="3">
        <v>0.42</v>
      </c>
      <c r="K986" s="3">
        <v>0.42420000000000002</v>
      </c>
      <c r="L986" s="3">
        <v>0.28000000000000003</v>
      </c>
      <c r="M986" s="3">
        <v>0.32840000000000003</v>
      </c>
      <c r="N986" s="3">
        <v>28</v>
      </c>
      <c r="O986" s="3">
        <v>106</v>
      </c>
      <c r="P986" s="51">
        <v>134</v>
      </c>
    </row>
    <row r="987" spans="1:16" x14ac:dyDescent="0.35">
      <c r="A987" s="49">
        <v>986</v>
      </c>
      <c r="B987" s="50">
        <v>40587</v>
      </c>
      <c r="C987" s="3">
        <v>1</v>
      </c>
      <c r="D987" s="3">
        <v>0</v>
      </c>
      <c r="E987" s="3" t="s">
        <v>105</v>
      </c>
      <c r="F987" s="3">
        <v>17</v>
      </c>
      <c r="G987" s="3" t="b">
        <v>0</v>
      </c>
      <c r="H987" s="3" t="s">
        <v>107</v>
      </c>
      <c r="I987" s="3" t="s">
        <v>113</v>
      </c>
      <c r="J987" s="3">
        <v>0.42</v>
      </c>
      <c r="K987" s="3">
        <v>0.42420000000000002</v>
      </c>
      <c r="L987" s="3">
        <v>0.28000000000000003</v>
      </c>
      <c r="M987" s="3">
        <v>0.32840000000000003</v>
      </c>
      <c r="N987" s="3">
        <v>30</v>
      </c>
      <c r="O987" s="3">
        <v>95</v>
      </c>
      <c r="P987" s="51">
        <v>125</v>
      </c>
    </row>
    <row r="988" spans="1:16" x14ac:dyDescent="0.35">
      <c r="A988" s="49">
        <v>987</v>
      </c>
      <c r="B988" s="50">
        <v>40587</v>
      </c>
      <c r="C988" s="3">
        <v>1</v>
      </c>
      <c r="D988" s="3">
        <v>0</v>
      </c>
      <c r="E988" s="3" t="s">
        <v>105</v>
      </c>
      <c r="F988" s="3">
        <v>18</v>
      </c>
      <c r="G988" s="3" t="b">
        <v>0</v>
      </c>
      <c r="H988" s="3" t="s">
        <v>107</v>
      </c>
      <c r="I988" s="3" t="s">
        <v>113</v>
      </c>
      <c r="J988" s="3">
        <v>0.4</v>
      </c>
      <c r="K988" s="3">
        <v>0.40910000000000002</v>
      </c>
      <c r="L988" s="3">
        <v>0.32</v>
      </c>
      <c r="M988" s="3">
        <v>0.29849999999999999</v>
      </c>
      <c r="N988" s="3">
        <v>17</v>
      </c>
      <c r="O988" s="3">
        <v>78</v>
      </c>
      <c r="P988" s="51">
        <v>95</v>
      </c>
    </row>
    <row r="989" spans="1:16" x14ac:dyDescent="0.35">
      <c r="A989" s="49">
        <v>988</v>
      </c>
      <c r="B989" s="50">
        <v>40587</v>
      </c>
      <c r="C989" s="3">
        <v>1</v>
      </c>
      <c r="D989" s="3">
        <v>0</v>
      </c>
      <c r="E989" s="3" t="s">
        <v>105</v>
      </c>
      <c r="F989" s="3">
        <v>19</v>
      </c>
      <c r="G989" s="3" t="b">
        <v>0</v>
      </c>
      <c r="H989" s="3" t="s">
        <v>107</v>
      </c>
      <c r="I989" s="3" t="s">
        <v>113</v>
      </c>
      <c r="J989" s="3">
        <v>0.4</v>
      </c>
      <c r="K989" s="3">
        <v>0.40910000000000002</v>
      </c>
      <c r="L989" s="3">
        <v>0.35</v>
      </c>
      <c r="M989" s="3">
        <v>0.28360000000000002</v>
      </c>
      <c r="N989" s="3">
        <v>11</v>
      </c>
      <c r="O989" s="3">
        <v>50</v>
      </c>
      <c r="P989" s="51">
        <v>61</v>
      </c>
    </row>
    <row r="990" spans="1:16" x14ac:dyDescent="0.35">
      <c r="A990" s="49">
        <v>989</v>
      </c>
      <c r="B990" s="50">
        <v>40587</v>
      </c>
      <c r="C990" s="3">
        <v>1</v>
      </c>
      <c r="D990" s="3">
        <v>0</v>
      </c>
      <c r="E990" s="3" t="s">
        <v>105</v>
      </c>
      <c r="F990" s="3">
        <v>20</v>
      </c>
      <c r="G990" s="3" t="b">
        <v>0</v>
      </c>
      <c r="H990" s="3" t="s">
        <v>107</v>
      </c>
      <c r="I990" s="3" t="s">
        <v>113</v>
      </c>
      <c r="J990" s="3">
        <v>0.4</v>
      </c>
      <c r="K990" s="3">
        <v>0.40910000000000002</v>
      </c>
      <c r="L990" s="3">
        <v>0.35</v>
      </c>
      <c r="M990" s="3">
        <v>0.32840000000000003</v>
      </c>
      <c r="N990" s="3">
        <v>15</v>
      </c>
      <c r="O990" s="3">
        <v>32</v>
      </c>
      <c r="P990" s="51">
        <v>47</v>
      </c>
    </row>
    <row r="991" spans="1:16" x14ac:dyDescent="0.35">
      <c r="A991" s="49">
        <v>990</v>
      </c>
      <c r="B991" s="50">
        <v>40587</v>
      </c>
      <c r="C991" s="3">
        <v>1</v>
      </c>
      <c r="D991" s="3">
        <v>0</v>
      </c>
      <c r="E991" s="3" t="s">
        <v>105</v>
      </c>
      <c r="F991" s="3">
        <v>21</v>
      </c>
      <c r="G991" s="3" t="b">
        <v>0</v>
      </c>
      <c r="H991" s="3" t="s">
        <v>107</v>
      </c>
      <c r="I991" s="3" t="s">
        <v>113</v>
      </c>
      <c r="J991" s="3">
        <v>0.4</v>
      </c>
      <c r="K991" s="3">
        <v>0.40910000000000002</v>
      </c>
      <c r="L991" s="3">
        <v>0.35</v>
      </c>
      <c r="M991" s="3">
        <v>0.35820000000000002</v>
      </c>
      <c r="N991" s="3">
        <v>6</v>
      </c>
      <c r="O991" s="3">
        <v>45</v>
      </c>
      <c r="P991" s="51">
        <v>51</v>
      </c>
    </row>
    <row r="992" spans="1:16" x14ac:dyDescent="0.35">
      <c r="A992" s="49">
        <v>991</v>
      </c>
      <c r="B992" s="50">
        <v>40587</v>
      </c>
      <c r="C992" s="3">
        <v>1</v>
      </c>
      <c r="D992" s="3">
        <v>0</v>
      </c>
      <c r="E992" s="3" t="s">
        <v>105</v>
      </c>
      <c r="F992" s="3">
        <v>22</v>
      </c>
      <c r="G992" s="3" t="b">
        <v>0</v>
      </c>
      <c r="H992" s="3" t="s">
        <v>107</v>
      </c>
      <c r="I992" s="3" t="s">
        <v>113</v>
      </c>
      <c r="J992" s="3">
        <v>0.4</v>
      </c>
      <c r="K992" s="3">
        <v>0.40910000000000002</v>
      </c>
      <c r="L992" s="3">
        <v>0.35</v>
      </c>
      <c r="M992" s="3">
        <v>0.29849999999999999</v>
      </c>
      <c r="N992" s="3">
        <v>5</v>
      </c>
      <c r="O992" s="3">
        <v>31</v>
      </c>
      <c r="P992" s="51">
        <v>36</v>
      </c>
    </row>
    <row r="993" spans="1:16" x14ac:dyDescent="0.35">
      <c r="A993" s="49">
        <v>992</v>
      </c>
      <c r="B993" s="50">
        <v>40587</v>
      </c>
      <c r="C993" s="3">
        <v>1</v>
      </c>
      <c r="D993" s="3">
        <v>0</v>
      </c>
      <c r="E993" s="3" t="s">
        <v>105</v>
      </c>
      <c r="F993" s="3">
        <v>23</v>
      </c>
      <c r="G993" s="3" t="b">
        <v>0</v>
      </c>
      <c r="H993" s="3" t="s">
        <v>107</v>
      </c>
      <c r="I993" s="3" t="s">
        <v>113</v>
      </c>
      <c r="J993" s="3">
        <v>0.4</v>
      </c>
      <c r="K993" s="3">
        <v>0.40910000000000002</v>
      </c>
      <c r="L993" s="3">
        <v>0.35</v>
      </c>
      <c r="M993" s="3">
        <v>0.35820000000000002</v>
      </c>
      <c r="N993" s="3">
        <v>3</v>
      </c>
      <c r="O993" s="3">
        <v>27</v>
      </c>
      <c r="P993" s="51">
        <v>30</v>
      </c>
    </row>
    <row r="994" spans="1:16" x14ac:dyDescent="0.35">
      <c r="A994" s="49">
        <v>993</v>
      </c>
      <c r="B994" s="50">
        <v>40588</v>
      </c>
      <c r="C994" s="3">
        <v>1</v>
      </c>
      <c r="D994" s="3">
        <v>0</v>
      </c>
      <c r="E994" s="3" t="s">
        <v>105</v>
      </c>
      <c r="F994" s="3">
        <v>0</v>
      </c>
      <c r="G994" s="3" t="b">
        <v>0</v>
      </c>
      <c r="H994" s="3" t="s">
        <v>108</v>
      </c>
      <c r="I994" s="3" t="s">
        <v>113</v>
      </c>
      <c r="J994" s="3">
        <v>0.38</v>
      </c>
      <c r="K994" s="3">
        <v>0.39389999999999997</v>
      </c>
      <c r="L994" s="3">
        <v>0.37</v>
      </c>
      <c r="M994" s="3">
        <v>0.35820000000000002</v>
      </c>
      <c r="N994" s="3">
        <v>3</v>
      </c>
      <c r="O994" s="3">
        <v>8</v>
      </c>
      <c r="P994" s="51">
        <v>11</v>
      </c>
    </row>
    <row r="995" spans="1:16" x14ac:dyDescent="0.35">
      <c r="A995" s="49">
        <v>994</v>
      </c>
      <c r="B995" s="50">
        <v>40588</v>
      </c>
      <c r="C995" s="3">
        <v>1</v>
      </c>
      <c r="D995" s="3">
        <v>0</v>
      </c>
      <c r="E995" s="3" t="s">
        <v>105</v>
      </c>
      <c r="F995" s="3">
        <v>1</v>
      </c>
      <c r="G995" s="3" t="b">
        <v>0</v>
      </c>
      <c r="H995" s="3" t="s">
        <v>108</v>
      </c>
      <c r="I995" s="3" t="s">
        <v>113</v>
      </c>
      <c r="J995" s="3">
        <v>0.38</v>
      </c>
      <c r="K995" s="3">
        <v>0.39389999999999997</v>
      </c>
      <c r="L995" s="3">
        <v>0.37</v>
      </c>
      <c r="M995" s="3">
        <v>0.35820000000000002</v>
      </c>
      <c r="N995" s="3">
        <v>1</v>
      </c>
      <c r="O995" s="3">
        <v>6</v>
      </c>
      <c r="P995" s="51">
        <v>7</v>
      </c>
    </row>
    <row r="996" spans="1:16" x14ac:dyDescent="0.35">
      <c r="A996" s="49">
        <v>995</v>
      </c>
      <c r="B996" s="50">
        <v>40588</v>
      </c>
      <c r="C996" s="3">
        <v>1</v>
      </c>
      <c r="D996" s="3">
        <v>0</v>
      </c>
      <c r="E996" s="3" t="s">
        <v>105</v>
      </c>
      <c r="F996" s="3">
        <v>2</v>
      </c>
      <c r="G996" s="3" t="b">
        <v>0</v>
      </c>
      <c r="H996" s="3" t="s">
        <v>108</v>
      </c>
      <c r="I996" s="3" t="s">
        <v>113</v>
      </c>
      <c r="J996" s="3">
        <v>0.36</v>
      </c>
      <c r="K996" s="3">
        <v>0.33329999999999999</v>
      </c>
      <c r="L996" s="3">
        <v>0.4</v>
      </c>
      <c r="M996" s="3">
        <v>0.29849999999999999</v>
      </c>
      <c r="N996" s="3">
        <v>0</v>
      </c>
      <c r="O996" s="3">
        <v>2</v>
      </c>
      <c r="P996" s="51">
        <v>2</v>
      </c>
    </row>
    <row r="997" spans="1:16" x14ac:dyDescent="0.35">
      <c r="A997" s="49">
        <v>996</v>
      </c>
      <c r="B997" s="50">
        <v>40588</v>
      </c>
      <c r="C997" s="3">
        <v>1</v>
      </c>
      <c r="D997" s="3">
        <v>0</v>
      </c>
      <c r="E997" s="3" t="s">
        <v>105</v>
      </c>
      <c r="F997" s="3">
        <v>3</v>
      </c>
      <c r="G997" s="3" t="b">
        <v>0</v>
      </c>
      <c r="H997" s="3" t="s">
        <v>108</v>
      </c>
      <c r="I997" s="3" t="s">
        <v>113</v>
      </c>
      <c r="J997" s="3">
        <v>0.34</v>
      </c>
      <c r="K997" s="3">
        <v>0.31819999999999998</v>
      </c>
      <c r="L997" s="3">
        <v>0.46</v>
      </c>
      <c r="M997" s="3">
        <v>0.22389999999999999</v>
      </c>
      <c r="N997" s="3">
        <v>1</v>
      </c>
      <c r="O997" s="3">
        <v>1</v>
      </c>
      <c r="P997" s="51">
        <v>2</v>
      </c>
    </row>
    <row r="998" spans="1:16" x14ac:dyDescent="0.35">
      <c r="A998" s="49">
        <v>997</v>
      </c>
      <c r="B998" s="50">
        <v>40588</v>
      </c>
      <c r="C998" s="3">
        <v>1</v>
      </c>
      <c r="D998" s="3">
        <v>0</v>
      </c>
      <c r="E998" s="3" t="s">
        <v>105</v>
      </c>
      <c r="F998" s="3">
        <v>4</v>
      </c>
      <c r="G998" s="3" t="b">
        <v>0</v>
      </c>
      <c r="H998" s="3" t="s">
        <v>108</v>
      </c>
      <c r="I998" s="3" t="s">
        <v>113</v>
      </c>
      <c r="J998" s="3">
        <v>0.32</v>
      </c>
      <c r="K998" s="3">
        <v>0.30299999999999999</v>
      </c>
      <c r="L998" s="3">
        <v>0.53</v>
      </c>
      <c r="M998" s="3">
        <v>0.28360000000000002</v>
      </c>
      <c r="N998" s="3">
        <v>0</v>
      </c>
      <c r="O998" s="3">
        <v>2</v>
      </c>
      <c r="P998" s="51">
        <v>2</v>
      </c>
    </row>
    <row r="999" spans="1:16" x14ac:dyDescent="0.35">
      <c r="A999" s="49">
        <v>998</v>
      </c>
      <c r="B999" s="50">
        <v>40588</v>
      </c>
      <c r="C999" s="3">
        <v>1</v>
      </c>
      <c r="D999" s="3">
        <v>0</v>
      </c>
      <c r="E999" s="3" t="s">
        <v>105</v>
      </c>
      <c r="F999" s="3">
        <v>5</v>
      </c>
      <c r="G999" s="3" t="b">
        <v>0</v>
      </c>
      <c r="H999" s="3" t="s">
        <v>108</v>
      </c>
      <c r="I999" s="3" t="s">
        <v>113</v>
      </c>
      <c r="J999" s="3">
        <v>0.32</v>
      </c>
      <c r="K999" s="3">
        <v>0.30299999999999999</v>
      </c>
      <c r="L999" s="3">
        <v>0.53</v>
      </c>
      <c r="M999" s="3">
        <v>0.28360000000000002</v>
      </c>
      <c r="N999" s="3">
        <v>0</v>
      </c>
      <c r="O999" s="3">
        <v>3</v>
      </c>
      <c r="P999" s="51">
        <v>3</v>
      </c>
    </row>
    <row r="1000" spans="1:16" x14ac:dyDescent="0.35">
      <c r="A1000" s="49">
        <v>999</v>
      </c>
      <c r="B1000" s="50">
        <v>40588</v>
      </c>
      <c r="C1000" s="3">
        <v>1</v>
      </c>
      <c r="D1000" s="3">
        <v>0</v>
      </c>
      <c r="E1000" s="3" t="s">
        <v>105</v>
      </c>
      <c r="F1000" s="3">
        <v>6</v>
      </c>
      <c r="G1000" s="3" t="b">
        <v>0</v>
      </c>
      <c r="H1000" s="3" t="s">
        <v>108</v>
      </c>
      <c r="I1000" s="3" t="s">
        <v>113</v>
      </c>
      <c r="J1000" s="3">
        <v>0.34</v>
      </c>
      <c r="K1000" s="3">
        <v>0.30299999999999999</v>
      </c>
      <c r="L1000" s="3">
        <v>0.46</v>
      </c>
      <c r="M1000" s="3">
        <v>0.29849999999999999</v>
      </c>
      <c r="N1000" s="3">
        <v>1</v>
      </c>
      <c r="O1000" s="3">
        <v>25</v>
      </c>
      <c r="P1000" s="51">
        <v>26</v>
      </c>
    </row>
    <row r="1001" spans="1:16" x14ac:dyDescent="0.35">
      <c r="A1001" s="52">
        <v>1000</v>
      </c>
      <c r="B1001" s="53">
        <v>40588</v>
      </c>
      <c r="C1001" s="54">
        <v>1</v>
      </c>
      <c r="D1001" s="54">
        <v>0</v>
      </c>
      <c r="E1001" s="54" t="s">
        <v>105</v>
      </c>
      <c r="F1001" s="54">
        <v>7</v>
      </c>
      <c r="G1001" s="54" t="b">
        <v>0</v>
      </c>
      <c r="H1001" s="54" t="s">
        <v>108</v>
      </c>
      <c r="I1001" s="54" t="s">
        <v>113</v>
      </c>
      <c r="J1001" s="54">
        <v>0.34</v>
      </c>
      <c r="K1001" s="54">
        <v>0.30299999999999999</v>
      </c>
      <c r="L1001" s="54">
        <v>0.46</v>
      </c>
      <c r="M1001" s="54">
        <v>0.29849999999999999</v>
      </c>
      <c r="N1001" s="54">
        <v>2</v>
      </c>
      <c r="O1001" s="54">
        <v>96</v>
      </c>
      <c r="P1001" s="55">
        <v>98</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BBC6-C69E-46D8-AE83-66F311FB9D88}">
  <dimension ref="A1:S82"/>
  <sheetViews>
    <sheetView tabSelected="1" topLeftCell="A61" zoomScale="85" zoomScaleNormal="85" workbookViewId="0">
      <selection activeCell="D74" sqref="D74"/>
    </sheetView>
  </sheetViews>
  <sheetFormatPr defaultRowHeight="14.5" x14ac:dyDescent="0.35"/>
  <cols>
    <col min="1" max="1" width="49.36328125" bestFit="1" customWidth="1"/>
    <col min="2" max="2" width="16.453125" bestFit="1" customWidth="1"/>
    <col min="3" max="3" width="14.7265625" bestFit="1" customWidth="1"/>
    <col min="4" max="4" width="55.453125" bestFit="1" customWidth="1"/>
    <col min="5" max="5" width="12.6328125" bestFit="1" customWidth="1"/>
    <col min="6" max="6" width="15.1796875" bestFit="1" customWidth="1"/>
    <col min="7" max="7" width="9" customWidth="1"/>
    <col min="8" max="8" width="16.81640625" bestFit="1" customWidth="1"/>
    <col min="9" max="9" width="9.6328125" customWidth="1"/>
    <col min="10" max="10" width="16.81640625" bestFit="1" customWidth="1"/>
    <col min="12" max="12" width="16.81640625" bestFit="1" customWidth="1"/>
    <col min="14" max="14" width="16.81640625" bestFit="1" customWidth="1"/>
    <col min="16" max="16" width="16.81640625" bestFit="1" customWidth="1"/>
    <col min="18" max="18" width="16.81640625" bestFit="1" customWidth="1"/>
  </cols>
  <sheetData>
    <row r="1" spans="1:12" ht="16" customHeight="1" x14ac:dyDescent="0.35">
      <c r="A1" s="114"/>
      <c r="B1" s="114"/>
      <c r="C1" s="114"/>
      <c r="D1" s="114"/>
      <c r="E1" s="114"/>
      <c r="F1" s="114"/>
      <c r="G1" s="114"/>
      <c r="H1" s="114"/>
      <c r="I1" s="114"/>
      <c r="J1" s="114"/>
      <c r="K1" s="114"/>
    </row>
    <row r="3" spans="1:12" x14ac:dyDescent="0.35">
      <c r="B3" s="117" t="s">
        <v>178</v>
      </c>
      <c r="C3" s="118"/>
      <c r="D3" s="115" t="s">
        <v>117</v>
      </c>
      <c r="E3" s="116"/>
      <c r="F3" s="115" t="s">
        <v>118</v>
      </c>
      <c r="G3" s="116"/>
      <c r="H3" s="115" t="s">
        <v>119</v>
      </c>
      <c r="I3" s="116"/>
      <c r="J3" s="115" t="s">
        <v>120</v>
      </c>
      <c r="K3" s="116"/>
    </row>
    <row r="4" spans="1:12" x14ac:dyDescent="0.35">
      <c r="B4" s="113">
        <f>SUM('Original Data'!N2:N1001)</f>
        <v>4921</v>
      </c>
      <c r="C4" s="113"/>
      <c r="D4" s="72">
        <f>SUM(Sheet45[cnt])</f>
        <v>58304</v>
      </c>
      <c r="E4" s="73"/>
      <c r="F4" s="73">
        <f>AVERAGE(Sheet45[cnt])</f>
        <v>58.304000000000002</v>
      </c>
      <c r="G4" s="73"/>
      <c r="H4" s="73">
        <f>MAX(Sheet45[cnt])</f>
        <v>249</v>
      </c>
      <c r="I4" s="73"/>
      <c r="J4" s="74">
        <f>COUNT(Sheet45[instant])</f>
        <v>1000</v>
      </c>
      <c r="K4" s="73"/>
    </row>
    <row r="7" spans="1:12" ht="15.5" x14ac:dyDescent="0.35">
      <c r="A7" s="62" t="s">
        <v>121</v>
      </c>
      <c r="B7" s="42"/>
      <c r="C7" s="42"/>
      <c r="D7" s="42"/>
      <c r="L7" s="60"/>
    </row>
    <row r="8" spans="1:12" x14ac:dyDescent="0.35">
      <c r="A8" s="61" t="s">
        <v>122</v>
      </c>
      <c r="B8" s="61" t="s">
        <v>123</v>
      </c>
      <c r="C8" s="61" t="s">
        <v>124</v>
      </c>
      <c r="D8" s="61" t="s">
        <v>125</v>
      </c>
    </row>
    <row r="9" spans="1:12" x14ac:dyDescent="0.35">
      <c r="A9" s="75" t="s">
        <v>126</v>
      </c>
      <c r="B9" s="76">
        <f>SUM(Sheet45[casual])</f>
        <v>4921</v>
      </c>
      <c r="C9" s="76">
        <f>SUM(Sheet45[registered])</f>
        <v>53383</v>
      </c>
      <c r="D9" s="76">
        <f>SUM(Sheet45[cnt])</f>
        <v>58304</v>
      </c>
    </row>
    <row r="10" spans="1:12" x14ac:dyDescent="0.35">
      <c r="A10" s="77" t="s">
        <v>127</v>
      </c>
      <c r="B10" s="78">
        <f>B9/D9</f>
        <v>8.4402442371020861E-2</v>
      </c>
      <c r="C10" s="78">
        <f>C9/D9</f>
        <v>0.9155975576289791</v>
      </c>
      <c r="D10" s="78">
        <f>D9/D9</f>
        <v>1</v>
      </c>
    </row>
    <row r="11" spans="1:12" x14ac:dyDescent="0.35">
      <c r="A11" s="42" t="s">
        <v>128</v>
      </c>
      <c r="B11" s="56">
        <f>AVERAGE(Sheet45[casual])</f>
        <v>4.9210000000000003</v>
      </c>
      <c r="C11" s="57">
        <f>AVERAGE(Sheet45[registered])</f>
        <v>53.383000000000003</v>
      </c>
      <c r="D11" s="57">
        <f>AVERAGE(Sheet45[cnt])</f>
        <v>58.304000000000002</v>
      </c>
    </row>
    <row r="12" spans="1:12" x14ac:dyDescent="0.35">
      <c r="A12" s="42" t="s">
        <v>129</v>
      </c>
      <c r="B12" s="57">
        <f>_xlfn.STDEV.S(Sheet45[casual])</f>
        <v>7.6438987557520797</v>
      </c>
      <c r="C12" s="57">
        <f>_xlfn.STDEV.S(Sheet45[registered])</f>
        <v>47.893967711426278</v>
      </c>
      <c r="D12" s="57">
        <f>_xlfn.STDEV.S(Sheet45[cnt])</f>
        <v>50.985557867999354</v>
      </c>
    </row>
    <row r="13" spans="1:12" x14ac:dyDescent="0.35">
      <c r="A13" s="42" t="s">
        <v>130</v>
      </c>
      <c r="B13" s="58">
        <f>B9/C9</f>
        <v>9.2182904670026045E-2</v>
      </c>
      <c r="C13" s="42"/>
      <c r="D13" s="42" t="s">
        <v>131</v>
      </c>
    </row>
    <row r="16" spans="1:12" ht="15.5" x14ac:dyDescent="0.35">
      <c r="A16" s="62" t="s">
        <v>132</v>
      </c>
      <c r="B16" s="64"/>
      <c r="C16" s="64"/>
      <c r="D16" s="64"/>
      <c r="E16" s="64"/>
      <c r="F16" s="64"/>
    </row>
    <row r="17" spans="1:6" x14ac:dyDescent="0.35">
      <c r="A17" s="61" t="s">
        <v>133</v>
      </c>
      <c r="B17" s="61" t="s">
        <v>134</v>
      </c>
      <c r="C17" s="61" t="s">
        <v>135</v>
      </c>
      <c r="D17" s="61" t="s">
        <v>136</v>
      </c>
      <c r="E17" s="61" t="s">
        <v>125</v>
      </c>
      <c r="F17" s="61" t="s">
        <v>137</v>
      </c>
    </row>
    <row r="18" spans="1:6" x14ac:dyDescent="0.35">
      <c r="A18" s="64" t="s">
        <v>113</v>
      </c>
      <c r="B18" s="64">
        <f>COUNTIF(Sheet45[Weathers],A18)</f>
        <v>606</v>
      </c>
      <c r="C18" s="64">
        <f>SUMIF(Sheet45[Weathers],A18,Sheet45[casual])</f>
        <v>3211</v>
      </c>
      <c r="D18" s="64">
        <f>SUMIF(Sheet45[Weathers],A18,Sheet45[registered])</f>
        <v>34162</v>
      </c>
      <c r="E18" s="64">
        <f>SUMIF(Sheet45[Weathers],A18,Sheet45[cnt])</f>
        <v>37373</v>
      </c>
      <c r="F18" s="67">
        <f>IFERROR(E18/B18,0)</f>
        <v>61.671617161716171</v>
      </c>
    </row>
    <row r="19" spans="1:6" x14ac:dyDescent="0.35">
      <c r="A19" s="64" t="s">
        <v>114</v>
      </c>
      <c r="B19" s="64">
        <f>COUNTIF(Sheet45[Weathers],A19)</f>
        <v>309</v>
      </c>
      <c r="C19" s="64">
        <f>SUMIF(Sheet45[Weathers],A19,Sheet45[casual])</f>
        <v>1538</v>
      </c>
      <c r="D19" s="64">
        <f>SUMIF(Sheet45[Weathers],A19,Sheet45[registered])</f>
        <v>16568</v>
      </c>
      <c r="E19" s="64">
        <f>SUMIF(Sheet45[Weathers],A19,Sheet45[cnt])</f>
        <v>18106</v>
      </c>
      <c r="F19" s="67">
        <f>IFERROR(E19/B19,0)</f>
        <v>58.595469255663431</v>
      </c>
    </row>
    <row r="20" spans="1:6" x14ac:dyDescent="0.35">
      <c r="A20" s="64" t="s">
        <v>115</v>
      </c>
      <c r="B20" s="64">
        <f>COUNTIF(Sheet45[Weathers],A20)</f>
        <v>84</v>
      </c>
      <c r="C20" s="64">
        <f>SUMIF(Sheet45[Weathers],A20,Sheet45[casual])</f>
        <v>171</v>
      </c>
      <c r="D20" s="64">
        <f>SUMIF(Sheet45[Weathers],A20,Sheet45[registered])</f>
        <v>2618</v>
      </c>
      <c r="E20" s="64">
        <f>SUMIF(Sheet45[Weathers],A20,Sheet45[cnt])</f>
        <v>2789</v>
      </c>
      <c r="F20" s="67">
        <f>IFERROR(E20/B20,0)</f>
        <v>33.202380952380949</v>
      </c>
    </row>
    <row r="21" spans="1:6" x14ac:dyDescent="0.35">
      <c r="A21" s="64" t="s">
        <v>116</v>
      </c>
      <c r="B21" s="64">
        <f>COUNTIF(Sheet45[Weathers],A21)</f>
        <v>1</v>
      </c>
      <c r="C21" s="64">
        <f>SUMIF(Sheet45[Weathers],A21,Sheet45[casual])</f>
        <v>1</v>
      </c>
      <c r="D21" s="64">
        <f>SUMIF(Sheet45[Weathers],A21,Sheet45[registered])</f>
        <v>35</v>
      </c>
      <c r="E21" s="64">
        <f>SUMIF(Sheet45[Weathers],A21,Sheet45[cnt])</f>
        <v>36</v>
      </c>
      <c r="F21" s="67">
        <f>IFERROR(E21/B21,0)</f>
        <v>36</v>
      </c>
    </row>
    <row r="22" spans="1:6" x14ac:dyDescent="0.35">
      <c r="A22" s="79" t="s">
        <v>138</v>
      </c>
      <c r="B22" s="79">
        <f>SUM(B18:B20)</f>
        <v>999</v>
      </c>
      <c r="C22" s="79">
        <f>SUM(C18:C21)</f>
        <v>4921</v>
      </c>
      <c r="D22" s="79">
        <f>SUM(D18:D21)</f>
        <v>53383</v>
      </c>
      <c r="E22" s="79">
        <f>SUM(E18:E21)</f>
        <v>58304</v>
      </c>
      <c r="F22" s="80">
        <f>IFERROR(E22/B22,0)</f>
        <v>58.362362362362362</v>
      </c>
    </row>
    <row r="25" spans="1:6" ht="15.5" x14ac:dyDescent="0.35">
      <c r="A25" s="59" t="s">
        <v>139</v>
      </c>
    </row>
    <row r="26" spans="1:6" x14ac:dyDescent="0.35">
      <c r="A26" s="63" t="s">
        <v>140</v>
      </c>
      <c r="B26" s="63" t="s">
        <v>141</v>
      </c>
      <c r="C26" s="63" t="s">
        <v>142</v>
      </c>
      <c r="D26" s="63" t="s">
        <v>143</v>
      </c>
      <c r="E26" s="63" t="s">
        <v>125</v>
      </c>
      <c r="F26" s="63" t="s">
        <v>144</v>
      </c>
    </row>
    <row r="27" spans="1:6" ht="14" customHeight="1" x14ac:dyDescent="0.35">
      <c r="A27" s="64">
        <v>0</v>
      </c>
      <c r="B27" s="64">
        <f>COUNTIF('Original Data'!$F$2:$F$1001,A27)</f>
        <v>43</v>
      </c>
      <c r="C27" s="64">
        <f>SUMIF('Original Data'!F2:F1001,A27,'Original Data'!N2:N1001)</f>
        <v>74</v>
      </c>
      <c r="D27" s="64">
        <f>SUMIF(Sheet45[Hours],A27,Sheet45[registered])</f>
        <v>629</v>
      </c>
      <c r="E27" s="64">
        <f>SUMIF(Sheet45[Hours],A27,Sheet45[cnt])</f>
        <v>703</v>
      </c>
      <c r="F27" s="65">
        <f>E27/MAX($E$27:$E$50)</f>
        <v>0.11395688118009402</v>
      </c>
    </row>
    <row r="28" spans="1:6" s="60" customFormat="1" ht="14" customHeight="1" x14ac:dyDescent="0.35">
      <c r="A28" s="64">
        <v>1</v>
      </c>
      <c r="B28" s="64">
        <f>COUNTIF('Original Data'!$F$2:$F$1001,A28)</f>
        <v>43</v>
      </c>
      <c r="C28" s="64">
        <f>SUMIF('Original Data'!F3:F1002,A28,'Original Data'!N3:N1002)</f>
        <v>48</v>
      </c>
      <c r="D28" s="64">
        <f>SUMIF(Sheet45[Hours],A28,Sheet45[registered])</f>
        <v>412</v>
      </c>
      <c r="E28" s="64">
        <f>SUMIF(Sheet45[Hours],A28,Sheet45[cnt])</f>
        <v>460</v>
      </c>
      <c r="F28" s="65">
        <f t="shared" ref="F28:F50" si="0">E28/MAX($E$27:$E$50)</f>
        <v>7.4566380288539472E-2</v>
      </c>
    </row>
    <row r="29" spans="1:6" x14ac:dyDescent="0.35">
      <c r="A29" s="64">
        <v>2</v>
      </c>
      <c r="B29" s="64">
        <f>COUNTIF('Original Data'!$F$2:$F$1001,A29)</f>
        <v>41</v>
      </c>
      <c r="C29" s="64">
        <f>SUMIF('Original Data'!F4:F1003,A29,'Original Data'!N4:N1003)</f>
        <v>33</v>
      </c>
      <c r="D29" s="64">
        <f>SUMIF(Sheet45[Hours],A29,Sheet45[registered])</f>
        <v>261</v>
      </c>
      <c r="E29" s="64">
        <f>SUMIF(Sheet45[Hours],A29,Sheet45[cnt])</f>
        <v>294</v>
      </c>
      <c r="F29" s="65">
        <f t="shared" si="0"/>
        <v>4.7657643053979577E-2</v>
      </c>
    </row>
    <row r="30" spans="1:6" x14ac:dyDescent="0.35">
      <c r="A30" s="64">
        <v>3</v>
      </c>
      <c r="B30" s="64">
        <f>COUNTIF('Original Data'!$F$2:$F$1001,A30)</f>
        <v>31</v>
      </c>
      <c r="C30" s="64">
        <f>SUMIF('Original Data'!F5:F1004,A30,'Original Data'!N5:N1004)</f>
        <v>34</v>
      </c>
      <c r="D30" s="64">
        <f>SUMIF(Sheet45[Hours],A30,Sheet45[registered])</f>
        <v>117</v>
      </c>
      <c r="E30" s="64">
        <f>SUMIF(Sheet45[Hours],A30,Sheet45[cnt])</f>
        <v>151</v>
      </c>
      <c r="F30" s="65">
        <f t="shared" si="0"/>
        <v>2.4477224833846654E-2</v>
      </c>
    </row>
    <row r="31" spans="1:6" x14ac:dyDescent="0.35">
      <c r="A31" s="64">
        <v>4</v>
      </c>
      <c r="B31" s="64">
        <f>COUNTIF('Original Data'!$F$2:$F$1001,A31)</f>
        <v>32</v>
      </c>
      <c r="C31" s="64">
        <f>SUMIF('Original Data'!F6:F1005,A31,'Original Data'!N6:N1005)</f>
        <v>7</v>
      </c>
      <c r="D31" s="64">
        <f>SUMIF(Sheet45[Hours],A31,Sheet45[registered])</f>
        <v>62</v>
      </c>
      <c r="E31" s="64">
        <f>SUMIF(Sheet45[Hours],A31,Sheet45[cnt])</f>
        <v>69</v>
      </c>
      <c r="F31" s="65">
        <f t="shared" si="0"/>
        <v>1.1184957043280921E-2</v>
      </c>
    </row>
    <row r="32" spans="1:6" x14ac:dyDescent="0.35">
      <c r="A32" s="64">
        <v>5</v>
      </c>
      <c r="B32" s="64">
        <f>COUNTIF('Original Data'!$F$2:$F$1001,A32)</f>
        <v>39</v>
      </c>
      <c r="C32" s="64">
        <f>SUMIF('Original Data'!F7:F1006,A32,'Original Data'!N7:N1006)</f>
        <v>3</v>
      </c>
      <c r="D32" s="64">
        <f>SUMIF(Sheet45[Hours],A32,Sheet45[registered])</f>
        <v>161</v>
      </c>
      <c r="E32" s="64">
        <f>SUMIF(Sheet45[Hours],A32,Sheet45[cnt])</f>
        <v>164</v>
      </c>
      <c r="F32" s="65">
        <f t="shared" si="0"/>
        <v>2.6584535581131465E-2</v>
      </c>
    </row>
    <row r="33" spans="1:6" x14ac:dyDescent="0.35">
      <c r="A33" s="64">
        <v>6</v>
      </c>
      <c r="B33" s="64">
        <f>COUNTIF('Original Data'!$F$2:$F$1001,A33)</f>
        <v>42</v>
      </c>
      <c r="C33" s="64">
        <f>SUMIF('Original Data'!F8:F1007,A33,'Original Data'!N8:N1007)</f>
        <v>21</v>
      </c>
      <c r="D33" s="64">
        <f>SUMIF(Sheet45[Hours],A33,Sheet45[registered])</f>
        <v>801</v>
      </c>
      <c r="E33" s="64">
        <f>SUMIF(Sheet45[Hours],A33,Sheet45[cnt])</f>
        <v>822</v>
      </c>
      <c r="F33" s="65">
        <f t="shared" si="0"/>
        <v>0.13324687955908576</v>
      </c>
    </row>
    <row r="34" spans="1:6" x14ac:dyDescent="0.35">
      <c r="A34" s="64">
        <v>7</v>
      </c>
      <c r="B34" s="64">
        <f>COUNTIF('Original Data'!$F$2:$F$1001,A34)</f>
        <v>43</v>
      </c>
      <c r="C34" s="64">
        <f>SUMIF('Original Data'!F9:F1008,A34,'Original Data'!N9:N1008)</f>
        <v>64</v>
      </c>
      <c r="D34" s="64">
        <f>SUMIF(Sheet45[Hours],A34,Sheet45[registered])</f>
        <v>2275</v>
      </c>
      <c r="E34" s="64">
        <f>SUMIF(Sheet45[Hours],A34,Sheet45[cnt])</f>
        <v>2339</v>
      </c>
      <c r="F34" s="65">
        <f t="shared" si="0"/>
        <v>0.3791538336845518</v>
      </c>
    </row>
    <row r="35" spans="1:6" x14ac:dyDescent="0.35">
      <c r="A35" s="64">
        <v>8</v>
      </c>
      <c r="B35" s="64">
        <f>COUNTIF('Original Data'!$F$2:$F$1001,A35)</f>
        <v>42</v>
      </c>
      <c r="C35" s="64">
        <f>SUMIF('Original Data'!F10:F1009,A35,'Original Data'!N10:N1009)</f>
        <v>127</v>
      </c>
      <c r="D35" s="64">
        <f>SUMIF(Sheet45[Hours],A35,Sheet45[registered])</f>
        <v>5261</v>
      </c>
      <c r="E35" s="64">
        <f>SUMIF(Sheet45[Hours],A35,Sheet45[cnt])</f>
        <v>5388</v>
      </c>
      <c r="F35" s="65">
        <f t="shared" si="0"/>
        <v>0.87339925433619714</v>
      </c>
    </row>
    <row r="36" spans="1:6" x14ac:dyDescent="0.35">
      <c r="A36" s="64">
        <v>9</v>
      </c>
      <c r="B36" s="64">
        <f>COUNTIF('Original Data'!$F$2:$F$1001,A36)</f>
        <v>42</v>
      </c>
      <c r="C36" s="64">
        <f>SUMIF('Original Data'!F11:F1010,A36,'Original Data'!N11:N1010)</f>
        <v>172</v>
      </c>
      <c r="D36" s="64">
        <f>SUMIF(Sheet45[Hours],A36,Sheet45[registered])</f>
        <v>3500</v>
      </c>
      <c r="E36" s="64">
        <f>SUMIF(Sheet45[Hours],A36,Sheet45[cnt])</f>
        <v>3672</v>
      </c>
      <c r="F36" s="65">
        <f t="shared" si="0"/>
        <v>0.59523423569460199</v>
      </c>
    </row>
    <row r="37" spans="1:6" x14ac:dyDescent="0.35">
      <c r="A37" s="64">
        <v>10</v>
      </c>
      <c r="B37" s="64">
        <f>COUNTIF('Original Data'!$F$2:$F$1001,A37)</f>
        <v>42</v>
      </c>
      <c r="C37" s="64">
        <f>SUMIF('Original Data'!F12:F1011,A37,'Original Data'!N12:N1011)</f>
        <v>216</v>
      </c>
      <c r="D37" s="64">
        <f>SUMIF(Sheet45[Hours],A37,Sheet45[registered])</f>
        <v>2037</v>
      </c>
      <c r="E37" s="64">
        <f>SUMIF(Sheet45[Hours],A37,Sheet45[cnt])</f>
        <v>2253</v>
      </c>
      <c r="F37" s="65">
        <f t="shared" si="0"/>
        <v>0.36521316258712921</v>
      </c>
    </row>
    <row r="38" spans="1:6" x14ac:dyDescent="0.35">
      <c r="A38" s="64">
        <v>11</v>
      </c>
      <c r="B38" s="64">
        <f>COUNTIF('Original Data'!$F$2:$F$1001,A38)</f>
        <v>42</v>
      </c>
      <c r="C38" s="64">
        <f>SUMIF('Original Data'!F13:F1012,A38,'Original Data'!N13:N1012)</f>
        <v>367</v>
      </c>
      <c r="D38" s="64">
        <f>SUMIF(Sheet45[Hours],A38,Sheet45[registered])</f>
        <v>2127</v>
      </c>
      <c r="E38" s="64">
        <f>SUMIF(Sheet45[Hours],A38,Sheet45[cnt])</f>
        <v>2494</v>
      </c>
      <c r="F38" s="65">
        <f t="shared" si="0"/>
        <v>0.40427946182525532</v>
      </c>
    </row>
    <row r="39" spans="1:6" x14ac:dyDescent="0.35">
      <c r="A39" s="64">
        <v>12</v>
      </c>
      <c r="B39" s="64">
        <f>COUNTIF('Original Data'!$F$2:$F$1001,A39)</f>
        <v>43</v>
      </c>
      <c r="C39" s="64">
        <f>SUMIF('Original Data'!F14:F1013,A39,'Original Data'!N14:N1013)</f>
        <v>482</v>
      </c>
      <c r="D39" s="64">
        <f>SUMIF(Sheet45[Hours],A39,Sheet45[registered])</f>
        <v>2801</v>
      </c>
      <c r="E39" s="64">
        <f>SUMIF(Sheet45[Hours],A39,Sheet45[cnt])</f>
        <v>3283</v>
      </c>
      <c r="F39" s="65">
        <f t="shared" si="0"/>
        <v>0.53217701410277196</v>
      </c>
    </row>
    <row r="40" spans="1:6" x14ac:dyDescent="0.35">
      <c r="A40" s="64">
        <v>13</v>
      </c>
      <c r="B40" s="64">
        <f>COUNTIF('Original Data'!$F$2:$F$1001,A40)</f>
        <v>43</v>
      </c>
      <c r="C40" s="64">
        <f>SUMIF('Original Data'!F15:F1014,A40,'Original Data'!N15:N1014)</f>
        <v>513</v>
      </c>
      <c r="D40" s="64">
        <f>SUMIF(Sheet45[Hours],A40,Sheet45[registered])</f>
        <v>2863</v>
      </c>
      <c r="E40" s="64">
        <f>SUMIF(Sheet45[Hours],A40,Sheet45[cnt])</f>
        <v>3376</v>
      </c>
      <c r="F40" s="65">
        <f t="shared" si="0"/>
        <v>0.54725239098719403</v>
      </c>
    </row>
    <row r="41" spans="1:6" x14ac:dyDescent="0.35">
      <c r="A41" s="64">
        <v>14</v>
      </c>
      <c r="B41" s="64">
        <f>COUNTIF('Original Data'!$F$2:$F$1001,A41)</f>
        <v>43</v>
      </c>
      <c r="C41" s="64">
        <f>SUMIF('Original Data'!F16:F1015,A41,'Original Data'!N16:N1015)</f>
        <v>466</v>
      </c>
      <c r="D41" s="64">
        <f>SUMIF(Sheet45[Hours],A41,Sheet45[registered])</f>
        <v>2734</v>
      </c>
      <c r="E41" s="64">
        <f>SUMIF(Sheet45[Hours],A41,Sheet45[cnt])</f>
        <v>3200</v>
      </c>
      <c r="F41" s="65">
        <f t="shared" si="0"/>
        <v>0.51872264548549196</v>
      </c>
    </row>
    <row r="42" spans="1:6" x14ac:dyDescent="0.35">
      <c r="A42" s="64">
        <v>15</v>
      </c>
      <c r="B42" s="64">
        <f>COUNTIF('Original Data'!$F$2:$F$1001,A42)</f>
        <v>43</v>
      </c>
      <c r="C42" s="64">
        <f>SUMIF('Original Data'!F17:F1016,A42,'Original Data'!N17:N1016)</f>
        <v>536</v>
      </c>
      <c r="D42" s="64">
        <f>SUMIF(Sheet45[Hours],A42,Sheet45[registered])</f>
        <v>2816</v>
      </c>
      <c r="E42" s="64">
        <f>SUMIF(Sheet45[Hours],A42,Sheet45[cnt])</f>
        <v>3352</v>
      </c>
      <c r="F42" s="65">
        <f t="shared" si="0"/>
        <v>0.54336197114605289</v>
      </c>
    </row>
    <row r="43" spans="1:6" x14ac:dyDescent="0.35">
      <c r="A43" s="64">
        <v>16</v>
      </c>
      <c r="B43" s="64">
        <f>COUNTIF('Original Data'!$F$2:$F$1001,A43)</f>
        <v>44</v>
      </c>
      <c r="C43" s="64">
        <f>SUMIF('Original Data'!F18:F1017,A43,'Original Data'!N18:N1017)</f>
        <v>493</v>
      </c>
      <c r="D43" s="64">
        <f>SUMIF(Sheet45[Hours],A43,Sheet45[registered])</f>
        <v>3435</v>
      </c>
      <c r="E43" s="64">
        <f>SUMIF(Sheet45[Hours],A43,Sheet45[cnt])</f>
        <v>3928</v>
      </c>
      <c r="F43" s="65">
        <f t="shared" si="0"/>
        <v>0.63673204733344135</v>
      </c>
    </row>
    <row r="44" spans="1:6" x14ac:dyDescent="0.35">
      <c r="A44" s="64">
        <v>17</v>
      </c>
      <c r="B44" s="64">
        <f>COUNTIF('Original Data'!$F$2:$F$1001,A44)</f>
        <v>44</v>
      </c>
      <c r="C44" s="64">
        <f>SUMIF('Original Data'!F19:F1018,A44,'Original Data'!N19:N1018)</f>
        <v>395</v>
      </c>
      <c r="D44" s="64">
        <f>SUMIF(Sheet45[Hours],A44,Sheet45[registered])</f>
        <v>5774</v>
      </c>
      <c r="E44" s="64">
        <f>SUMIF(Sheet45[Hours],A44,Sheet45[cnt])</f>
        <v>6169</v>
      </c>
      <c r="F44" s="65">
        <f t="shared" si="0"/>
        <v>1</v>
      </c>
    </row>
    <row r="45" spans="1:6" s="60" customFormat="1" x14ac:dyDescent="0.35">
      <c r="A45" s="64">
        <v>18</v>
      </c>
      <c r="B45" s="64">
        <f>COUNTIF('Original Data'!$F$2:$F$1001,A45)</f>
        <v>43</v>
      </c>
      <c r="C45" s="64">
        <f>SUMIF('Original Data'!F20:F1019,A45,'Original Data'!N20:N1019)</f>
        <v>222</v>
      </c>
      <c r="D45" s="64">
        <f>SUMIF(Sheet45[Hours],A45,Sheet45[registered])</f>
        <v>5061</v>
      </c>
      <c r="E45" s="64">
        <f>SUMIF(Sheet45[Hours],A45,Sheet45[cnt])</f>
        <v>5283</v>
      </c>
      <c r="F45" s="65">
        <f t="shared" si="0"/>
        <v>0.8563786675312044</v>
      </c>
    </row>
    <row r="46" spans="1:6" x14ac:dyDescent="0.35">
      <c r="A46" s="64">
        <v>19</v>
      </c>
      <c r="B46" s="64">
        <f>COUNTIF('Original Data'!$F$2:$F$1001,A46)</f>
        <v>43</v>
      </c>
      <c r="C46" s="64">
        <f>SUMIF('Original Data'!F20:F1019,A46,'Original Data'!N20:N1019)</f>
        <v>187</v>
      </c>
      <c r="D46" s="64">
        <f>SUMIF(Sheet45[Hours],A46,Sheet45[registered])</f>
        <v>3474</v>
      </c>
      <c r="E46" s="64">
        <f>SUMIF(Sheet45[Hours],A46,Sheet45[cnt])</f>
        <v>3661</v>
      </c>
      <c r="F46" s="65">
        <f t="shared" si="0"/>
        <v>0.59345112660074562</v>
      </c>
    </row>
    <row r="47" spans="1:6" x14ac:dyDescent="0.35">
      <c r="A47" s="64">
        <v>20</v>
      </c>
      <c r="B47" s="64">
        <f>COUNTIF('Original Data'!$F$2:$F$1001,A47)</f>
        <v>43</v>
      </c>
      <c r="C47" s="64">
        <f>SUMIF('Original Data'!F21:F1020,A47,'Original Data'!N21:N1020)</f>
        <v>140</v>
      </c>
      <c r="D47" s="64">
        <f>SUMIF(Sheet45[Hours],A47,Sheet45[registered])</f>
        <v>2516</v>
      </c>
      <c r="E47" s="64">
        <f>SUMIF(Sheet45[Hours],A47,Sheet45[cnt])</f>
        <v>2656</v>
      </c>
      <c r="F47" s="65">
        <f t="shared" si="0"/>
        <v>0.43053979575295837</v>
      </c>
    </row>
    <row r="48" spans="1:6" x14ac:dyDescent="0.35">
      <c r="A48" s="64">
        <v>21</v>
      </c>
      <c r="B48" s="64">
        <f>COUNTIF('Original Data'!$F$2:$F$1001,A48)</f>
        <v>43</v>
      </c>
      <c r="C48" s="64">
        <f>SUMIF('Original Data'!F22:F1021,A48,'Original Data'!N22:N1021)</f>
        <v>117</v>
      </c>
      <c r="D48" s="64">
        <f>SUMIF(Sheet45[Hours],A48,Sheet45[registered])</f>
        <v>1879</v>
      </c>
      <c r="E48" s="64">
        <f>SUMIF(Sheet45[Hours],A48,Sheet45[cnt])</f>
        <v>1996</v>
      </c>
      <c r="F48" s="65">
        <f t="shared" si="0"/>
        <v>0.3235532501215756</v>
      </c>
    </row>
    <row r="49" spans="1:19" x14ac:dyDescent="0.35">
      <c r="A49" s="64">
        <v>22</v>
      </c>
      <c r="B49" s="64">
        <f>COUNTIF('Original Data'!$F$2:$F$1001,A49)</f>
        <v>43</v>
      </c>
      <c r="C49" s="64">
        <f>SUMIF('Original Data'!F23:F1022,A49,'Original Data'!N23:N1022)</f>
        <v>103</v>
      </c>
      <c r="D49" s="64">
        <f>SUMIF(Sheet45[Hours],A49,Sheet45[registered])</f>
        <v>1405</v>
      </c>
      <c r="E49" s="64">
        <f>SUMIF(Sheet45[Hours],A49,Sheet45[cnt])</f>
        <v>1508</v>
      </c>
      <c r="F49" s="65">
        <f t="shared" si="0"/>
        <v>0.24444804668503808</v>
      </c>
    </row>
    <row r="50" spans="1:19" x14ac:dyDescent="0.35">
      <c r="A50" s="64">
        <v>23</v>
      </c>
      <c r="B50" s="64">
        <f>COUNTIF('Original Data'!$F$2:$F$1001,A50)</f>
        <v>43</v>
      </c>
      <c r="C50" s="64">
        <f>SUMIF('Original Data'!F24:F1023,A50,'Original Data'!N24:N1023)</f>
        <v>101</v>
      </c>
      <c r="D50" s="64">
        <f>SUMIF(Sheet45[Hours],A50,Sheet45[registered])</f>
        <v>982</v>
      </c>
      <c r="E50" s="64">
        <f>SUMIF(Sheet45[Hours],A50,Sheet45[cnt])</f>
        <v>1083</v>
      </c>
      <c r="F50" s="65">
        <f t="shared" si="0"/>
        <v>0.17555519533149619</v>
      </c>
    </row>
    <row r="51" spans="1:19" x14ac:dyDescent="0.35">
      <c r="A51" s="66" t="s">
        <v>138</v>
      </c>
      <c r="B51" s="81">
        <f>SUM(B27:B50)</f>
        <v>1000</v>
      </c>
      <c r="C51" s="81">
        <f>SUM(C27:C50)</f>
        <v>4921</v>
      </c>
      <c r="D51" s="81">
        <f>SUM(D27:D50)</f>
        <v>53383</v>
      </c>
      <c r="E51" s="81">
        <f>SUM(E27:E50)</f>
        <v>58304</v>
      </c>
      <c r="F51" s="65"/>
    </row>
    <row r="54" spans="1:19" ht="18.5" x14ac:dyDescent="0.45">
      <c r="A54" s="62" t="s">
        <v>145</v>
      </c>
      <c r="B54" s="64"/>
      <c r="C54" s="64"/>
      <c r="D54" s="64"/>
      <c r="F54" s="112" t="s">
        <v>195</v>
      </c>
      <c r="G54" s="112"/>
      <c r="H54" s="112"/>
      <c r="I54" s="112"/>
      <c r="J54" s="112"/>
      <c r="K54" s="112"/>
      <c r="L54" s="112"/>
      <c r="M54" s="112"/>
      <c r="N54" s="112"/>
      <c r="O54" s="112"/>
      <c r="P54" s="112"/>
      <c r="Q54" s="112"/>
      <c r="R54" s="112"/>
      <c r="S54" s="112"/>
    </row>
    <row r="55" spans="1:19" x14ac:dyDescent="0.35">
      <c r="A55" s="63" t="s">
        <v>146</v>
      </c>
      <c r="B55" s="63" t="s">
        <v>147</v>
      </c>
      <c r="C55" s="63" t="s">
        <v>148</v>
      </c>
      <c r="D55" s="63" t="s">
        <v>149</v>
      </c>
      <c r="F55" s="123" t="s">
        <v>9</v>
      </c>
      <c r="G55" s="123"/>
      <c r="H55" s="123" t="s">
        <v>10</v>
      </c>
      <c r="I55" s="123"/>
      <c r="J55" s="123" t="s">
        <v>11</v>
      </c>
      <c r="K55" s="123"/>
      <c r="L55" s="123" t="s">
        <v>12</v>
      </c>
      <c r="M55" s="123"/>
      <c r="N55" s="123" t="s">
        <v>13</v>
      </c>
      <c r="O55" s="123"/>
      <c r="P55" s="123" t="s">
        <v>14</v>
      </c>
      <c r="Q55" s="123"/>
      <c r="R55" s="123" t="s">
        <v>15</v>
      </c>
      <c r="S55" s="123"/>
    </row>
    <row r="56" spans="1:19" x14ac:dyDescent="0.35">
      <c r="A56" s="68" t="s">
        <v>150</v>
      </c>
      <c r="B56" s="64">
        <f>_xlfn.STDEV.S(Sheet45[cnt])</f>
        <v>50.985557867999354</v>
      </c>
      <c r="C56" s="69">
        <f>_xlfn.STDEV.S(Sheet45[cnt])</f>
        <v>50.985557867999354</v>
      </c>
      <c r="D56" s="70" t="s">
        <v>160</v>
      </c>
      <c r="F56" s="64"/>
      <c r="G56" s="64"/>
      <c r="H56" s="64"/>
      <c r="I56" s="64"/>
      <c r="J56" s="64"/>
      <c r="K56" s="64"/>
      <c r="L56" s="64"/>
      <c r="M56" s="64"/>
      <c r="N56" s="64"/>
      <c r="O56" s="64"/>
      <c r="P56" s="64"/>
      <c r="Q56" s="64"/>
      <c r="R56" s="64"/>
      <c r="S56" s="64"/>
    </row>
    <row r="57" spans="1:19" x14ac:dyDescent="0.35">
      <c r="A57" s="68" t="s">
        <v>151</v>
      </c>
      <c r="B57" s="64">
        <f>_xlfn.STDEV.S(Sheet45[casual])</f>
        <v>7.6438987557520797</v>
      </c>
      <c r="C57" s="69">
        <f>_xlfn.STDEV.S(Sheet45[casual])</f>
        <v>7.6438987557520797</v>
      </c>
      <c r="D57" s="70" t="s">
        <v>161</v>
      </c>
      <c r="F57" s="64" t="s">
        <v>180</v>
      </c>
      <c r="G57" s="64">
        <v>0.20589999999999961</v>
      </c>
      <c r="H57" s="64" t="s">
        <v>180</v>
      </c>
      <c r="I57" s="64">
        <v>0.20962630000000054</v>
      </c>
      <c r="J57" s="64" t="s">
        <v>180</v>
      </c>
      <c r="K57" s="64">
        <v>0.58248000000000033</v>
      </c>
      <c r="L57" s="64" t="s">
        <v>180</v>
      </c>
      <c r="M57" s="64">
        <v>0.19493129999999903</v>
      </c>
      <c r="N57" s="64" t="s">
        <v>180</v>
      </c>
      <c r="O57" s="64">
        <v>4.9210000000000003</v>
      </c>
      <c r="P57" s="64" t="s">
        <v>180</v>
      </c>
      <c r="Q57" s="64">
        <v>53.383000000000003</v>
      </c>
      <c r="R57" s="64" t="s">
        <v>180</v>
      </c>
      <c r="S57" s="64">
        <v>58.304000000000002</v>
      </c>
    </row>
    <row r="58" spans="1:19" x14ac:dyDescent="0.35">
      <c r="A58" s="68" t="s">
        <v>152</v>
      </c>
      <c r="B58" s="64">
        <f>_xlfn.STDEV.S(Sheet45[registered])</f>
        <v>47.893967711426278</v>
      </c>
      <c r="C58" s="69">
        <f>_xlfn.STDEV.S(Sheet45[registered])</f>
        <v>47.893967711426278</v>
      </c>
      <c r="D58" s="70" t="s">
        <v>162</v>
      </c>
      <c r="F58" s="64" t="s">
        <v>181</v>
      </c>
      <c r="G58" s="64">
        <v>2.4974842196553806E-3</v>
      </c>
      <c r="H58" s="64" t="s">
        <v>181</v>
      </c>
      <c r="I58" s="64">
        <v>2.5115320367220654E-3</v>
      </c>
      <c r="J58" s="64" t="s">
        <v>181</v>
      </c>
      <c r="K58" s="64">
        <v>5.9443574072378961E-3</v>
      </c>
      <c r="L58" s="64" t="s">
        <v>181</v>
      </c>
      <c r="M58" s="64">
        <v>4.0833247472252168E-3</v>
      </c>
      <c r="N58" s="64" t="s">
        <v>181</v>
      </c>
      <c r="O58" s="64">
        <v>0.24172130271903672</v>
      </c>
      <c r="P58" s="64" t="s">
        <v>181</v>
      </c>
      <c r="Q58" s="64">
        <v>1.51454024150669</v>
      </c>
      <c r="R58" s="64" t="s">
        <v>181</v>
      </c>
      <c r="S58" s="64">
        <v>1.612304906371965</v>
      </c>
    </row>
    <row r="59" spans="1:19" x14ac:dyDescent="0.35">
      <c r="A59" s="68" t="s">
        <v>153</v>
      </c>
      <c r="B59" s="64">
        <f>CORREL(Sheet45[Temp],Sheet45[cnt])</f>
        <v>0.22929155386993369</v>
      </c>
      <c r="C59" s="69">
        <f>CORREL(Sheet45[Temp],Sheet45[cnt])</f>
        <v>0.22929155386993369</v>
      </c>
      <c r="D59" s="70" t="s">
        <v>163</v>
      </c>
      <c r="F59" s="64" t="s">
        <v>182</v>
      </c>
      <c r="G59" s="64">
        <v>0.2</v>
      </c>
      <c r="H59" s="64" t="s">
        <v>182</v>
      </c>
      <c r="I59" s="64">
        <v>0.21210000000000001</v>
      </c>
      <c r="J59" s="64" t="s">
        <v>182</v>
      </c>
      <c r="K59" s="64">
        <v>0.55000000000000004</v>
      </c>
      <c r="L59" s="64" t="s">
        <v>182</v>
      </c>
      <c r="M59" s="64">
        <v>0.16420000000000001</v>
      </c>
      <c r="N59" s="64" t="s">
        <v>182</v>
      </c>
      <c r="O59" s="64">
        <v>3</v>
      </c>
      <c r="P59" s="64" t="s">
        <v>182</v>
      </c>
      <c r="Q59" s="64">
        <v>46</v>
      </c>
      <c r="R59" s="64" t="s">
        <v>182</v>
      </c>
      <c r="S59" s="64">
        <v>49</v>
      </c>
    </row>
    <row r="60" spans="1:19" x14ac:dyDescent="0.35">
      <c r="A60" s="68" t="s">
        <v>154</v>
      </c>
      <c r="B60" s="64">
        <f>CORREL(Sheet45[atemp],Sheet45[cnt])</f>
        <v>0.20071722405460785</v>
      </c>
      <c r="C60" s="69">
        <f>CORREL(Sheet45[atemp],Sheet45[cnt])</f>
        <v>0.20071722405460785</v>
      </c>
      <c r="D60" s="70" t="s">
        <v>164</v>
      </c>
      <c r="F60" s="64" t="s">
        <v>183</v>
      </c>
      <c r="G60" s="64">
        <v>0.22</v>
      </c>
      <c r="H60" s="64" t="s">
        <v>183</v>
      </c>
      <c r="I60" s="64">
        <v>0.2273</v>
      </c>
      <c r="J60" s="64" t="s">
        <v>183</v>
      </c>
      <c r="K60" s="64">
        <v>0.93</v>
      </c>
      <c r="L60" s="64" t="s">
        <v>183</v>
      </c>
      <c r="M60" s="64">
        <v>0</v>
      </c>
      <c r="N60" s="64" t="s">
        <v>183</v>
      </c>
      <c r="O60" s="64">
        <v>0</v>
      </c>
      <c r="P60" s="64" t="s">
        <v>183</v>
      </c>
      <c r="Q60" s="64">
        <v>1</v>
      </c>
      <c r="R60" s="64" t="s">
        <v>183</v>
      </c>
      <c r="S60" s="64">
        <v>1</v>
      </c>
    </row>
    <row r="61" spans="1:19" x14ac:dyDescent="0.35">
      <c r="A61" s="68" t="s">
        <v>155</v>
      </c>
      <c r="B61" s="64">
        <f>CORREL(Sheet45[hum],Sheet45[cnt])</f>
        <v>-0.25435329828790432</v>
      </c>
      <c r="C61" s="69">
        <f>CORREL(Sheet45[hum],Sheet45[cnt])</f>
        <v>-0.25435329828790432</v>
      </c>
      <c r="D61" s="70" t="s">
        <v>165</v>
      </c>
      <c r="F61" s="64" t="s">
        <v>184</v>
      </c>
      <c r="G61" s="64">
        <v>7.8977385544392681E-2</v>
      </c>
      <c r="H61" s="64" t="s">
        <v>184</v>
      </c>
      <c r="I61" s="64">
        <v>7.9421616525233774E-2</v>
      </c>
      <c r="J61" s="64" t="s">
        <v>184</v>
      </c>
      <c r="K61" s="64">
        <v>0.18797708632964827</v>
      </c>
      <c r="L61" s="64" t="s">
        <v>184</v>
      </c>
      <c r="M61" s="64">
        <v>0.12912606627362996</v>
      </c>
      <c r="N61" s="64" t="s">
        <v>184</v>
      </c>
      <c r="O61" s="64">
        <v>7.6438987557520797</v>
      </c>
      <c r="P61" s="64" t="s">
        <v>184</v>
      </c>
      <c r="Q61" s="64">
        <v>47.893967711426278</v>
      </c>
      <c r="R61" s="64" t="s">
        <v>184</v>
      </c>
      <c r="S61" s="64">
        <v>50.985557867999354</v>
      </c>
    </row>
    <row r="62" spans="1:19" x14ac:dyDescent="0.35">
      <c r="A62" s="68" t="s">
        <v>156</v>
      </c>
      <c r="B62" s="64">
        <f>CORREL(Sheet45[windspeed],Sheet45[cnt])</f>
        <v>0.10399668008577614</v>
      </c>
      <c r="C62" s="69">
        <f>CORREL(Sheet45[windspeed],Sheet45[cnt])</f>
        <v>0.10399668008577614</v>
      </c>
      <c r="D62" s="70" t="s">
        <v>166</v>
      </c>
      <c r="F62" s="64" t="s">
        <v>185</v>
      </c>
      <c r="G62" s="64">
        <v>6.2374274274276456E-3</v>
      </c>
      <c r="H62" s="64" t="s">
        <v>185</v>
      </c>
      <c r="I62" s="64">
        <v>6.3077931714812874E-3</v>
      </c>
      <c r="J62" s="64" t="s">
        <v>185</v>
      </c>
      <c r="K62" s="64">
        <v>3.5335384984984043E-2</v>
      </c>
      <c r="L62" s="64" t="s">
        <v>185</v>
      </c>
      <c r="M62" s="64">
        <v>1.6673540991301875E-2</v>
      </c>
      <c r="N62" s="64" t="s">
        <v>185</v>
      </c>
      <c r="O62" s="64">
        <v>58.429188188188185</v>
      </c>
      <c r="P62" s="64" t="s">
        <v>185</v>
      </c>
      <c r="Q62" s="64">
        <v>2293.8321431431432</v>
      </c>
      <c r="R62" s="64" t="s">
        <v>185</v>
      </c>
      <c r="S62" s="64">
        <v>2599.527111111111</v>
      </c>
    </row>
    <row r="63" spans="1:19" x14ac:dyDescent="0.35">
      <c r="A63" s="68" t="s">
        <v>157</v>
      </c>
      <c r="B63" s="64">
        <f>CORREL(Sheet45[casual],Sheet45[registered])</f>
        <v>0.33770561189314974</v>
      </c>
      <c r="C63" s="69">
        <f>CORREL(Sheet45[casual],Sheet45[registered])</f>
        <v>0.33770561189314974</v>
      </c>
      <c r="D63" s="70" t="s">
        <v>167</v>
      </c>
      <c r="F63" s="64" t="s">
        <v>186</v>
      </c>
      <c r="G63" s="64">
        <v>0.77506113468998628</v>
      </c>
      <c r="H63" s="64" t="s">
        <v>186</v>
      </c>
      <c r="I63" s="64">
        <v>0.74429591128072969</v>
      </c>
      <c r="J63" s="64" t="s">
        <v>186</v>
      </c>
      <c r="K63" s="64">
        <v>-0.72312265429044098</v>
      </c>
      <c r="L63" s="64" t="s">
        <v>186</v>
      </c>
      <c r="M63" s="64">
        <v>-0.2098533612109148</v>
      </c>
      <c r="N63" s="64" t="s">
        <v>186</v>
      </c>
      <c r="O63" s="64">
        <v>15.097739783279556</v>
      </c>
      <c r="P63" s="64" t="s">
        <v>186</v>
      </c>
      <c r="Q63" s="64">
        <v>1.6425062532387078</v>
      </c>
      <c r="R63" s="64" t="s">
        <v>186</v>
      </c>
      <c r="S63" s="64">
        <v>1.0266606324511431</v>
      </c>
    </row>
    <row r="64" spans="1:19" x14ac:dyDescent="0.35">
      <c r="A64" s="68" t="s">
        <v>158</v>
      </c>
      <c r="B64" s="64">
        <f>COUNTIF(Sheet45[cnt],"&gt;100")</f>
        <v>170</v>
      </c>
      <c r="C64" s="71">
        <f>COUNTIF(Sheet45[cnt],"&gt;100")</f>
        <v>170</v>
      </c>
      <c r="D64" s="70" t="s">
        <v>168</v>
      </c>
      <c r="F64" s="64" t="s">
        <v>187</v>
      </c>
      <c r="G64" s="64">
        <v>0.54799688242036793</v>
      </c>
      <c r="H64" s="64" t="s">
        <v>187</v>
      </c>
      <c r="I64" s="64">
        <v>0.26033939879935991</v>
      </c>
      <c r="J64" s="64" t="s">
        <v>187</v>
      </c>
      <c r="K64" s="64">
        <v>0.43689346451282174</v>
      </c>
      <c r="L64" s="64" t="s">
        <v>187</v>
      </c>
      <c r="M64" s="64">
        <v>0.43367506246880855</v>
      </c>
      <c r="N64" s="64" t="s">
        <v>187</v>
      </c>
      <c r="O64" s="64">
        <v>3.4141050413066441</v>
      </c>
      <c r="P64" s="64" t="s">
        <v>187</v>
      </c>
      <c r="Q64" s="64">
        <v>1.296723304637722</v>
      </c>
      <c r="R64" s="64" t="s">
        <v>187</v>
      </c>
      <c r="S64" s="64">
        <v>1.1377091237001229</v>
      </c>
    </row>
    <row r="65" spans="1:19" x14ac:dyDescent="0.35">
      <c r="A65" s="68" t="s">
        <v>159</v>
      </c>
      <c r="B65" s="64">
        <f>SUMIF(Sheet45[cnt],"&gt;100",Sheet45[cnt])</f>
        <v>25164</v>
      </c>
      <c r="C65" s="71">
        <f>SUMIF(Sheet45[cnt],"&gt;100",Sheet45[cnt])</f>
        <v>25164</v>
      </c>
      <c r="D65" s="70" t="s">
        <v>169</v>
      </c>
      <c r="F65" s="64" t="s">
        <v>188</v>
      </c>
      <c r="G65" s="64">
        <v>0.44</v>
      </c>
      <c r="H65" s="64" t="s">
        <v>188</v>
      </c>
      <c r="I65" s="64">
        <v>0.45450000000000002</v>
      </c>
      <c r="J65" s="64" t="s">
        <v>188</v>
      </c>
      <c r="K65" s="64">
        <v>0.79</v>
      </c>
      <c r="L65" s="64" t="s">
        <v>188</v>
      </c>
      <c r="M65" s="64">
        <v>0.58209999999999995</v>
      </c>
      <c r="N65" s="64" t="s">
        <v>188</v>
      </c>
      <c r="O65" s="64">
        <v>62</v>
      </c>
      <c r="P65" s="64" t="s">
        <v>188</v>
      </c>
      <c r="Q65" s="64">
        <v>247</v>
      </c>
      <c r="R65" s="64" t="s">
        <v>188</v>
      </c>
      <c r="S65" s="64">
        <v>248</v>
      </c>
    </row>
    <row r="66" spans="1:19" x14ac:dyDescent="0.35">
      <c r="F66" s="64" t="s">
        <v>189</v>
      </c>
      <c r="G66" s="64">
        <v>0.02</v>
      </c>
      <c r="H66" s="64" t="s">
        <v>189</v>
      </c>
      <c r="I66" s="64">
        <v>0</v>
      </c>
      <c r="J66" s="64" t="s">
        <v>189</v>
      </c>
      <c r="K66" s="64">
        <v>0.21</v>
      </c>
      <c r="L66" s="64" t="s">
        <v>189</v>
      </c>
      <c r="M66" s="64">
        <v>0</v>
      </c>
      <c r="N66" s="64" t="s">
        <v>189</v>
      </c>
      <c r="O66" s="64">
        <v>0</v>
      </c>
      <c r="P66" s="64" t="s">
        <v>189</v>
      </c>
      <c r="Q66" s="64">
        <v>0</v>
      </c>
      <c r="R66" s="64" t="s">
        <v>189</v>
      </c>
      <c r="S66" s="64">
        <v>1</v>
      </c>
    </row>
    <row r="67" spans="1:19" x14ac:dyDescent="0.35">
      <c r="F67" s="64" t="s">
        <v>190</v>
      </c>
      <c r="G67" s="64">
        <v>0.46</v>
      </c>
      <c r="H67" s="64" t="s">
        <v>190</v>
      </c>
      <c r="I67" s="64">
        <v>0.45450000000000002</v>
      </c>
      <c r="J67" s="64" t="s">
        <v>190</v>
      </c>
      <c r="K67" s="64">
        <v>1</v>
      </c>
      <c r="L67" s="64" t="s">
        <v>190</v>
      </c>
      <c r="M67" s="64">
        <v>0.58209999999999995</v>
      </c>
      <c r="N67" s="64" t="s">
        <v>190</v>
      </c>
      <c r="O67" s="64">
        <v>62</v>
      </c>
      <c r="P67" s="64" t="s">
        <v>190</v>
      </c>
      <c r="Q67" s="64">
        <v>247</v>
      </c>
      <c r="R67" s="64" t="s">
        <v>190</v>
      </c>
      <c r="S67" s="64">
        <v>249</v>
      </c>
    </row>
    <row r="68" spans="1:19" x14ac:dyDescent="0.35">
      <c r="F68" s="64" t="s">
        <v>191</v>
      </c>
      <c r="G68" s="64">
        <v>205.89999999999961</v>
      </c>
      <c r="H68" s="64" t="s">
        <v>191</v>
      </c>
      <c r="I68" s="64">
        <v>209.62630000000055</v>
      </c>
      <c r="J68" s="64" t="s">
        <v>191</v>
      </c>
      <c r="K68" s="64">
        <v>582.48000000000036</v>
      </c>
      <c r="L68" s="64" t="s">
        <v>191</v>
      </c>
      <c r="M68" s="64">
        <v>194.93129999999903</v>
      </c>
      <c r="N68" s="64" t="s">
        <v>191</v>
      </c>
      <c r="O68" s="64">
        <v>4921</v>
      </c>
      <c r="P68" s="64" t="s">
        <v>191</v>
      </c>
      <c r="Q68" s="64">
        <v>53383</v>
      </c>
      <c r="R68" s="64" t="s">
        <v>191</v>
      </c>
      <c r="S68" s="64">
        <v>58304</v>
      </c>
    </row>
    <row r="69" spans="1:19" x14ac:dyDescent="0.35">
      <c r="F69" s="64" t="s">
        <v>192</v>
      </c>
      <c r="G69" s="64">
        <v>1000</v>
      </c>
      <c r="H69" s="64" t="s">
        <v>192</v>
      </c>
      <c r="I69" s="64">
        <v>1000</v>
      </c>
      <c r="J69" s="64" t="s">
        <v>192</v>
      </c>
      <c r="K69" s="64">
        <v>1000</v>
      </c>
      <c r="L69" s="64" t="s">
        <v>192</v>
      </c>
      <c r="M69" s="64">
        <v>1000</v>
      </c>
      <c r="N69" s="64" t="s">
        <v>192</v>
      </c>
      <c r="O69" s="64">
        <v>1000</v>
      </c>
      <c r="P69" s="64" t="s">
        <v>192</v>
      </c>
      <c r="Q69" s="64">
        <v>1000</v>
      </c>
      <c r="R69" s="64" t="s">
        <v>192</v>
      </c>
      <c r="S69" s="64">
        <v>1000</v>
      </c>
    </row>
    <row r="70" spans="1:19" x14ac:dyDescent="0.35">
      <c r="F70" s="64" t="s">
        <v>193</v>
      </c>
      <c r="G70" s="64">
        <v>0.46</v>
      </c>
      <c r="H70" s="64" t="s">
        <v>193</v>
      </c>
      <c r="I70" s="64">
        <v>0.45450000000000002</v>
      </c>
      <c r="J70" s="64" t="s">
        <v>193</v>
      </c>
      <c r="K70" s="64">
        <v>1</v>
      </c>
      <c r="L70" s="64" t="s">
        <v>193</v>
      </c>
      <c r="M70" s="64">
        <v>0.58209999999999995</v>
      </c>
      <c r="N70" s="64" t="s">
        <v>193</v>
      </c>
      <c r="O70" s="64">
        <v>58</v>
      </c>
      <c r="P70" s="64" t="s">
        <v>193</v>
      </c>
      <c r="Q70" s="64">
        <v>236</v>
      </c>
      <c r="R70" s="64" t="s">
        <v>193</v>
      </c>
      <c r="S70" s="64">
        <v>243</v>
      </c>
    </row>
    <row r="71" spans="1:19" x14ac:dyDescent="0.35">
      <c r="F71" s="64" t="s">
        <v>194</v>
      </c>
      <c r="G71" s="64">
        <v>0.02</v>
      </c>
      <c r="H71" s="64" t="s">
        <v>194</v>
      </c>
      <c r="I71" s="64">
        <v>0</v>
      </c>
      <c r="J71" s="64" t="s">
        <v>194</v>
      </c>
      <c r="K71" s="64">
        <v>0.21</v>
      </c>
      <c r="L71" s="64" t="s">
        <v>194</v>
      </c>
      <c r="M71" s="64">
        <v>0</v>
      </c>
      <c r="N71" s="64" t="s">
        <v>194</v>
      </c>
      <c r="O71" s="64">
        <v>0</v>
      </c>
      <c r="P71" s="64" t="s">
        <v>194</v>
      </c>
      <c r="Q71" s="64">
        <v>0</v>
      </c>
      <c r="R71" s="64" t="s">
        <v>194</v>
      </c>
      <c r="S71" s="64">
        <v>1</v>
      </c>
    </row>
    <row r="74" spans="1:19" ht="18.5" x14ac:dyDescent="0.45">
      <c r="F74" s="112" t="s">
        <v>196</v>
      </c>
      <c r="G74" s="112"/>
      <c r="H74" s="112"/>
      <c r="I74" s="112"/>
      <c r="J74" s="112"/>
      <c r="K74" s="112"/>
      <c r="L74" s="112"/>
      <c r="M74" s="112"/>
    </row>
    <row r="75" spans="1:19" x14ac:dyDescent="0.35">
      <c r="F75" s="102"/>
      <c r="G75" s="102" t="s">
        <v>9</v>
      </c>
      <c r="H75" s="102" t="s">
        <v>10</v>
      </c>
      <c r="I75" s="102" t="s">
        <v>11</v>
      </c>
      <c r="J75" s="102" t="s">
        <v>12</v>
      </c>
      <c r="K75" s="102" t="s">
        <v>13</v>
      </c>
      <c r="L75" s="102" t="s">
        <v>14</v>
      </c>
      <c r="M75" s="102" t="s">
        <v>15</v>
      </c>
    </row>
    <row r="76" spans="1:19" x14ac:dyDescent="0.35">
      <c r="F76" s="123" t="s">
        <v>9</v>
      </c>
      <c r="G76" s="109">
        <v>1</v>
      </c>
      <c r="H76" s="109"/>
      <c r="I76" s="109"/>
      <c r="J76" s="109"/>
      <c r="K76" s="109"/>
      <c r="L76" s="109"/>
      <c r="M76" s="109"/>
    </row>
    <row r="77" spans="1:19" x14ac:dyDescent="0.35">
      <c r="F77" s="123" t="s">
        <v>10</v>
      </c>
      <c r="G77" s="109">
        <v>0.83656444191138579</v>
      </c>
      <c r="H77" s="109">
        <v>1</v>
      </c>
      <c r="I77" s="109"/>
      <c r="J77" s="109"/>
      <c r="K77" s="109"/>
      <c r="L77" s="109"/>
      <c r="M77" s="109"/>
    </row>
    <row r="78" spans="1:19" x14ac:dyDescent="0.35">
      <c r="F78" s="123" t="s">
        <v>11</v>
      </c>
      <c r="G78" s="109">
        <v>8.0720147162812214E-2</v>
      </c>
      <c r="H78" s="109">
        <v>0.17543150697987131</v>
      </c>
      <c r="I78" s="109">
        <v>1</v>
      </c>
      <c r="J78" s="109"/>
      <c r="K78" s="109"/>
      <c r="L78" s="109"/>
      <c r="M78" s="109"/>
    </row>
    <row r="79" spans="1:19" x14ac:dyDescent="0.35">
      <c r="F79" s="123" t="s">
        <v>12</v>
      </c>
      <c r="G79" s="109">
        <v>0.12262532562998485</v>
      </c>
      <c r="H79" s="109">
        <v>-0.20996903551973625</v>
      </c>
      <c r="I79" s="109">
        <v>-0.38555034700358864</v>
      </c>
      <c r="J79" s="109">
        <v>1</v>
      </c>
      <c r="K79" s="109"/>
      <c r="L79" s="109"/>
      <c r="M79" s="109"/>
    </row>
    <row r="80" spans="1:19" x14ac:dyDescent="0.35">
      <c r="F80" s="123" t="s">
        <v>13</v>
      </c>
      <c r="G80" s="109">
        <v>0.47022073160199324</v>
      </c>
      <c r="H80" s="109">
        <v>0.40689383027013698</v>
      </c>
      <c r="I80" s="109">
        <v>-0.2594074545428624</v>
      </c>
      <c r="J80" s="109">
        <v>0.12939194234487605</v>
      </c>
      <c r="K80" s="109">
        <v>1</v>
      </c>
      <c r="L80" s="109"/>
      <c r="M80" s="109"/>
    </row>
    <row r="81" spans="6:13" x14ac:dyDescent="0.35">
      <c r="F81" s="123" t="s">
        <v>14</v>
      </c>
      <c r="G81" s="109">
        <v>0.16904504909761614</v>
      </c>
      <c r="H81" s="109">
        <v>0.14873322757754825</v>
      </c>
      <c r="I81" s="109">
        <v>-0.22937044088624536</v>
      </c>
      <c r="J81" s="109">
        <v>9.0058728679306796E-2</v>
      </c>
      <c r="K81" s="109">
        <v>0.33770561189314974</v>
      </c>
      <c r="L81" s="109">
        <v>1</v>
      </c>
      <c r="M81" s="109"/>
    </row>
    <row r="82" spans="6:13" x14ac:dyDescent="0.35">
      <c r="F82" s="123" t="s">
        <v>15</v>
      </c>
      <c r="G82" s="109">
        <v>0.22929155386993369</v>
      </c>
      <c r="H82" s="109">
        <v>0.20071722405460785</v>
      </c>
      <c r="I82" s="109">
        <v>-0.25435329828790432</v>
      </c>
      <c r="J82" s="109">
        <v>0.10399668008577614</v>
      </c>
      <c r="K82" s="109">
        <v>0.46715111933058207</v>
      </c>
      <c r="L82" s="109">
        <v>0.98999319275208175</v>
      </c>
      <c r="M82" s="109">
        <v>1</v>
      </c>
    </row>
  </sheetData>
  <mergeCells count="9">
    <mergeCell ref="F54:S54"/>
    <mergeCell ref="F74:M74"/>
    <mergeCell ref="B4:C4"/>
    <mergeCell ref="A1:K1"/>
    <mergeCell ref="H3:I3"/>
    <mergeCell ref="D3:E3"/>
    <mergeCell ref="F3:G3"/>
    <mergeCell ref="J3:K3"/>
    <mergeCell ref="B3:C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E071F-4B26-454E-AB94-8C7972EF5382}">
  <dimension ref="A2:K82"/>
  <sheetViews>
    <sheetView topLeftCell="A16" zoomScale="50" zoomScaleNormal="70" workbookViewId="0">
      <selection activeCell="E92" sqref="E92"/>
    </sheetView>
  </sheetViews>
  <sheetFormatPr defaultRowHeight="14.5" x14ac:dyDescent="0.35"/>
  <cols>
    <col min="1" max="1" width="15" bestFit="1" customWidth="1"/>
    <col min="2" max="2" width="13.7265625" bestFit="1" customWidth="1"/>
    <col min="3" max="7" width="15.90625" bestFit="1" customWidth="1"/>
    <col min="8" max="8" width="33.1796875" bestFit="1" customWidth="1"/>
    <col min="9" max="9" width="13.7265625" bestFit="1" customWidth="1"/>
    <col min="10" max="10" width="16.6328125" bestFit="1" customWidth="1"/>
    <col min="11" max="11" width="13.7265625" bestFit="1" customWidth="1"/>
    <col min="12" max="191" width="15.90625" bestFit="1" customWidth="1"/>
    <col min="192" max="192" width="10.7265625" bestFit="1" customWidth="1"/>
  </cols>
  <sheetData>
    <row r="2" spans="1:9" x14ac:dyDescent="0.35">
      <c r="H2" s="40" t="s">
        <v>171</v>
      </c>
      <c r="I2" t="s">
        <v>57</v>
      </c>
    </row>
    <row r="3" spans="1:9" x14ac:dyDescent="0.35">
      <c r="H3" s="83">
        <v>0</v>
      </c>
      <c r="I3" s="82">
        <v>703</v>
      </c>
    </row>
    <row r="4" spans="1:9" x14ac:dyDescent="0.35">
      <c r="A4" s="40" t="s">
        <v>172</v>
      </c>
      <c r="B4" t="s">
        <v>57</v>
      </c>
      <c r="H4" s="83">
        <v>1</v>
      </c>
      <c r="I4" s="82">
        <v>460</v>
      </c>
    </row>
    <row r="5" spans="1:9" x14ac:dyDescent="0.35">
      <c r="A5" s="83">
        <v>1</v>
      </c>
      <c r="B5" s="82">
        <v>58304</v>
      </c>
      <c r="H5" s="83">
        <v>2</v>
      </c>
      <c r="I5" s="82">
        <v>294</v>
      </c>
    </row>
    <row r="6" spans="1:9" x14ac:dyDescent="0.35">
      <c r="A6" s="83" t="s">
        <v>54</v>
      </c>
      <c r="B6" s="82">
        <v>58304</v>
      </c>
      <c r="H6" s="83">
        <v>3</v>
      </c>
      <c r="I6" s="82">
        <v>151</v>
      </c>
    </row>
    <row r="7" spans="1:9" x14ac:dyDescent="0.35">
      <c r="H7" s="83">
        <v>4</v>
      </c>
      <c r="I7" s="82">
        <v>69</v>
      </c>
    </row>
    <row r="8" spans="1:9" x14ac:dyDescent="0.35">
      <c r="H8" s="83">
        <v>5</v>
      </c>
      <c r="I8" s="82">
        <v>164</v>
      </c>
    </row>
    <row r="9" spans="1:9" x14ac:dyDescent="0.35">
      <c r="H9" s="83">
        <v>6</v>
      </c>
      <c r="I9" s="82">
        <v>822</v>
      </c>
    </row>
    <row r="10" spans="1:9" x14ac:dyDescent="0.35">
      <c r="H10" s="83">
        <v>7</v>
      </c>
      <c r="I10" s="82">
        <v>2339</v>
      </c>
    </row>
    <row r="11" spans="1:9" x14ac:dyDescent="0.35">
      <c r="H11" s="83">
        <v>8</v>
      </c>
      <c r="I11" s="82">
        <v>5388</v>
      </c>
    </row>
    <row r="12" spans="1:9" x14ac:dyDescent="0.35">
      <c r="H12" s="83">
        <v>9</v>
      </c>
      <c r="I12" s="82">
        <v>3672</v>
      </c>
    </row>
    <row r="13" spans="1:9" x14ac:dyDescent="0.35">
      <c r="H13" s="83">
        <v>10</v>
      </c>
      <c r="I13" s="82">
        <v>2253</v>
      </c>
    </row>
    <row r="14" spans="1:9" x14ac:dyDescent="0.35">
      <c r="H14" s="83">
        <v>11</v>
      </c>
      <c r="I14" s="82">
        <v>2494</v>
      </c>
    </row>
    <row r="15" spans="1:9" x14ac:dyDescent="0.35">
      <c r="H15" s="83">
        <v>12</v>
      </c>
      <c r="I15" s="82">
        <v>3283</v>
      </c>
    </row>
    <row r="16" spans="1:9" x14ac:dyDescent="0.35">
      <c r="A16" s="60" t="s">
        <v>56</v>
      </c>
      <c r="B16" s="60" t="s">
        <v>58</v>
      </c>
      <c r="H16" s="83">
        <v>13</v>
      </c>
      <c r="I16" s="82">
        <v>3376</v>
      </c>
    </row>
    <row r="17" spans="1:9" x14ac:dyDescent="0.35">
      <c r="A17" s="82">
        <v>53383</v>
      </c>
      <c r="B17" s="82">
        <v>4921</v>
      </c>
      <c r="H17" s="83">
        <v>14</v>
      </c>
      <c r="I17" s="82">
        <v>3200</v>
      </c>
    </row>
    <row r="18" spans="1:9" x14ac:dyDescent="0.35">
      <c r="H18" s="83">
        <v>15</v>
      </c>
      <c r="I18" s="82">
        <v>3352</v>
      </c>
    </row>
    <row r="19" spans="1:9" x14ac:dyDescent="0.35">
      <c r="H19" s="83">
        <v>16</v>
      </c>
      <c r="I19" s="82">
        <v>3928</v>
      </c>
    </row>
    <row r="20" spans="1:9" x14ac:dyDescent="0.35">
      <c r="H20" s="83">
        <v>17</v>
      </c>
      <c r="I20" s="82">
        <v>6169</v>
      </c>
    </row>
    <row r="21" spans="1:9" x14ac:dyDescent="0.35">
      <c r="H21" s="83">
        <v>18</v>
      </c>
      <c r="I21" s="82">
        <v>5283</v>
      </c>
    </row>
    <row r="22" spans="1:9" x14ac:dyDescent="0.35">
      <c r="H22" s="83">
        <v>19</v>
      </c>
      <c r="I22" s="82">
        <v>3661</v>
      </c>
    </row>
    <row r="23" spans="1:9" x14ac:dyDescent="0.35">
      <c r="H23" s="83">
        <v>20</v>
      </c>
      <c r="I23" s="82">
        <v>2656</v>
      </c>
    </row>
    <row r="24" spans="1:9" x14ac:dyDescent="0.35">
      <c r="H24" s="83">
        <v>21</v>
      </c>
      <c r="I24" s="82">
        <v>1996</v>
      </c>
    </row>
    <row r="25" spans="1:9" x14ac:dyDescent="0.35">
      <c r="H25" s="83">
        <v>22</v>
      </c>
      <c r="I25" s="82">
        <v>1508</v>
      </c>
    </row>
    <row r="26" spans="1:9" x14ac:dyDescent="0.35">
      <c r="H26" s="83">
        <v>23</v>
      </c>
      <c r="I26" s="82">
        <v>1083</v>
      </c>
    </row>
    <row r="27" spans="1:9" x14ac:dyDescent="0.35">
      <c r="H27" s="83" t="s">
        <v>54</v>
      </c>
      <c r="I27" s="82">
        <v>58304</v>
      </c>
    </row>
    <row r="30" spans="1:9" x14ac:dyDescent="0.35">
      <c r="H30" s="40" t="s">
        <v>175</v>
      </c>
      <c r="I30" t="s">
        <v>57</v>
      </c>
    </row>
    <row r="31" spans="1:9" x14ac:dyDescent="0.35">
      <c r="H31" s="83" t="s">
        <v>173</v>
      </c>
      <c r="I31" s="82">
        <v>57304</v>
      </c>
    </row>
    <row r="32" spans="1:9" x14ac:dyDescent="0.35">
      <c r="H32" s="83" t="s">
        <v>174</v>
      </c>
      <c r="I32" s="82">
        <v>1000</v>
      </c>
    </row>
    <row r="33" spans="1:11" x14ac:dyDescent="0.35">
      <c r="H33" s="83" t="s">
        <v>54</v>
      </c>
      <c r="I33" s="82">
        <v>58304</v>
      </c>
    </row>
    <row r="35" spans="1:11" x14ac:dyDescent="0.35">
      <c r="A35" s="40" t="s">
        <v>7</v>
      </c>
      <c r="B35" t="s">
        <v>57</v>
      </c>
    </row>
    <row r="36" spans="1:11" x14ac:dyDescent="0.35">
      <c r="A36" s="83" t="s">
        <v>107</v>
      </c>
      <c r="B36" s="82">
        <v>8121</v>
      </c>
    </row>
    <row r="37" spans="1:11" x14ac:dyDescent="0.35">
      <c r="A37" s="83" t="s">
        <v>108</v>
      </c>
      <c r="B37" s="82">
        <v>8450</v>
      </c>
    </row>
    <row r="38" spans="1:11" x14ac:dyDescent="0.35">
      <c r="A38" s="83" t="s">
        <v>109</v>
      </c>
      <c r="B38" s="82">
        <v>8383</v>
      </c>
    </row>
    <row r="39" spans="1:11" x14ac:dyDescent="0.35">
      <c r="A39" s="83" t="s">
        <v>110</v>
      </c>
      <c r="B39" s="82">
        <v>8049</v>
      </c>
    </row>
    <row r="40" spans="1:11" x14ac:dyDescent="0.35">
      <c r="A40" s="83" t="s">
        <v>112</v>
      </c>
      <c r="B40" s="82">
        <v>9095</v>
      </c>
    </row>
    <row r="41" spans="1:11" x14ac:dyDescent="0.35">
      <c r="A41" s="83" t="s">
        <v>106</v>
      </c>
      <c r="B41" s="82">
        <v>7748</v>
      </c>
    </row>
    <row r="42" spans="1:11" x14ac:dyDescent="0.35">
      <c r="A42" s="83" t="s">
        <v>111</v>
      </c>
      <c r="B42" s="82">
        <v>8458</v>
      </c>
    </row>
    <row r="43" spans="1:11" x14ac:dyDescent="0.35">
      <c r="A43" s="83" t="s">
        <v>54</v>
      </c>
      <c r="B43" s="82">
        <v>58304</v>
      </c>
    </row>
    <row r="47" spans="1:11" x14ac:dyDescent="0.35">
      <c r="J47" s="40" t="s">
        <v>176</v>
      </c>
      <c r="K47" t="s">
        <v>57</v>
      </c>
    </row>
    <row r="48" spans="1:11" x14ac:dyDescent="0.35">
      <c r="J48" s="83" t="s">
        <v>113</v>
      </c>
      <c r="K48" s="82">
        <v>37373</v>
      </c>
    </row>
    <row r="49" spans="1:11" x14ac:dyDescent="0.35">
      <c r="J49" s="83" t="s">
        <v>116</v>
      </c>
      <c r="K49" s="82">
        <v>36</v>
      </c>
    </row>
    <row r="50" spans="1:11" x14ac:dyDescent="0.35">
      <c r="J50" s="83" t="s">
        <v>115</v>
      </c>
      <c r="K50" s="82">
        <v>2789</v>
      </c>
    </row>
    <row r="51" spans="1:11" x14ac:dyDescent="0.35">
      <c r="J51" s="83" t="s">
        <v>114</v>
      </c>
      <c r="K51" s="82">
        <v>18106</v>
      </c>
    </row>
    <row r="52" spans="1:11" x14ac:dyDescent="0.35">
      <c r="A52" s="40" t="s">
        <v>9</v>
      </c>
      <c r="B52" t="s">
        <v>57</v>
      </c>
      <c r="J52" s="83" t="s">
        <v>54</v>
      </c>
      <c r="K52" s="82">
        <v>58304</v>
      </c>
    </row>
    <row r="53" spans="1:11" x14ac:dyDescent="0.35">
      <c r="A53" s="83">
        <v>0.02</v>
      </c>
      <c r="B53" s="82">
        <v>168</v>
      </c>
    </row>
    <row r="54" spans="1:11" x14ac:dyDescent="0.35">
      <c r="A54" s="83">
        <v>0.04</v>
      </c>
      <c r="B54" s="82">
        <v>387</v>
      </c>
    </row>
    <row r="55" spans="1:11" x14ac:dyDescent="0.35">
      <c r="A55" s="83">
        <v>0.06</v>
      </c>
      <c r="B55" s="82">
        <v>608</v>
      </c>
    </row>
    <row r="56" spans="1:11" x14ac:dyDescent="0.35">
      <c r="A56" s="83">
        <v>0.08</v>
      </c>
      <c r="B56" s="82">
        <v>357</v>
      </c>
    </row>
    <row r="57" spans="1:11" x14ac:dyDescent="0.35">
      <c r="A57" s="83">
        <v>0.1</v>
      </c>
      <c r="B57" s="82">
        <v>1259</v>
      </c>
    </row>
    <row r="58" spans="1:11" x14ac:dyDescent="0.35">
      <c r="A58" s="83">
        <v>0.12</v>
      </c>
      <c r="B58" s="82">
        <v>2104</v>
      </c>
    </row>
    <row r="59" spans="1:11" x14ac:dyDescent="0.35">
      <c r="A59" s="83">
        <v>0.14000000000000001</v>
      </c>
      <c r="B59" s="82">
        <v>4335</v>
      </c>
    </row>
    <row r="60" spans="1:11" x14ac:dyDescent="0.35">
      <c r="A60" s="83">
        <v>0.16</v>
      </c>
      <c r="B60" s="82">
        <v>7003</v>
      </c>
    </row>
    <row r="61" spans="1:11" x14ac:dyDescent="0.35">
      <c r="A61" s="83">
        <v>0.18</v>
      </c>
      <c r="B61" s="82">
        <v>4045</v>
      </c>
    </row>
    <row r="62" spans="1:11" x14ac:dyDescent="0.35">
      <c r="A62" s="83">
        <v>0.2</v>
      </c>
      <c r="B62" s="82">
        <v>7926</v>
      </c>
    </row>
    <row r="63" spans="1:11" x14ac:dyDescent="0.35">
      <c r="A63" s="83">
        <v>0.22</v>
      </c>
      <c r="B63" s="82">
        <v>7212</v>
      </c>
    </row>
    <row r="64" spans="1:11" x14ac:dyDescent="0.35">
      <c r="A64" s="83">
        <v>0.24</v>
      </c>
      <c r="B64" s="82">
        <v>5965</v>
      </c>
    </row>
    <row r="65" spans="1:2" x14ac:dyDescent="0.35">
      <c r="A65" s="83">
        <v>0.26</v>
      </c>
      <c r="B65" s="82">
        <v>3157</v>
      </c>
    </row>
    <row r="66" spans="1:2" x14ac:dyDescent="0.35">
      <c r="A66" s="83">
        <v>0.28000000000000003</v>
      </c>
      <c r="B66" s="82">
        <v>1958</v>
      </c>
    </row>
    <row r="67" spans="1:2" x14ac:dyDescent="0.35">
      <c r="A67" s="83">
        <v>0.3</v>
      </c>
      <c r="B67" s="82">
        <v>3551</v>
      </c>
    </row>
    <row r="68" spans="1:2" x14ac:dyDescent="0.35">
      <c r="A68" s="83">
        <v>0.32</v>
      </c>
      <c r="B68" s="82">
        <v>1966</v>
      </c>
    </row>
    <row r="69" spans="1:2" x14ac:dyDescent="0.35">
      <c r="A69" s="83">
        <v>0.34</v>
      </c>
      <c r="B69" s="82">
        <v>2478</v>
      </c>
    </row>
    <row r="70" spans="1:2" x14ac:dyDescent="0.35">
      <c r="A70" s="83">
        <v>0.36</v>
      </c>
      <c r="B70" s="82">
        <v>1341</v>
      </c>
    </row>
    <row r="71" spans="1:2" x14ac:dyDescent="0.35">
      <c r="A71" s="83">
        <v>0.38</v>
      </c>
      <c r="B71" s="82">
        <v>521</v>
      </c>
    </row>
    <row r="72" spans="1:2" x14ac:dyDescent="0.35">
      <c r="A72" s="83">
        <v>0.4</v>
      </c>
      <c r="B72" s="82">
        <v>985</v>
      </c>
    </row>
    <row r="73" spans="1:2" x14ac:dyDescent="0.35">
      <c r="A73" s="83">
        <v>0.42</v>
      </c>
      <c r="B73" s="82">
        <v>519</v>
      </c>
    </row>
    <row r="74" spans="1:2" x14ac:dyDescent="0.35">
      <c r="A74" s="83">
        <v>0.44</v>
      </c>
      <c r="B74" s="82">
        <v>194</v>
      </c>
    </row>
    <row r="75" spans="1:2" x14ac:dyDescent="0.35">
      <c r="A75" s="83">
        <v>0.46</v>
      </c>
      <c r="B75" s="82">
        <v>265</v>
      </c>
    </row>
    <row r="76" spans="1:2" x14ac:dyDescent="0.35">
      <c r="A76" s="83" t="s">
        <v>54</v>
      </c>
      <c r="B76" s="82">
        <v>58304</v>
      </c>
    </row>
    <row r="80" spans="1:2" x14ac:dyDescent="0.35">
      <c r="A80" s="132"/>
    </row>
    <row r="81" spans="1:5" x14ac:dyDescent="0.35">
      <c r="A81" s="79"/>
      <c r="C81" s="79" t="s">
        <v>214</v>
      </c>
      <c r="D81" s="79" t="s">
        <v>215</v>
      </c>
      <c r="E81" s="79" t="s">
        <v>213</v>
      </c>
    </row>
    <row r="82" spans="1:5" x14ac:dyDescent="0.35">
      <c r="C82" s="79">
        <v>58304</v>
      </c>
      <c r="D82" s="79">
        <v>53383</v>
      </c>
      <c r="E82" s="79">
        <v>4921</v>
      </c>
    </row>
  </sheetData>
  <pageMargins left="0.7" right="0.7" top="0.75" bottom="0.75" header="0.3" footer="0.3"/>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791C8-22D1-4C76-8DF1-02DC2CFAACF8}">
  <dimension ref="A1:I72"/>
  <sheetViews>
    <sheetView topLeftCell="A31" workbookViewId="0">
      <selection sqref="A1:E1"/>
    </sheetView>
  </sheetViews>
  <sheetFormatPr defaultRowHeight="14.5" x14ac:dyDescent="0.35"/>
  <cols>
    <col min="1" max="1" width="13.6328125" customWidth="1"/>
    <col min="2" max="2" width="17.90625" customWidth="1"/>
    <col min="3" max="3" width="20.08984375" customWidth="1"/>
    <col min="4" max="4" width="28.90625" customWidth="1"/>
    <col min="5" max="5" width="33.90625" customWidth="1"/>
    <col min="7" max="8" width="8.7265625" style="88"/>
  </cols>
  <sheetData>
    <row r="1" spans="1:9" s="60" customFormat="1" ht="18.5" x14ac:dyDescent="0.45">
      <c r="A1" s="124" t="s">
        <v>202</v>
      </c>
      <c r="B1" s="124"/>
      <c r="C1" s="124"/>
      <c r="D1" s="124"/>
      <c r="E1" s="124"/>
    </row>
    <row r="2" spans="1:9" x14ac:dyDescent="0.35">
      <c r="A2" s="21" t="s">
        <v>171</v>
      </c>
      <c r="B2" s="21" t="s">
        <v>57</v>
      </c>
      <c r="C2" s="21" t="s">
        <v>197</v>
      </c>
      <c r="D2" s="21" t="s">
        <v>198</v>
      </c>
      <c r="E2" s="21" t="s">
        <v>199</v>
      </c>
      <c r="G2"/>
      <c r="H2"/>
    </row>
    <row r="3" spans="1:9" x14ac:dyDescent="0.35">
      <c r="A3" s="130">
        <v>0</v>
      </c>
      <c r="B3" s="130">
        <v>703</v>
      </c>
      <c r="C3" s="21"/>
      <c r="D3" s="21"/>
      <c r="E3" s="21"/>
      <c r="G3"/>
      <c r="H3"/>
    </row>
    <row r="4" spans="1:9" x14ac:dyDescent="0.35">
      <c r="A4" s="130">
        <v>1</v>
      </c>
      <c r="B4" s="130">
        <v>460</v>
      </c>
      <c r="C4" s="21"/>
      <c r="D4" s="21"/>
      <c r="E4" s="21"/>
      <c r="G4"/>
      <c r="H4"/>
    </row>
    <row r="5" spans="1:9" x14ac:dyDescent="0.35">
      <c r="A5" s="130">
        <v>2</v>
      </c>
      <c r="B5" s="130">
        <v>294</v>
      </c>
      <c r="C5" s="21"/>
      <c r="D5" s="21"/>
      <c r="E5" s="21"/>
      <c r="G5"/>
      <c r="H5"/>
    </row>
    <row r="6" spans="1:9" x14ac:dyDescent="0.35">
      <c r="A6" s="130">
        <v>3</v>
      </c>
      <c r="B6" s="130">
        <v>151</v>
      </c>
      <c r="C6" s="21"/>
      <c r="D6" s="21"/>
      <c r="E6" s="21"/>
      <c r="G6"/>
      <c r="H6"/>
    </row>
    <row r="7" spans="1:9" x14ac:dyDescent="0.35">
      <c r="A7" s="130">
        <v>4</v>
      </c>
      <c r="B7" s="130">
        <v>69</v>
      </c>
      <c r="C7" s="21"/>
      <c r="D7" s="21"/>
      <c r="E7" s="21"/>
      <c r="G7"/>
      <c r="H7"/>
    </row>
    <row r="8" spans="1:9" x14ac:dyDescent="0.35">
      <c r="A8" s="130">
        <v>5</v>
      </c>
      <c r="B8" s="130">
        <v>164</v>
      </c>
      <c r="C8" s="21"/>
      <c r="D8" s="21"/>
      <c r="E8" s="21"/>
      <c r="G8"/>
      <c r="H8"/>
      <c r="I8" t="s">
        <v>179</v>
      </c>
    </row>
    <row r="9" spans="1:9" x14ac:dyDescent="0.35">
      <c r="A9" s="130">
        <v>6</v>
      </c>
      <c r="B9" s="130">
        <v>822</v>
      </c>
      <c r="C9" s="21"/>
      <c r="D9" s="21"/>
      <c r="E9" s="21"/>
      <c r="G9"/>
      <c r="H9"/>
    </row>
    <row r="10" spans="1:9" x14ac:dyDescent="0.35">
      <c r="A10" s="130">
        <v>7</v>
      </c>
      <c r="B10" s="130">
        <v>2339</v>
      </c>
      <c r="C10" s="21"/>
      <c r="D10" s="21"/>
      <c r="E10" s="21"/>
      <c r="G10"/>
      <c r="H10"/>
    </row>
    <row r="11" spans="1:9" x14ac:dyDescent="0.35">
      <c r="A11" s="130">
        <v>8</v>
      </c>
      <c r="B11" s="130">
        <v>5388</v>
      </c>
      <c r="C11" s="21"/>
      <c r="D11" s="21"/>
      <c r="E11" s="21"/>
      <c r="G11"/>
      <c r="H11" t="s">
        <v>200</v>
      </c>
    </row>
    <row r="12" spans="1:9" x14ac:dyDescent="0.35">
      <c r="A12" s="130">
        <v>9</v>
      </c>
      <c r="B12" s="130">
        <v>3672</v>
      </c>
      <c r="C12" s="21"/>
      <c r="D12" s="21"/>
      <c r="E12" s="21"/>
      <c r="G12"/>
      <c r="H12"/>
    </row>
    <row r="13" spans="1:9" x14ac:dyDescent="0.35">
      <c r="A13" s="130">
        <v>10</v>
      </c>
      <c r="B13" s="130">
        <v>2253</v>
      </c>
      <c r="C13" s="21"/>
      <c r="D13" s="21"/>
      <c r="E13" s="21"/>
      <c r="G13"/>
      <c r="H13"/>
    </row>
    <row r="14" spans="1:9" x14ac:dyDescent="0.35">
      <c r="A14" s="130">
        <v>11</v>
      </c>
      <c r="B14" s="130">
        <v>2494</v>
      </c>
      <c r="C14" s="21"/>
      <c r="D14" s="21"/>
      <c r="E14" s="21"/>
      <c r="G14"/>
      <c r="H14"/>
    </row>
    <row r="15" spans="1:9" x14ac:dyDescent="0.35">
      <c r="A15" s="130">
        <v>12</v>
      </c>
      <c r="B15" s="130">
        <v>3283</v>
      </c>
      <c r="C15" s="21"/>
      <c r="D15" s="21"/>
      <c r="E15" s="21"/>
      <c r="G15"/>
      <c r="H15"/>
    </row>
    <row r="16" spans="1:9" x14ac:dyDescent="0.35">
      <c r="A16" s="130">
        <v>13</v>
      </c>
      <c r="B16" s="130">
        <v>3376</v>
      </c>
      <c r="C16" s="21"/>
      <c r="D16" s="21"/>
      <c r="E16" s="21"/>
      <c r="G16"/>
      <c r="H16"/>
    </row>
    <row r="17" spans="1:5" customFormat="1" x14ac:dyDescent="0.35">
      <c r="A17" s="130">
        <v>14</v>
      </c>
      <c r="B17" s="130">
        <v>3200</v>
      </c>
      <c r="C17" s="21"/>
      <c r="D17" s="21"/>
      <c r="E17" s="21"/>
    </row>
    <row r="18" spans="1:5" customFormat="1" x14ac:dyDescent="0.35">
      <c r="A18" s="130">
        <v>15</v>
      </c>
      <c r="B18" s="130">
        <v>3352</v>
      </c>
      <c r="C18" s="21"/>
      <c r="D18" s="21"/>
      <c r="E18" s="21"/>
    </row>
    <row r="19" spans="1:5" customFormat="1" x14ac:dyDescent="0.35">
      <c r="A19" s="130">
        <v>16</v>
      </c>
      <c r="B19" s="130">
        <v>3928</v>
      </c>
      <c r="C19" s="21"/>
      <c r="D19" s="21"/>
      <c r="E19" s="21"/>
    </row>
    <row r="20" spans="1:5" customFormat="1" x14ac:dyDescent="0.35">
      <c r="A20" s="130">
        <v>17</v>
      </c>
      <c r="B20" s="130">
        <v>6169</v>
      </c>
      <c r="C20" s="21"/>
      <c r="D20" s="21"/>
      <c r="E20" s="21"/>
    </row>
    <row r="21" spans="1:5" customFormat="1" x14ac:dyDescent="0.35">
      <c r="A21" s="130">
        <v>18</v>
      </c>
      <c r="B21" s="130">
        <v>5283</v>
      </c>
      <c r="C21" s="21"/>
      <c r="D21" s="21"/>
      <c r="E21" s="21"/>
    </row>
    <row r="22" spans="1:5" customFormat="1" x14ac:dyDescent="0.35">
      <c r="A22" s="130">
        <v>19</v>
      </c>
      <c r="B22" s="130">
        <v>3661</v>
      </c>
      <c r="C22" s="21"/>
      <c r="D22" s="21"/>
      <c r="E22" s="21"/>
    </row>
    <row r="23" spans="1:5" customFormat="1" x14ac:dyDescent="0.35">
      <c r="A23" s="130">
        <v>20</v>
      </c>
      <c r="B23" s="130">
        <v>2656</v>
      </c>
      <c r="C23" s="21"/>
      <c r="D23" s="21"/>
      <c r="E23" s="21"/>
    </row>
    <row r="24" spans="1:5" customFormat="1" x14ac:dyDescent="0.35">
      <c r="A24" s="130">
        <v>21</v>
      </c>
      <c r="B24" s="130">
        <v>1996</v>
      </c>
      <c r="C24" s="21"/>
      <c r="D24" s="21"/>
      <c r="E24" s="21"/>
    </row>
    <row r="25" spans="1:5" customFormat="1" x14ac:dyDescent="0.35">
      <c r="A25" s="130">
        <v>22</v>
      </c>
      <c r="B25" s="130">
        <v>1508</v>
      </c>
      <c r="C25" s="21"/>
      <c r="D25" s="21"/>
      <c r="E25" s="21"/>
    </row>
    <row r="26" spans="1:5" customFormat="1" x14ac:dyDescent="0.35">
      <c r="A26" s="130">
        <v>23</v>
      </c>
      <c r="B26" s="130">
        <v>1083</v>
      </c>
      <c r="C26" s="130">
        <v>1083</v>
      </c>
      <c r="D26" s="131">
        <v>1083</v>
      </c>
      <c r="E26" s="131">
        <v>1083</v>
      </c>
    </row>
    <row r="27" spans="1:5" customFormat="1" x14ac:dyDescent="0.35">
      <c r="A27" s="130">
        <v>24</v>
      </c>
      <c r="B27" s="21"/>
      <c r="C27" s="130">
        <f t="shared" ref="C27:C39" si="0">_xlfn.FORECAST.ETS(A27,$B$3:$B$26,$A$3:$A$26,1,1)</f>
        <v>1207.6791304347828</v>
      </c>
      <c r="D27" s="131">
        <f t="shared" ref="D27:D39" si="1">C27-_xlfn.FORECAST.ETS.CONFINT(A27,$B$3:$B$26,$A$3:$A$26,0.95,1,1)</f>
        <v>-1220.8144648477039</v>
      </c>
      <c r="E27" s="131">
        <f t="shared" ref="E27:E39" si="2">C27+_xlfn.FORECAST.ETS.CONFINT(A27,$B$3:$B$26,$A$3:$A$26,0.95,1,1)</f>
        <v>3636.1727257172697</v>
      </c>
    </row>
    <row r="28" spans="1:5" customFormat="1" x14ac:dyDescent="0.35">
      <c r="A28" s="130">
        <v>25</v>
      </c>
      <c r="B28" s="21"/>
      <c r="C28" s="130">
        <f t="shared" si="0"/>
        <v>1332.3582608695649</v>
      </c>
      <c r="D28" s="131">
        <f t="shared" si="1"/>
        <v>-2100.3335429416366</v>
      </c>
      <c r="E28" s="131">
        <f t="shared" si="2"/>
        <v>4765.0500646807668</v>
      </c>
    </row>
    <row r="29" spans="1:5" customFormat="1" x14ac:dyDescent="0.35">
      <c r="A29" s="130">
        <v>26</v>
      </c>
      <c r="B29" s="21"/>
      <c r="C29" s="130">
        <f t="shared" si="0"/>
        <v>1457.0373913043479</v>
      </c>
      <c r="D29" s="131">
        <f t="shared" si="1"/>
        <v>-2747.8352776691927</v>
      </c>
      <c r="E29" s="131">
        <f t="shared" si="2"/>
        <v>5661.9100602778881</v>
      </c>
    </row>
    <row r="30" spans="1:5" customFormat="1" x14ac:dyDescent="0.35">
      <c r="A30" s="130">
        <v>27</v>
      </c>
      <c r="B30" s="21"/>
      <c r="C30" s="130">
        <f t="shared" si="0"/>
        <v>1581.7165217391303</v>
      </c>
      <c r="D30" s="131">
        <f t="shared" si="1"/>
        <v>-3275.2718830724898</v>
      </c>
      <c r="E30" s="131">
        <f t="shared" si="2"/>
        <v>6438.7049265507503</v>
      </c>
    </row>
    <row r="31" spans="1:5" customFormat="1" x14ac:dyDescent="0.35">
      <c r="A31" s="130">
        <v>28</v>
      </c>
      <c r="B31" s="21"/>
      <c r="C31" s="130">
        <f t="shared" si="0"/>
        <v>1706.3956521739133</v>
      </c>
      <c r="D31" s="131">
        <f t="shared" si="1"/>
        <v>-3726.0560431195177</v>
      </c>
      <c r="E31" s="131">
        <f t="shared" si="2"/>
        <v>7138.8473474673447</v>
      </c>
    </row>
    <row r="32" spans="1:5" customFormat="1" x14ac:dyDescent="0.35">
      <c r="A32" s="130">
        <v>29</v>
      </c>
      <c r="B32" s="21"/>
      <c r="C32" s="130">
        <f t="shared" si="0"/>
        <v>1831.0747826086954</v>
      </c>
      <c r="D32" s="131">
        <f t="shared" si="1"/>
        <v>-4122.4578770068356</v>
      </c>
      <c r="E32" s="131">
        <f t="shared" si="2"/>
        <v>7784.6074422242264</v>
      </c>
    </row>
    <row r="33" spans="1:8" x14ac:dyDescent="0.35">
      <c r="A33" s="130">
        <v>30</v>
      </c>
      <c r="B33" s="21"/>
      <c r="C33" s="130">
        <f t="shared" si="0"/>
        <v>1955.7539130434786</v>
      </c>
      <c r="D33" s="131">
        <f t="shared" si="1"/>
        <v>-4477.7060644393796</v>
      </c>
      <c r="E33" s="131">
        <f t="shared" si="2"/>
        <v>8389.2138905263364</v>
      </c>
      <c r="G33"/>
      <c r="H33"/>
    </row>
    <row r="34" spans="1:8" x14ac:dyDescent="0.35">
      <c r="A34" s="130">
        <v>31</v>
      </c>
      <c r="B34" s="21"/>
      <c r="C34" s="130">
        <f t="shared" si="0"/>
        <v>2080.433043478261</v>
      </c>
      <c r="D34" s="131">
        <f t="shared" si="1"/>
        <v>-4800.4180430628239</v>
      </c>
      <c r="E34" s="131">
        <f t="shared" si="2"/>
        <v>8961.2841300193468</v>
      </c>
      <c r="G34"/>
      <c r="H34"/>
    </row>
    <row r="35" spans="1:8" x14ac:dyDescent="0.35">
      <c r="A35" s="130">
        <v>32</v>
      </c>
      <c r="B35" s="21"/>
      <c r="C35" s="130">
        <f t="shared" si="0"/>
        <v>2205.1121739130435</v>
      </c>
      <c r="D35" s="131">
        <f t="shared" si="1"/>
        <v>-5096.5777745927644</v>
      </c>
      <c r="E35" s="131">
        <f t="shared" si="2"/>
        <v>9506.8021224188524</v>
      </c>
      <c r="G35"/>
      <c r="H35"/>
    </row>
    <row r="36" spans="1:8" x14ac:dyDescent="0.35">
      <c r="A36" s="130">
        <v>33</v>
      </c>
      <c r="B36" s="21"/>
      <c r="C36" s="130">
        <f t="shared" si="0"/>
        <v>2329.7913043478261</v>
      </c>
      <c r="D36" s="131">
        <f t="shared" si="1"/>
        <v>-5370.540660178598</v>
      </c>
      <c r="E36" s="131">
        <f t="shared" si="2"/>
        <v>10030.123268874251</v>
      </c>
      <c r="G36"/>
      <c r="H36"/>
    </row>
    <row r="37" spans="1:8" x14ac:dyDescent="0.35">
      <c r="A37" s="130">
        <v>34</v>
      </c>
      <c r="B37" s="21"/>
      <c r="C37" s="130">
        <f t="shared" si="0"/>
        <v>2454.4704347826087</v>
      </c>
      <c r="D37" s="131">
        <f t="shared" si="1"/>
        <v>-5625.5934418031338</v>
      </c>
      <c r="E37" s="131">
        <f t="shared" si="2"/>
        <v>10534.534311368352</v>
      </c>
      <c r="G37"/>
      <c r="H37"/>
    </row>
    <row r="38" spans="1:8" x14ac:dyDescent="0.35">
      <c r="A38" s="130">
        <v>35</v>
      </c>
      <c r="B38" s="21"/>
      <c r="C38" s="130">
        <f t="shared" si="0"/>
        <v>2579.1495652173912</v>
      </c>
      <c r="D38" s="131">
        <f t="shared" si="1"/>
        <v>-5864.2885707949954</v>
      </c>
      <c r="E38" s="131">
        <f t="shared" si="2"/>
        <v>11022.587701229777</v>
      </c>
      <c r="G38"/>
      <c r="H38"/>
    </row>
    <row r="39" spans="1:8" x14ac:dyDescent="0.35">
      <c r="A39" s="130">
        <v>36</v>
      </c>
      <c r="B39" s="21"/>
      <c r="C39" s="130">
        <f t="shared" si="0"/>
        <v>2703.8286956521738</v>
      </c>
      <c r="D39" s="131">
        <f t="shared" si="1"/>
        <v>-6088.6550308017559</v>
      </c>
      <c r="E39" s="131">
        <f t="shared" si="2"/>
        <v>11496.312422106103</v>
      </c>
      <c r="G39"/>
      <c r="H39"/>
    </row>
    <row r="40" spans="1:8" x14ac:dyDescent="0.35">
      <c r="G40"/>
      <c r="H40"/>
    </row>
    <row r="41" spans="1:8" ht="15.5" x14ac:dyDescent="0.35">
      <c r="A41" s="126" t="s">
        <v>201</v>
      </c>
      <c r="B41" s="126"/>
      <c r="C41" s="126"/>
      <c r="D41" s="126"/>
      <c r="E41" s="125"/>
      <c r="F41" s="104"/>
      <c r="G41" s="108"/>
      <c r="H41" s="108"/>
    </row>
    <row r="42" spans="1:8" ht="15.5" x14ac:dyDescent="0.35">
      <c r="A42" s="127"/>
      <c r="B42" s="128" t="s">
        <v>211</v>
      </c>
      <c r="C42" s="127" t="s">
        <v>212</v>
      </c>
      <c r="D42" s="127" t="s">
        <v>213</v>
      </c>
      <c r="E42" s="104"/>
      <c r="F42" s="104"/>
      <c r="G42" s="109"/>
      <c r="H42" s="110"/>
    </row>
    <row r="43" spans="1:8" x14ac:dyDescent="0.35">
      <c r="A43" s="129" t="s">
        <v>204</v>
      </c>
      <c r="B43" s="110">
        <f>_xlfn.QUARTILE.INC(Sheet45[cnt],0)</f>
        <v>1</v>
      </c>
      <c r="C43" s="110">
        <f>_xlfn.QUARTILE.INC(Sheet45[registered],0)</f>
        <v>0</v>
      </c>
      <c r="D43" s="109">
        <f>_xlfn.QUARTILE.INC(Sheet45[casual],0)</f>
        <v>0</v>
      </c>
      <c r="E43" s="104"/>
      <c r="F43" s="104"/>
      <c r="G43" s="109"/>
      <c r="H43" s="110"/>
    </row>
    <row r="44" spans="1:8" x14ac:dyDescent="0.35">
      <c r="A44" s="129" t="s">
        <v>203</v>
      </c>
      <c r="B44" s="110">
        <f>_xlfn.QUARTILE.INC(Sheet45[cnt],1)</f>
        <v>16</v>
      </c>
      <c r="C44" s="110">
        <f>_xlfn.QUARTILE.INC(Sheet45[registered],1)</f>
        <v>15</v>
      </c>
      <c r="D44" s="109">
        <f>_xlfn.QUARTILE.INC(Sheet45[casual],1)</f>
        <v>0</v>
      </c>
      <c r="E44" s="104"/>
      <c r="F44" s="104"/>
      <c r="G44" s="109"/>
      <c r="H44" s="110"/>
    </row>
    <row r="45" spans="1:8" x14ac:dyDescent="0.35">
      <c r="A45" s="129" t="s">
        <v>205</v>
      </c>
      <c r="B45" s="110">
        <f>_xlfn.QUARTILE.INC(Sheet45[cnt],2)</f>
        <v>49</v>
      </c>
      <c r="C45" s="110">
        <f>_xlfn.QUARTILE.INC(Sheet45[registered],2)</f>
        <v>46</v>
      </c>
      <c r="D45" s="109">
        <f>_xlfn.QUARTILE.INC(Sheet45[casual],2)</f>
        <v>3</v>
      </c>
      <c r="E45" s="104"/>
      <c r="F45" s="104"/>
      <c r="G45" s="109"/>
      <c r="H45" s="110"/>
    </row>
    <row r="46" spans="1:8" x14ac:dyDescent="0.35">
      <c r="A46" s="129" t="s">
        <v>206</v>
      </c>
      <c r="B46" s="110">
        <f>_xlfn.QUARTILE.INC(Sheet45[cnt],3)</f>
        <v>83</v>
      </c>
      <c r="C46" s="110">
        <f>_xlfn.QUARTILE.INC(Sheet45[registered],3)</f>
        <v>74</v>
      </c>
      <c r="D46" s="109">
        <f>_xlfn.QUARTILE.INC(Sheet45[casual],3)</f>
        <v>6</v>
      </c>
      <c r="E46" s="104"/>
      <c r="F46" s="104"/>
      <c r="G46" s="109"/>
      <c r="H46" s="110"/>
    </row>
    <row r="47" spans="1:8" x14ac:dyDescent="0.35">
      <c r="A47" s="129" t="s">
        <v>207</v>
      </c>
      <c r="B47" s="110">
        <f>_xlfn.QUARTILE.INC(Sheet45[cnt],4)</f>
        <v>249</v>
      </c>
      <c r="C47" s="110">
        <f>_xlfn.QUARTILE.INC(Sheet45[registered],4)</f>
        <v>247</v>
      </c>
      <c r="D47" s="109">
        <f>_xlfn.QUARTILE.INC(Sheet45[casual],4)</f>
        <v>62</v>
      </c>
      <c r="E47" s="104"/>
      <c r="F47" s="104"/>
      <c r="G47" s="109"/>
      <c r="H47" s="110"/>
    </row>
    <row r="48" spans="1:8" x14ac:dyDescent="0.35">
      <c r="A48" s="129" t="s">
        <v>208</v>
      </c>
      <c r="B48" s="110">
        <f>B46-B44</f>
        <v>67</v>
      </c>
      <c r="C48" s="110">
        <f>C46-C44</f>
        <v>59</v>
      </c>
      <c r="D48" s="109">
        <f>D46-D44</f>
        <v>6</v>
      </c>
      <c r="E48" s="104"/>
      <c r="F48" s="104"/>
      <c r="G48" s="109"/>
      <c r="H48" s="110"/>
    </row>
    <row r="49" spans="1:8" x14ac:dyDescent="0.35">
      <c r="A49" s="129" t="s">
        <v>209</v>
      </c>
      <c r="B49" s="110">
        <f>B44-1.5*67</f>
        <v>-84.5</v>
      </c>
      <c r="C49" s="110">
        <f>C44-1.5*C48</f>
        <v>-73.5</v>
      </c>
      <c r="D49" s="109">
        <f>D44-1.5*D48</f>
        <v>-9</v>
      </c>
      <c r="E49" s="104"/>
      <c r="F49" s="104"/>
      <c r="G49" s="109"/>
      <c r="H49" s="110"/>
    </row>
    <row r="50" spans="1:8" x14ac:dyDescent="0.35">
      <c r="A50" s="129" t="s">
        <v>210</v>
      </c>
      <c r="B50" s="110">
        <f>B46+1.5*B48</f>
        <v>183.5</v>
      </c>
      <c r="C50" s="110">
        <f>C46+1.5*C48</f>
        <v>162.5</v>
      </c>
      <c r="D50" s="109">
        <f>D46+1.5*D48</f>
        <v>15</v>
      </c>
      <c r="E50" s="104"/>
      <c r="F50" s="104"/>
      <c r="G50" s="109"/>
      <c r="H50" s="110"/>
    </row>
    <row r="51" spans="1:8" x14ac:dyDescent="0.35">
      <c r="A51" s="105"/>
      <c r="B51" s="105"/>
      <c r="C51" s="104"/>
      <c r="D51" s="104"/>
      <c r="E51" s="104"/>
      <c r="F51" s="104"/>
      <c r="G51" s="109"/>
      <c r="H51" s="110"/>
    </row>
    <row r="52" spans="1:8" x14ac:dyDescent="0.35">
      <c r="A52" s="105"/>
      <c r="B52" s="105"/>
      <c r="C52" s="104"/>
      <c r="D52" s="104"/>
      <c r="E52" s="104"/>
      <c r="F52" s="104"/>
      <c r="G52" s="109"/>
      <c r="H52" s="110"/>
    </row>
    <row r="53" spans="1:8" x14ac:dyDescent="0.35">
      <c r="A53" s="105"/>
      <c r="B53" s="105"/>
      <c r="C53" s="104"/>
      <c r="D53" s="104"/>
      <c r="E53" s="104"/>
      <c r="F53" s="104"/>
      <c r="G53" s="109"/>
      <c r="H53" s="110"/>
    </row>
    <row r="54" spans="1:8" x14ac:dyDescent="0.35">
      <c r="A54" s="105"/>
      <c r="B54" s="105"/>
      <c r="C54" s="104"/>
      <c r="D54" s="104"/>
      <c r="E54" s="104"/>
      <c r="F54" s="104"/>
      <c r="G54" s="109"/>
      <c r="H54" s="110"/>
    </row>
    <row r="55" spans="1:8" x14ac:dyDescent="0.35">
      <c r="A55" s="105"/>
      <c r="B55" s="105"/>
      <c r="C55" s="104"/>
      <c r="D55" s="104"/>
      <c r="E55" s="104"/>
      <c r="F55" s="104"/>
      <c r="G55" s="109"/>
      <c r="H55" s="110"/>
    </row>
    <row r="56" spans="1:8" x14ac:dyDescent="0.35">
      <c r="A56" s="105"/>
      <c r="B56" s="105"/>
      <c r="C56" s="104"/>
      <c r="D56" s="104"/>
      <c r="E56" s="104"/>
      <c r="F56" s="104"/>
      <c r="G56" s="109"/>
      <c r="H56" s="110"/>
    </row>
    <row r="57" spans="1:8" x14ac:dyDescent="0.35">
      <c r="A57" s="105"/>
      <c r="B57" s="105"/>
      <c r="C57" s="104"/>
      <c r="D57" s="104"/>
      <c r="E57" s="104"/>
      <c r="F57" s="104"/>
      <c r="G57" s="109"/>
      <c r="H57" s="110"/>
    </row>
    <row r="58" spans="1:8" x14ac:dyDescent="0.35">
      <c r="A58" s="105"/>
      <c r="B58" s="105"/>
      <c r="C58" s="104"/>
      <c r="D58" s="104"/>
      <c r="E58" s="104"/>
      <c r="F58" s="104"/>
      <c r="G58" s="109"/>
      <c r="H58" s="110"/>
    </row>
    <row r="59" spans="1:8" x14ac:dyDescent="0.35">
      <c r="A59" s="105"/>
      <c r="B59" s="105"/>
      <c r="C59" s="104"/>
      <c r="D59" s="104"/>
      <c r="E59" s="104"/>
      <c r="F59" s="104"/>
      <c r="G59" s="109"/>
      <c r="H59" s="110"/>
    </row>
    <row r="60" spans="1:8" x14ac:dyDescent="0.35">
      <c r="A60" s="105"/>
      <c r="B60" s="105"/>
      <c r="C60" s="104"/>
      <c r="D60" s="104"/>
      <c r="E60" s="104"/>
      <c r="F60" s="104"/>
      <c r="G60" s="109"/>
      <c r="H60" s="110"/>
    </row>
    <row r="61" spans="1:8" x14ac:dyDescent="0.35">
      <c r="A61" s="105"/>
      <c r="B61" s="105"/>
      <c r="C61" s="104"/>
      <c r="D61" s="104"/>
      <c r="E61" s="104"/>
      <c r="F61" s="104"/>
      <c r="G61" s="109"/>
      <c r="H61" s="110"/>
    </row>
    <row r="62" spans="1:8" x14ac:dyDescent="0.35">
      <c r="A62" s="105"/>
      <c r="B62" s="105"/>
      <c r="C62" s="104"/>
      <c r="D62" s="104"/>
      <c r="E62" s="104"/>
      <c r="F62" s="104"/>
      <c r="G62" s="109"/>
      <c r="H62" s="110"/>
    </row>
    <row r="63" spans="1:8" x14ac:dyDescent="0.35">
      <c r="A63" s="105"/>
      <c r="B63" s="105"/>
      <c r="C63" s="104"/>
      <c r="D63" s="104"/>
      <c r="E63" s="104"/>
      <c r="F63" s="104"/>
      <c r="G63" s="109"/>
      <c r="H63" s="110"/>
    </row>
    <row r="64" spans="1:8" x14ac:dyDescent="0.35">
      <c r="A64" s="105"/>
      <c r="B64" s="105"/>
      <c r="C64" s="104"/>
      <c r="D64" s="104"/>
      <c r="E64" s="104"/>
      <c r="F64" s="104"/>
      <c r="G64" s="109"/>
      <c r="H64" s="110"/>
    </row>
    <row r="65" spans="1:8" x14ac:dyDescent="0.35">
      <c r="A65" s="105"/>
      <c r="B65" s="105"/>
      <c r="C65" s="105"/>
      <c r="D65" s="106"/>
      <c r="E65" s="106"/>
      <c r="F65" s="104"/>
      <c r="G65" s="89"/>
      <c r="H65" s="89"/>
    </row>
    <row r="66" spans="1:8" x14ac:dyDescent="0.35">
      <c r="A66" s="105"/>
      <c r="B66" s="104"/>
      <c r="C66" s="105"/>
      <c r="D66" s="106"/>
      <c r="E66" s="106"/>
      <c r="F66" s="104"/>
      <c r="G66" s="89"/>
      <c r="H66" s="89"/>
    </row>
    <row r="67" spans="1:8" x14ac:dyDescent="0.35">
      <c r="A67" s="105"/>
      <c r="B67" s="104"/>
      <c r="C67" s="105"/>
      <c r="D67" s="106"/>
      <c r="E67" s="106"/>
      <c r="F67" s="104"/>
      <c r="G67" s="89"/>
      <c r="H67" s="89"/>
    </row>
    <row r="68" spans="1:8" x14ac:dyDescent="0.35">
      <c r="A68" s="105"/>
      <c r="B68" s="104"/>
      <c r="C68" s="105"/>
      <c r="D68" s="106"/>
      <c r="E68" s="106"/>
      <c r="F68" s="104"/>
      <c r="G68" s="89"/>
      <c r="H68" s="89"/>
    </row>
    <row r="69" spans="1:8" x14ac:dyDescent="0.35">
      <c r="A69" s="105"/>
      <c r="B69" s="104"/>
      <c r="C69" s="105"/>
      <c r="D69" s="106"/>
      <c r="E69" s="106"/>
      <c r="F69" s="104"/>
      <c r="G69" s="89"/>
      <c r="H69" s="89"/>
    </row>
    <row r="70" spans="1:8" x14ac:dyDescent="0.35">
      <c r="A70" s="105"/>
      <c r="B70" s="104"/>
      <c r="C70" s="105"/>
      <c r="D70" s="106"/>
      <c r="E70" s="106"/>
      <c r="F70" s="104"/>
      <c r="G70" s="89"/>
      <c r="H70" s="89"/>
    </row>
    <row r="71" spans="1:8" x14ac:dyDescent="0.35">
      <c r="A71" s="105"/>
      <c r="B71" s="104"/>
      <c r="C71" s="105"/>
      <c r="D71" s="106"/>
      <c r="E71" s="106"/>
      <c r="F71" s="104"/>
      <c r="G71" s="89"/>
      <c r="H71" s="89"/>
    </row>
    <row r="72" spans="1:8" x14ac:dyDescent="0.35">
      <c r="A72" s="105"/>
      <c r="B72" s="104"/>
      <c r="C72" s="105"/>
      <c r="D72" s="106"/>
      <c r="E72" s="106"/>
      <c r="F72" s="104"/>
      <c r="G72" s="89"/>
      <c r="H72" s="89"/>
    </row>
  </sheetData>
  <mergeCells count="2">
    <mergeCell ref="A1:E1"/>
    <mergeCell ref="A41:D41"/>
  </mergeCells>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CA081-D730-44DF-A841-E288F0CB934C}">
  <dimension ref="B1:V71"/>
  <sheetViews>
    <sheetView showGridLines="0" topLeftCell="A46" zoomScale="71" zoomScaleNormal="85" workbookViewId="0">
      <selection activeCell="V53" sqref="V53"/>
    </sheetView>
  </sheetViews>
  <sheetFormatPr defaultRowHeight="14.5" x14ac:dyDescent="0.35"/>
  <cols>
    <col min="3" max="3" width="10.453125" customWidth="1"/>
    <col min="4" max="4" width="9.7265625" customWidth="1"/>
    <col min="6" max="6" width="10.26953125" customWidth="1"/>
    <col min="8" max="8" width="12.6328125" customWidth="1"/>
  </cols>
  <sheetData>
    <row r="1" spans="2:22" ht="14.5" customHeight="1" x14ac:dyDescent="0.35">
      <c r="B1" s="119" t="s">
        <v>170</v>
      </c>
      <c r="C1" s="120"/>
      <c r="D1" s="120"/>
      <c r="E1" s="120"/>
      <c r="F1" s="120"/>
      <c r="G1" s="120"/>
      <c r="H1" s="120"/>
      <c r="I1" s="120"/>
      <c r="J1" s="120"/>
      <c r="K1" s="120"/>
      <c r="L1" s="120"/>
      <c r="M1" s="120"/>
      <c r="N1" s="120"/>
      <c r="O1" s="120"/>
      <c r="P1" s="120"/>
      <c r="Q1" s="93"/>
      <c r="R1" s="94"/>
    </row>
    <row r="2" spans="2:22" ht="14.5" customHeight="1" x14ac:dyDescent="0.35">
      <c r="B2" s="121"/>
      <c r="C2" s="122"/>
      <c r="D2" s="122"/>
      <c r="E2" s="122"/>
      <c r="F2" s="122"/>
      <c r="G2" s="122"/>
      <c r="H2" s="122"/>
      <c r="I2" s="122"/>
      <c r="J2" s="122"/>
      <c r="K2" s="122"/>
      <c r="L2" s="122"/>
      <c r="M2" s="122"/>
      <c r="N2" s="122"/>
      <c r="O2" s="122"/>
      <c r="P2" s="122"/>
      <c r="Q2" s="88"/>
      <c r="R2" s="95"/>
    </row>
    <row r="3" spans="2:22" x14ac:dyDescent="0.35">
      <c r="B3" s="96"/>
      <c r="C3" s="85"/>
      <c r="D3" s="84"/>
      <c r="E3" s="85"/>
      <c r="F3" s="84"/>
      <c r="G3" s="85"/>
      <c r="H3" s="86"/>
      <c r="I3" s="87"/>
      <c r="J3" s="87"/>
      <c r="K3" s="89"/>
      <c r="L3" s="89"/>
      <c r="M3" s="89"/>
      <c r="N3" s="89"/>
      <c r="O3" s="89"/>
      <c r="P3" s="88"/>
      <c r="Q3" s="88"/>
      <c r="R3" s="95"/>
    </row>
    <row r="4" spans="2:22" x14ac:dyDescent="0.35">
      <c r="B4" s="97"/>
      <c r="C4" s="89"/>
      <c r="D4" s="90"/>
      <c r="E4" s="89"/>
      <c r="F4" s="90"/>
      <c r="G4" s="89"/>
      <c r="H4" s="91"/>
      <c r="I4" s="92"/>
      <c r="J4" s="92"/>
      <c r="K4" s="89"/>
      <c r="L4" s="89"/>
      <c r="M4" s="89"/>
      <c r="N4" s="89"/>
      <c r="O4" s="89"/>
      <c r="P4" s="88"/>
      <c r="Q4" s="88"/>
      <c r="R4" s="95"/>
    </row>
    <row r="5" spans="2:22" x14ac:dyDescent="0.35">
      <c r="B5" s="98"/>
      <c r="C5" s="88"/>
      <c r="D5" s="88"/>
      <c r="E5" s="88"/>
      <c r="F5" s="88"/>
      <c r="G5" s="88"/>
      <c r="H5" s="88"/>
      <c r="I5" s="88"/>
      <c r="J5" s="88"/>
      <c r="K5" s="88"/>
      <c r="L5" s="88"/>
      <c r="M5" s="88"/>
      <c r="N5" s="88"/>
      <c r="O5" s="88"/>
      <c r="P5" s="88"/>
      <c r="Q5" s="88"/>
      <c r="R5" s="95"/>
    </row>
    <row r="6" spans="2:22" x14ac:dyDescent="0.35">
      <c r="B6" s="98"/>
      <c r="C6" s="88"/>
      <c r="D6" s="88"/>
      <c r="E6" s="88"/>
      <c r="F6" s="88"/>
      <c r="G6" s="88"/>
      <c r="H6" s="88"/>
      <c r="I6" s="88"/>
      <c r="J6" s="88"/>
      <c r="K6" s="88"/>
      <c r="L6" s="88"/>
      <c r="M6" s="88"/>
      <c r="N6" s="88"/>
      <c r="O6" s="88"/>
      <c r="P6" s="88"/>
      <c r="Q6" s="88"/>
      <c r="R6" s="95"/>
    </row>
    <row r="7" spans="2:22" x14ac:dyDescent="0.35">
      <c r="B7" s="98"/>
      <c r="C7" s="88"/>
      <c r="D7" s="88"/>
      <c r="E7" s="88"/>
      <c r="F7" s="88"/>
      <c r="G7" s="88"/>
      <c r="H7" s="88"/>
      <c r="I7" s="88"/>
      <c r="J7" s="88"/>
      <c r="K7" s="88"/>
      <c r="L7" s="88"/>
      <c r="M7" s="88"/>
      <c r="N7" s="88"/>
      <c r="O7" s="88"/>
      <c r="P7" s="88"/>
      <c r="Q7" s="88"/>
      <c r="R7" s="95"/>
    </row>
    <row r="8" spans="2:22" x14ac:dyDescent="0.35">
      <c r="B8" s="98"/>
      <c r="C8" s="88"/>
      <c r="D8" s="88"/>
      <c r="E8" s="88"/>
      <c r="F8" s="88"/>
      <c r="G8" s="88"/>
      <c r="H8" s="88"/>
      <c r="I8" s="88"/>
      <c r="J8" s="88"/>
      <c r="K8" s="88"/>
      <c r="L8" s="88"/>
      <c r="M8" s="88"/>
      <c r="N8" s="88"/>
      <c r="O8" s="88"/>
      <c r="P8" s="88"/>
      <c r="Q8" s="88"/>
      <c r="R8" s="95"/>
      <c r="V8" s="107"/>
    </row>
    <row r="9" spans="2:22" x14ac:dyDescent="0.35">
      <c r="B9" s="98"/>
      <c r="C9" s="88"/>
      <c r="D9" s="88"/>
      <c r="E9" s="88"/>
      <c r="F9" s="88"/>
      <c r="G9" s="88"/>
      <c r="H9" s="88"/>
      <c r="I9" s="88"/>
      <c r="J9" s="88"/>
      <c r="K9" s="88"/>
      <c r="L9" s="88"/>
      <c r="M9" s="88"/>
      <c r="N9" s="88"/>
      <c r="O9" s="88"/>
      <c r="P9" s="88"/>
      <c r="Q9" s="88"/>
      <c r="R9" s="95"/>
    </row>
    <row r="10" spans="2:22" ht="15" thickBot="1" x14ac:dyDescent="0.4">
      <c r="B10" s="98"/>
      <c r="C10" s="88"/>
      <c r="D10" s="88"/>
      <c r="E10" s="88"/>
      <c r="F10" s="88"/>
      <c r="G10" s="88"/>
      <c r="H10" s="88"/>
      <c r="I10" s="88"/>
      <c r="J10" s="88"/>
      <c r="K10" s="88"/>
      <c r="L10" s="88"/>
      <c r="M10" s="88"/>
      <c r="N10" s="88"/>
      <c r="O10" s="88"/>
      <c r="P10" s="88"/>
      <c r="Q10" s="88"/>
      <c r="R10" s="95"/>
    </row>
    <row r="11" spans="2:22" ht="15" thickBot="1" x14ac:dyDescent="0.4">
      <c r="B11" s="98"/>
      <c r="C11" s="88"/>
      <c r="D11" s="88"/>
      <c r="E11" s="88"/>
      <c r="F11" s="88"/>
      <c r="G11" s="88"/>
      <c r="H11" s="88"/>
      <c r="I11" s="88"/>
      <c r="J11" s="88"/>
      <c r="K11" s="88"/>
      <c r="L11" s="88"/>
      <c r="M11" s="88"/>
      <c r="N11" s="88"/>
      <c r="O11" s="88"/>
      <c r="P11" s="88"/>
      <c r="Q11" s="88"/>
      <c r="R11" s="95"/>
      <c r="V11" s="103"/>
    </row>
    <row r="12" spans="2:22" x14ac:dyDescent="0.35">
      <c r="B12" s="98"/>
      <c r="C12" s="88"/>
      <c r="D12" s="88"/>
      <c r="E12" s="88"/>
      <c r="F12" s="88"/>
      <c r="G12" s="88"/>
      <c r="H12" s="88"/>
      <c r="I12" s="88"/>
      <c r="J12" s="88"/>
      <c r="K12" s="88"/>
      <c r="L12" s="88"/>
      <c r="M12" s="88"/>
      <c r="N12" s="88"/>
      <c r="O12" s="88"/>
      <c r="P12" s="88"/>
      <c r="Q12" s="88"/>
      <c r="R12" s="95"/>
    </row>
    <row r="13" spans="2:22" x14ac:dyDescent="0.35">
      <c r="B13" s="98"/>
      <c r="C13" s="88"/>
      <c r="D13" s="88"/>
      <c r="E13" s="88"/>
      <c r="F13" s="88"/>
      <c r="G13" s="88"/>
      <c r="H13" s="88"/>
      <c r="I13" s="88"/>
      <c r="J13" s="88"/>
      <c r="K13" s="88"/>
      <c r="L13" s="88"/>
      <c r="M13" s="88"/>
      <c r="N13" s="88"/>
      <c r="O13" s="88"/>
      <c r="P13" s="88"/>
      <c r="Q13" s="88"/>
      <c r="R13" s="95"/>
    </row>
    <row r="14" spans="2:22" x14ac:dyDescent="0.35">
      <c r="B14" s="98"/>
      <c r="C14" s="88"/>
      <c r="D14" s="88"/>
      <c r="E14" s="88"/>
      <c r="F14" s="88"/>
      <c r="G14" s="88"/>
      <c r="H14" s="88"/>
      <c r="I14" s="88"/>
      <c r="J14" s="88"/>
      <c r="K14" s="88"/>
      <c r="L14" s="88"/>
      <c r="M14" s="88"/>
      <c r="N14" s="88"/>
      <c r="O14" s="88"/>
      <c r="P14" s="88"/>
      <c r="Q14" s="88"/>
      <c r="R14" s="95"/>
    </row>
    <row r="15" spans="2:22" x14ac:dyDescent="0.35">
      <c r="B15" s="98"/>
      <c r="C15" s="88"/>
      <c r="D15" s="88"/>
      <c r="E15" s="88"/>
      <c r="F15" s="88"/>
      <c r="G15" s="88"/>
      <c r="H15" s="88"/>
      <c r="I15" s="88"/>
      <c r="J15" s="88"/>
      <c r="K15" s="88"/>
      <c r="L15" s="88"/>
      <c r="M15" s="88"/>
      <c r="N15" s="88"/>
      <c r="O15" s="88"/>
      <c r="P15" s="88"/>
      <c r="Q15" s="88"/>
      <c r="R15" s="95"/>
    </row>
    <row r="16" spans="2:22" x14ac:dyDescent="0.35">
      <c r="B16" s="98"/>
      <c r="C16" s="88"/>
      <c r="D16" s="88"/>
      <c r="E16" s="88"/>
      <c r="F16" s="88"/>
      <c r="G16" s="88"/>
      <c r="H16" s="88"/>
      <c r="I16" s="88"/>
      <c r="J16" s="88"/>
      <c r="K16" s="88"/>
      <c r="L16" s="88"/>
      <c r="M16" s="88"/>
      <c r="N16" s="88"/>
      <c r="O16" s="88"/>
      <c r="P16" s="88"/>
      <c r="Q16" s="88"/>
      <c r="R16" s="95"/>
    </row>
    <row r="17" spans="2:18" x14ac:dyDescent="0.35">
      <c r="B17" s="98"/>
      <c r="C17" s="88"/>
      <c r="D17" s="88"/>
      <c r="E17" s="88"/>
      <c r="F17" s="88"/>
      <c r="G17" s="88"/>
      <c r="H17" s="88"/>
      <c r="I17" s="88"/>
      <c r="J17" s="88"/>
      <c r="K17" s="88"/>
      <c r="L17" s="88"/>
      <c r="M17" s="88"/>
      <c r="N17" s="88"/>
      <c r="O17" s="88"/>
      <c r="P17" s="88"/>
      <c r="Q17" s="88"/>
      <c r="R17" s="95"/>
    </row>
    <row r="18" spans="2:18" x14ac:dyDescent="0.35">
      <c r="B18" s="98"/>
      <c r="C18" s="88"/>
      <c r="D18" s="88"/>
      <c r="E18" s="88"/>
      <c r="F18" s="88"/>
      <c r="G18" s="88"/>
      <c r="H18" s="88"/>
      <c r="I18" s="88"/>
      <c r="J18" s="88"/>
      <c r="K18" s="88"/>
      <c r="L18" s="88"/>
      <c r="M18" s="88"/>
      <c r="N18" s="88"/>
      <c r="O18" s="88"/>
      <c r="P18" s="88"/>
      <c r="Q18" s="88"/>
      <c r="R18" s="95"/>
    </row>
    <row r="19" spans="2:18" x14ac:dyDescent="0.35">
      <c r="B19" s="98"/>
      <c r="C19" s="88"/>
      <c r="D19" s="88"/>
      <c r="E19" s="88"/>
      <c r="F19" s="88"/>
      <c r="G19" s="88"/>
      <c r="H19" s="88"/>
      <c r="I19" s="88"/>
      <c r="J19" s="88"/>
      <c r="K19" s="88"/>
      <c r="L19" s="88"/>
      <c r="M19" s="88"/>
      <c r="N19" s="88"/>
      <c r="O19" s="88"/>
      <c r="P19" s="88"/>
      <c r="Q19" s="88"/>
      <c r="R19" s="95"/>
    </row>
    <row r="20" spans="2:18" x14ac:dyDescent="0.35">
      <c r="B20" s="98"/>
      <c r="C20" s="88"/>
      <c r="D20" s="88"/>
      <c r="E20" s="88"/>
      <c r="F20" s="88"/>
      <c r="G20" s="88"/>
      <c r="H20" s="88"/>
      <c r="I20" s="88"/>
      <c r="J20" s="88"/>
      <c r="K20" s="88"/>
      <c r="L20" s="88"/>
      <c r="M20" s="88"/>
      <c r="N20" s="88"/>
      <c r="O20" s="88"/>
      <c r="P20" s="88"/>
      <c r="Q20" s="88"/>
      <c r="R20" s="95"/>
    </row>
    <row r="21" spans="2:18" x14ac:dyDescent="0.35">
      <c r="B21" s="98"/>
      <c r="C21" s="88"/>
      <c r="D21" s="88"/>
      <c r="E21" s="88"/>
      <c r="F21" s="88"/>
      <c r="G21" s="88"/>
      <c r="H21" s="88"/>
      <c r="I21" s="88"/>
      <c r="J21" s="88"/>
      <c r="K21" s="88"/>
      <c r="L21" s="88"/>
      <c r="M21" s="88"/>
      <c r="N21" s="88"/>
      <c r="O21" s="88"/>
      <c r="P21" s="88"/>
      <c r="Q21" s="88"/>
      <c r="R21" s="95"/>
    </row>
    <row r="22" spans="2:18" x14ac:dyDescent="0.35">
      <c r="B22" s="98"/>
      <c r="C22" s="88"/>
      <c r="D22" s="88"/>
      <c r="E22" s="88"/>
      <c r="F22" s="88"/>
      <c r="G22" s="88"/>
      <c r="H22" s="88"/>
      <c r="I22" s="88"/>
      <c r="J22" s="88"/>
      <c r="K22" s="88"/>
      <c r="L22" s="88"/>
      <c r="M22" s="88"/>
      <c r="N22" s="88"/>
      <c r="O22" s="88"/>
      <c r="P22" s="88"/>
      <c r="Q22" s="88"/>
      <c r="R22" s="95"/>
    </row>
    <row r="23" spans="2:18" x14ac:dyDescent="0.35">
      <c r="B23" s="98"/>
      <c r="C23" s="88"/>
      <c r="D23" s="88"/>
      <c r="E23" s="88"/>
      <c r="F23" s="88"/>
      <c r="G23" s="88"/>
      <c r="H23" s="88"/>
      <c r="I23" s="88"/>
      <c r="J23" s="88"/>
      <c r="K23" s="88"/>
      <c r="L23" s="88"/>
      <c r="M23" s="88"/>
      <c r="N23" s="88"/>
      <c r="O23" s="88"/>
      <c r="P23" s="88"/>
      <c r="Q23" s="88"/>
      <c r="R23" s="95"/>
    </row>
    <row r="24" spans="2:18" x14ac:dyDescent="0.35">
      <c r="B24" s="98"/>
      <c r="C24" s="88"/>
      <c r="D24" s="88"/>
      <c r="E24" s="88"/>
      <c r="F24" s="88"/>
      <c r="G24" s="88"/>
      <c r="H24" s="88"/>
      <c r="I24" s="88"/>
      <c r="J24" s="88"/>
      <c r="K24" s="88"/>
      <c r="L24" s="88"/>
      <c r="M24" s="88"/>
      <c r="N24" s="88"/>
      <c r="O24" s="88"/>
      <c r="P24" s="88"/>
      <c r="Q24" s="88"/>
      <c r="R24" s="95"/>
    </row>
    <row r="25" spans="2:18" x14ac:dyDescent="0.35">
      <c r="B25" s="98"/>
      <c r="C25" s="88"/>
      <c r="D25" s="88"/>
      <c r="E25" s="88"/>
      <c r="F25" s="88"/>
      <c r="G25" s="88"/>
      <c r="H25" s="88"/>
      <c r="I25" s="88"/>
      <c r="J25" s="88"/>
      <c r="K25" s="88"/>
      <c r="L25" s="88"/>
      <c r="M25" s="88"/>
      <c r="N25" s="88"/>
      <c r="O25" s="88"/>
      <c r="P25" s="88"/>
      <c r="Q25" s="88"/>
      <c r="R25" s="95"/>
    </row>
    <row r="26" spans="2:18" x14ac:dyDescent="0.35">
      <c r="B26" s="98"/>
      <c r="C26" s="88"/>
      <c r="D26" s="88"/>
      <c r="E26" s="88"/>
      <c r="F26" s="88"/>
      <c r="G26" s="88"/>
      <c r="H26" s="88"/>
      <c r="I26" s="88"/>
      <c r="J26" s="88"/>
      <c r="K26" s="88"/>
      <c r="L26" s="88"/>
      <c r="M26" s="88"/>
      <c r="N26" s="88"/>
      <c r="O26" s="88"/>
      <c r="P26" s="88"/>
      <c r="Q26" s="88"/>
      <c r="R26" s="95"/>
    </row>
    <row r="27" spans="2:18" x14ac:dyDescent="0.35">
      <c r="B27" s="98"/>
      <c r="C27" s="88"/>
      <c r="D27" s="88"/>
      <c r="E27" s="88"/>
      <c r="F27" s="88"/>
      <c r="G27" s="88"/>
      <c r="H27" s="88"/>
      <c r="I27" s="88"/>
      <c r="J27" s="88"/>
      <c r="K27" s="88"/>
      <c r="L27" s="88"/>
      <c r="M27" s="88"/>
      <c r="N27" s="88"/>
      <c r="O27" s="88"/>
      <c r="P27" s="88"/>
      <c r="Q27" s="88"/>
      <c r="R27" s="95"/>
    </row>
    <row r="28" spans="2:18" x14ac:dyDescent="0.35">
      <c r="B28" s="98"/>
      <c r="C28" s="88"/>
      <c r="D28" s="88"/>
      <c r="E28" s="88"/>
      <c r="F28" s="88"/>
      <c r="G28" s="88"/>
      <c r="H28" s="88"/>
      <c r="I28" s="88"/>
      <c r="J28" s="88"/>
      <c r="K28" s="88"/>
      <c r="L28" s="88"/>
      <c r="M28" s="88"/>
      <c r="N28" s="88"/>
      <c r="O28" s="88"/>
      <c r="P28" s="88"/>
      <c r="Q28" s="88"/>
      <c r="R28" s="95"/>
    </row>
    <row r="29" spans="2:18" x14ac:dyDescent="0.35">
      <c r="B29" s="98"/>
      <c r="C29" s="88"/>
      <c r="D29" s="88"/>
      <c r="E29" s="88"/>
      <c r="F29" s="88"/>
      <c r="G29" s="88"/>
      <c r="H29" s="88"/>
      <c r="I29" s="88"/>
      <c r="J29" s="88"/>
      <c r="K29" s="88"/>
      <c r="L29" s="88"/>
      <c r="M29" s="88"/>
      <c r="N29" s="88"/>
      <c r="O29" s="88"/>
      <c r="P29" s="88"/>
      <c r="Q29" s="88"/>
      <c r="R29" s="95"/>
    </row>
    <row r="30" spans="2:18" x14ac:dyDescent="0.35">
      <c r="B30" s="98"/>
      <c r="C30" s="88"/>
      <c r="D30" s="88"/>
      <c r="E30" s="88"/>
      <c r="F30" s="88"/>
      <c r="G30" s="88"/>
      <c r="H30" s="88"/>
      <c r="I30" s="88"/>
      <c r="J30" s="88"/>
      <c r="K30" s="88"/>
      <c r="L30" s="88"/>
      <c r="M30" s="88"/>
      <c r="N30" s="88"/>
      <c r="O30" s="88"/>
      <c r="P30" s="88"/>
      <c r="Q30" s="88"/>
      <c r="R30" s="95"/>
    </row>
    <row r="31" spans="2:18" x14ac:dyDescent="0.35">
      <c r="B31" s="98"/>
      <c r="C31" s="88"/>
      <c r="D31" s="88"/>
      <c r="E31" s="88"/>
      <c r="F31" s="88"/>
      <c r="G31" s="88"/>
      <c r="H31" s="88"/>
      <c r="I31" s="88"/>
      <c r="J31" s="88"/>
      <c r="K31" s="88"/>
      <c r="L31" s="88"/>
      <c r="M31" s="88"/>
      <c r="N31" s="88"/>
      <c r="O31" s="88"/>
      <c r="P31" s="88"/>
      <c r="Q31" s="88"/>
      <c r="R31" s="95"/>
    </row>
    <row r="32" spans="2:18" x14ac:dyDescent="0.35">
      <c r="B32" s="98"/>
      <c r="C32" s="88"/>
      <c r="D32" s="88"/>
      <c r="E32" s="88"/>
      <c r="F32" s="88"/>
      <c r="G32" s="88"/>
      <c r="H32" s="88"/>
      <c r="I32" s="88"/>
      <c r="J32" s="88"/>
      <c r="K32" s="88"/>
      <c r="L32" s="88"/>
      <c r="M32" s="88"/>
      <c r="N32" s="88"/>
      <c r="O32" s="88"/>
      <c r="P32" s="88"/>
      <c r="Q32" s="88"/>
      <c r="R32" s="95"/>
    </row>
    <row r="33" spans="2:22" x14ac:dyDescent="0.35">
      <c r="B33" s="98"/>
      <c r="C33" s="88"/>
      <c r="D33" s="88"/>
      <c r="E33" s="88"/>
      <c r="F33" s="88"/>
      <c r="G33" s="88"/>
      <c r="H33" s="88"/>
      <c r="I33" s="88"/>
      <c r="J33" s="88"/>
      <c r="K33" s="88"/>
      <c r="L33" s="88"/>
      <c r="M33" s="88"/>
      <c r="N33" s="88"/>
      <c r="O33" s="88"/>
      <c r="P33" s="88"/>
      <c r="Q33" s="88"/>
      <c r="R33" s="95"/>
    </row>
    <row r="34" spans="2:22" x14ac:dyDescent="0.35">
      <c r="B34" s="98"/>
      <c r="C34" s="88"/>
      <c r="D34" s="88"/>
      <c r="E34" s="88"/>
      <c r="F34" s="88"/>
      <c r="G34" s="88"/>
      <c r="H34" s="88"/>
      <c r="I34" s="88"/>
      <c r="J34" s="88"/>
      <c r="K34" s="88"/>
      <c r="L34" s="88"/>
      <c r="M34" s="88"/>
      <c r="N34" s="88"/>
      <c r="O34" s="88"/>
      <c r="P34" s="88"/>
      <c r="Q34" s="88"/>
      <c r="R34" s="95"/>
    </row>
    <row r="35" spans="2:22" x14ac:dyDescent="0.35">
      <c r="B35" s="98"/>
      <c r="C35" s="88"/>
      <c r="D35" s="88"/>
      <c r="E35" s="88"/>
      <c r="F35" s="88"/>
      <c r="G35" s="88"/>
      <c r="H35" s="88"/>
      <c r="I35" s="88"/>
      <c r="J35" s="88"/>
      <c r="K35" s="88"/>
      <c r="L35" s="88"/>
      <c r="M35" s="88"/>
      <c r="N35" s="88"/>
      <c r="O35" s="88"/>
      <c r="P35" s="88"/>
      <c r="Q35" s="88"/>
      <c r="R35" s="95"/>
    </row>
    <row r="36" spans="2:22" x14ac:dyDescent="0.35">
      <c r="B36" s="98"/>
      <c r="C36" s="88"/>
      <c r="D36" s="88"/>
      <c r="E36" s="88"/>
      <c r="F36" s="88"/>
      <c r="G36" s="88"/>
      <c r="H36" s="88"/>
      <c r="I36" s="88"/>
      <c r="J36" s="88"/>
      <c r="K36" s="88"/>
      <c r="L36" s="88"/>
      <c r="M36" s="88"/>
      <c r="N36" s="88"/>
      <c r="O36" s="88"/>
      <c r="P36" s="88"/>
      <c r="Q36" s="88"/>
      <c r="R36" s="95"/>
    </row>
    <row r="37" spans="2:22" x14ac:dyDescent="0.35">
      <c r="B37" s="98"/>
      <c r="C37" s="88"/>
      <c r="D37" s="88"/>
      <c r="E37" s="88"/>
      <c r="F37" s="88"/>
      <c r="G37" s="88"/>
      <c r="H37" s="88"/>
      <c r="I37" s="88"/>
      <c r="J37" s="88"/>
      <c r="K37" s="88"/>
      <c r="L37" s="88"/>
      <c r="M37" s="88"/>
      <c r="N37" s="88"/>
      <c r="O37" s="88"/>
      <c r="P37" s="88"/>
      <c r="Q37" s="88"/>
      <c r="R37" s="95"/>
    </row>
    <row r="38" spans="2:22" x14ac:dyDescent="0.35">
      <c r="B38" s="98"/>
      <c r="C38" s="88"/>
      <c r="D38" s="88"/>
      <c r="E38" s="88"/>
      <c r="F38" s="88"/>
      <c r="G38" s="88"/>
      <c r="H38" s="88"/>
      <c r="I38" s="88"/>
      <c r="J38" s="88"/>
      <c r="K38" s="88"/>
      <c r="L38" s="88"/>
      <c r="M38" s="88"/>
      <c r="N38" s="88"/>
      <c r="O38" s="88"/>
      <c r="P38" s="88"/>
      <c r="Q38" s="88"/>
      <c r="R38" s="95"/>
    </row>
    <row r="39" spans="2:22" x14ac:dyDescent="0.35">
      <c r="B39" s="98"/>
      <c r="C39" s="88"/>
      <c r="D39" s="88"/>
      <c r="E39" s="88"/>
      <c r="F39" s="88"/>
      <c r="G39" s="88"/>
      <c r="H39" s="88"/>
      <c r="I39" s="88"/>
      <c r="J39" s="88"/>
      <c r="K39" s="88"/>
      <c r="L39" s="88"/>
      <c r="M39" s="88"/>
      <c r="N39" s="88"/>
      <c r="O39" s="88"/>
      <c r="P39" s="88"/>
      <c r="Q39" s="88"/>
      <c r="R39" s="95"/>
    </row>
    <row r="40" spans="2:22" x14ac:dyDescent="0.35">
      <c r="B40" s="98"/>
      <c r="C40" s="88"/>
      <c r="D40" s="88"/>
      <c r="E40" s="88"/>
      <c r="F40" s="88"/>
      <c r="G40" s="88"/>
      <c r="H40" s="88"/>
      <c r="I40" s="88"/>
      <c r="J40" s="88"/>
      <c r="K40" s="88"/>
      <c r="L40" s="88"/>
      <c r="M40" s="88"/>
      <c r="N40" s="88"/>
      <c r="O40" s="88"/>
      <c r="P40" s="88"/>
      <c r="Q40" s="88"/>
      <c r="R40" s="95"/>
    </row>
    <row r="41" spans="2:22" x14ac:dyDescent="0.35">
      <c r="B41" s="98"/>
      <c r="C41" s="88"/>
      <c r="D41" s="88"/>
      <c r="E41" s="88"/>
      <c r="F41" s="88"/>
      <c r="G41" s="88"/>
      <c r="H41" s="88"/>
      <c r="I41" s="88"/>
      <c r="J41" s="88"/>
      <c r="K41" s="88"/>
      <c r="L41" s="88"/>
      <c r="M41" s="88"/>
      <c r="N41" s="88"/>
      <c r="O41" s="88"/>
      <c r="P41" s="88"/>
      <c r="Q41" s="88"/>
      <c r="R41" s="95"/>
    </row>
    <row r="42" spans="2:22" x14ac:dyDescent="0.35">
      <c r="B42" s="98"/>
      <c r="C42" s="88"/>
      <c r="D42" s="88"/>
      <c r="E42" s="88"/>
      <c r="F42" s="88"/>
      <c r="G42" s="88"/>
      <c r="H42" s="88"/>
      <c r="I42" s="88"/>
      <c r="J42" s="88"/>
      <c r="K42" s="88"/>
      <c r="L42" s="88"/>
      <c r="M42" s="88"/>
      <c r="N42" s="88"/>
      <c r="O42" s="88"/>
      <c r="P42" s="88"/>
      <c r="Q42" s="88"/>
      <c r="R42" s="95"/>
    </row>
    <row r="43" spans="2:22" x14ac:dyDescent="0.35">
      <c r="B43" s="98"/>
      <c r="C43" s="88"/>
      <c r="D43" s="88"/>
      <c r="E43" s="88"/>
      <c r="F43" s="88"/>
      <c r="G43" s="88"/>
      <c r="H43" s="88"/>
      <c r="I43" s="88"/>
      <c r="J43" s="88"/>
      <c r="K43" s="88"/>
      <c r="L43" s="88"/>
      <c r="M43" s="88"/>
      <c r="N43" s="88"/>
      <c r="O43" s="88"/>
      <c r="P43" s="88"/>
      <c r="Q43" s="88"/>
      <c r="R43" s="95"/>
    </row>
    <row r="44" spans="2:22" x14ac:dyDescent="0.35">
      <c r="B44" s="98"/>
      <c r="C44" s="88"/>
      <c r="D44" s="88"/>
      <c r="E44" s="88"/>
      <c r="F44" s="88"/>
      <c r="G44" s="88"/>
      <c r="H44" s="88"/>
      <c r="I44" s="88"/>
      <c r="J44" s="88"/>
      <c r="K44" s="88"/>
      <c r="L44" s="88"/>
      <c r="M44" s="88"/>
      <c r="N44" s="88"/>
      <c r="O44" s="88"/>
      <c r="P44" s="88"/>
      <c r="Q44" s="88"/>
      <c r="R44" s="95"/>
      <c r="V44" t="s">
        <v>179</v>
      </c>
    </row>
    <row r="45" spans="2:22" x14ac:dyDescent="0.35">
      <c r="B45" s="98"/>
      <c r="C45" s="88"/>
      <c r="D45" s="88"/>
      <c r="E45" s="88"/>
      <c r="F45" s="88"/>
      <c r="G45" s="88"/>
      <c r="H45" s="88"/>
      <c r="I45" s="88"/>
      <c r="J45" s="88"/>
      <c r="K45" s="88"/>
      <c r="L45" s="88"/>
      <c r="M45" s="88"/>
      <c r="N45" s="88"/>
      <c r="O45" s="88"/>
      <c r="P45" s="88"/>
      <c r="Q45" s="88"/>
      <c r="R45" s="95"/>
    </row>
    <row r="46" spans="2:22" x14ac:dyDescent="0.35">
      <c r="B46" s="98"/>
      <c r="C46" s="88"/>
      <c r="D46" s="88"/>
      <c r="E46" s="88"/>
      <c r="F46" s="88"/>
      <c r="G46" s="88"/>
      <c r="H46" s="88"/>
      <c r="I46" s="88"/>
      <c r="J46" s="88"/>
      <c r="K46" s="88"/>
      <c r="L46" s="88"/>
      <c r="M46" s="88"/>
      <c r="N46" s="88"/>
      <c r="O46" s="88"/>
      <c r="P46" s="88"/>
      <c r="Q46" s="88"/>
      <c r="R46" s="95"/>
    </row>
    <row r="47" spans="2:22" x14ac:dyDescent="0.35">
      <c r="B47" s="98"/>
      <c r="C47" s="88"/>
      <c r="D47" s="88"/>
      <c r="E47" s="88"/>
      <c r="F47" s="88"/>
      <c r="G47" s="88"/>
      <c r="H47" s="88"/>
      <c r="I47" s="88"/>
      <c r="J47" s="88"/>
      <c r="K47" s="88"/>
      <c r="L47" s="88"/>
      <c r="M47" s="88"/>
      <c r="N47" s="88"/>
      <c r="O47" s="88"/>
      <c r="P47" s="88"/>
      <c r="Q47" s="88"/>
      <c r="R47" s="95"/>
    </row>
    <row r="48" spans="2:22" x14ac:dyDescent="0.35">
      <c r="B48" s="98"/>
      <c r="C48" s="88"/>
      <c r="D48" s="88"/>
      <c r="E48" s="88"/>
      <c r="F48" s="88"/>
      <c r="G48" s="88"/>
      <c r="H48" s="88"/>
      <c r="I48" s="88"/>
      <c r="J48" s="88"/>
      <c r="K48" s="88"/>
      <c r="L48" s="88"/>
      <c r="M48" s="88"/>
      <c r="N48" s="88"/>
      <c r="O48" s="88"/>
      <c r="P48" s="88"/>
      <c r="Q48" s="88"/>
      <c r="R48" s="95"/>
    </row>
    <row r="49" spans="2:18" x14ac:dyDescent="0.35">
      <c r="B49" s="98"/>
      <c r="C49" s="88"/>
      <c r="D49" s="88"/>
      <c r="E49" s="88"/>
      <c r="F49" s="88"/>
      <c r="G49" s="88"/>
      <c r="H49" s="88"/>
      <c r="I49" s="88"/>
      <c r="J49" s="88"/>
      <c r="K49" s="88"/>
      <c r="L49" s="88"/>
      <c r="M49" s="88"/>
      <c r="N49" s="88"/>
      <c r="O49" s="88"/>
      <c r="P49" s="88"/>
      <c r="Q49" s="88"/>
      <c r="R49" s="95"/>
    </row>
    <row r="50" spans="2:18" x14ac:dyDescent="0.35">
      <c r="B50" s="98"/>
      <c r="C50" s="88"/>
      <c r="D50" s="88"/>
      <c r="E50" s="88"/>
      <c r="F50" s="88"/>
      <c r="G50" s="88"/>
      <c r="H50" s="88"/>
      <c r="I50" s="88"/>
      <c r="J50" s="88"/>
      <c r="K50" s="88"/>
      <c r="L50" s="88"/>
      <c r="M50" s="88"/>
      <c r="N50" s="88"/>
      <c r="O50" s="88"/>
      <c r="P50" s="88"/>
      <c r="Q50" s="88"/>
      <c r="R50" s="95"/>
    </row>
    <row r="51" spans="2:18" x14ac:dyDescent="0.35">
      <c r="B51" s="98"/>
      <c r="C51" s="88"/>
      <c r="D51" s="88"/>
      <c r="E51" s="88"/>
      <c r="F51" s="88"/>
      <c r="G51" s="88"/>
      <c r="H51" s="88"/>
      <c r="I51" s="88"/>
      <c r="J51" s="88"/>
      <c r="K51" s="88"/>
      <c r="L51" s="88"/>
      <c r="M51" s="88"/>
      <c r="N51" s="88"/>
      <c r="O51" s="88"/>
      <c r="P51" s="88"/>
      <c r="Q51" s="88"/>
      <c r="R51" s="95"/>
    </row>
    <row r="52" spans="2:18" x14ac:dyDescent="0.35">
      <c r="B52" s="98"/>
      <c r="C52" s="88"/>
      <c r="D52" s="88"/>
      <c r="E52" s="88"/>
      <c r="F52" s="88"/>
      <c r="G52" s="88"/>
      <c r="H52" s="88"/>
      <c r="I52" s="88"/>
      <c r="J52" s="88"/>
      <c r="K52" s="88"/>
      <c r="L52" s="88"/>
      <c r="M52" s="88"/>
      <c r="N52" s="88"/>
      <c r="O52" s="88"/>
      <c r="P52" s="88"/>
      <c r="Q52" s="88"/>
      <c r="R52" s="95"/>
    </row>
    <row r="53" spans="2:18" x14ac:dyDescent="0.35">
      <c r="B53" s="98"/>
      <c r="C53" s="88"/>
      <c r="D53" s="88"/>
      <c r="E53" s="88"/>
      <c r="F53" s="88"/>
      <c r="G53" s="88"/>
      <c r="H53" s="88"/>
      <c r="I53" s="88"/>
      <c r="J53" s="88"/>
      <c r="K53" s="88"/>
      <c r="L53" s="88"/>
      <c r="M53" s="88"/>
      <c r="N53" s="88"/>
      <c r="O53" s="88"/>
      <c r="P53" s="88"/>
      <c r="Q53" s="88"/>
      <c r="R53" s="95"/>
    </row>
    <row r="54" spans="2:18" x14ac:dyDescent="0.35">
      <c r="B54" s="98"/>
      <c r="C54" s="88"/>
      <c r="D54" s="88"/>
      <c r="E54" s="88"/>
      <c r="F54" s="88"/>
      <c r="G54" s="88"/>
      <c r="H54" s="88"/>
      <c r="I54" s="88"/>
      <c r="J54" s="88"/>
      <c r="K54" s="88"/>
      <c r="L54" s="88"/>
      <c r="M54" s="88"/>
      <c r="N54" s="88"/>
      <c r="O54" s="88"/>
      <c r="P54" s="88"/>
      <c r="Q54" s="88"/>
      <c r="R54" s="95"/>
    </row>
    <row r="55" spans="2:18" x14ac:dyDescent="0.35">
      <c r="B55" s="98"/>
      <c r="C55" s="88"/>
      <c r="D55" s="88"/>
      <c r="E55" s="88"/>
      <c r="F55" s="88"/>
      <c r="G55" s="88"/>
      <c r="H55" s="88"/>
      <c r="I55" s="88"/>
      <c r="J55" s="88"/>
      <c r="K55" s="88"/>
      <c r="L55" s="88"/>
      <c r="M55" s="88"/>
      <c r="N55" s="88"/>
      <c r="O55" s="88"/>
      <c r="P55" s="88"/>
      <c r="Q55" s="88"/>
      <c r="R55" s="95"/>
    </row>
    <row r="56" spans="2:18" x14ac:dyDescent="0.35">
      <c r="B56" s="98"/>
      <c r="C56" s="88"/>
      <c r="D56" s="88"/>
      <c r="E56" s="88"/>
      <c r="F56" s="88"/>
      <c r="G56" s="88"/>
      <c r="H56" s="88"/>
      <c r="I56" s="88"/>
      <c r="J56" s="88"/>
      <c r="K56" s="88"/>
      <c r="L56" s="88"/>
      <c r="M56" s="88"/>
      <c r="N56" s="88"/>
      <c r="O56" s="88"/>
      <c r="P56" s="88"/>
      <c r="Q56" s="88"/>
      <c r="R56" s="95"/>
    </row>
    <row r="57" spans="2:18" x14ac:dyDescent="0.35">
      <c r="B57" s="98"/>
      <c r="C57" s="88"/>
      <c r="D57" s="88"/>
      <c r="E57" s="88"/>
      <c r="F57" s="88"/>
      <c r="G57" s="88"/>
      <c r="H57" s="88"/>
      <c r="I57" s="88"/>
      <c r="J57" s="88"/>
      <c r="K57" s="88"/>
      <c r="L57" s="88"/>
      <c r="M57" s="88"/>
      <c r="N57" s="88"/>
      <c r="O57" s="88"/>
      <c r="P57" s="88"/>
      <c r="Q57" s="88"/>
      <c r="R57" s="95"/>
    </row>
    <row r="58" spans="2:18" x14ac:dyDescent="0.35">
      <c r="B58" s="98"/>
      <c r="C58" s="88"/>
      <c r="D58" s="88"/>
      <c r="E58" s="88"/>
      <c r="F58" s="88"/>
      <c r="G58" s="88"/>
      <c r="H58" s="88"/>
      <c r="I58" s="88"/>
      <c r="J58" s="88"/>
      <c r="K58" s="88"/>
      <c r="L58" s="88"/>
      <c r="M58" s="88"/>
      <c r="N58" s="88"/>
      <c r="O58" s="88"/>
      <c r="P58" s="88"/>
      <c r="Q58" s="88"/>
      <c r="R58" s="95"/>
    </row>
    <row r="59" spans="2:18" x14ac:dyDescent="0.35">
      <c r="B59" s="98"/>
      <c r="C59" s="88"/>
      <c r="D59" s="88"/>
      <c r="E59" s="88"/>
      <c r="F59" s="88"/>
      <c r="G59" s="88"/>
      <c r="H59" s="88"/>
      <c r="I59" s="88"/>
      <c r="J59" s="88"/>
      <c r="K59" s="88"/>
      <c r="L59" s="88"/>
      <c r="M59" s="88"/>
      <c r="N59" s="88"/>
      <c r="O59" s="88"/>
      <c r="P59" s="88"/>
      <c r="Q59" s="88"/>
      <c r="R59" s="95"/>
    </row>
    <row r="60" spans="2:18" x14ac:dyDescent="0.35">
      <c r="B60" s="98"/>
      <c r="C60" s="88"/>
      <c r="D60" s="88"/>
      <c r="E60" s="88"/>
      <c r="F60" s="88"/>
      <c r="G60" s="88"/>
      <c r="H60" s="88"/>
      <c r="I60" s="88"/>
      <c r="J60" s="88"/>
      <c r="K60" s="88"/>
      <c r="L60" s="88"/>
      <c r="M60" s="88"/>
      <c r="N60" s="88"/>
      <c r="O60" s="88"/>
      <c r="P60" s="88"/>
      <c r="Q60" s="88"/>
      <c r="R60" s="95"/>
    </row>
    <row r="61" spans="2:18" x14ac:dyDescent="0.35">
      <c r="B61" s="98"/>
      <c r="C61" s="88"/>
      <c r="D61" s="88"/>
      <c r="E61" s="88"/>
      <c r="F61" s="88"/>
      <c r="G61" s="88"/>
      <c r="H61" s="88"/>
      <c r="I61" s="88"/>
      <c r="J61" s="88"/>
      <c r="K61" s="88"/>
      <c r="L61" s="88"/>
      <c r="M61" s="88"/>
      <c r="N61" s="88"/>
      <c r="O61" s="88"/>
      <c r="P61" s="88"/>
      <c r="Q61" s="88"/>
      <c r="R61" s="95"/>
    </row>
    <row r="62" spans="2:18" x14ac:dyDescent="0.35">
      <c r="B62" s="98"/>
      <c r="C62" s="88"/>
      <c r="D62" s="88"/>
      <c r="E62" s="88"/>
      <c r="F62" s="88"/>
      <c r="G62" s="88"/>
      <c r="H62" s="88"/>
      <c r="I62" s="88"/>
      <c r="J62" s="88"/>
      <c r="K62" s="88"/>
      <c r="L62" s="88"/>
      <c r="M62" s="88"/>
      <c r="N62" s="88"/>
      <c r="O62" s="88"/>
      <c r="P62" s="88"/>
      <c r="Q62" s="88"/>
      <c r="R62" s="95"/>
    </row>
    <row r="63" spans="2:18" x14ac:dyDescent="0.35">
      <c r="B63" s="98"/>
      <c r="C63" s="88"/>
      <c r="D63" s="88"/>
      <c r="E63" s="88"/>
      <c r="F63" s="88"/>
      <c r="G63" s="88"/>
      <c r="H63" s="88"/>
      <c r="I63" s="88"/>
      <c r="J63" s="88"/>
      <c r="K63" s="88"/>
      <c r="L63" s="88"/>
      <c r="M63" s="88"/>
      <c r="N63" s="88"/>
      <c r="O63" s="88"/>
      <c r="P63" s="88"/>
      <c r="Q63" s="88"/>
      <c r="R63" s="95"/>
    </row>
    <row r="64" spans="2:18" x14ac:dyDescent="0.35">
      <c r="B64" s="98"/>
      <c r="C64" s="88"/>
      <c r="D64" s="88"/>
      <c r="E64" s="88"/>
      <c r="F64" s="88"/>
      <c r="G64" s="88"/>
      <c r="H64" s="88"/>
      <c r="I64" s="88"/>
      <c r="J64" s="88"/>
      <c r="K64" s="88"/>
      <c r="L64" s="88"/>
      <c r="M64" s="88"/>
      <c r="N64" s="88"/>
      <c r="O64" s="88"/>
      <c r="P64" s="88"/>
      <c r="Q64" s="88"/>
      <c r="R64" s="95"/>
    </row>
    <row r="65" spans="2:18" x14ac:dyDescent="0.35">
      <c r="B65" s="98"/>
      <c r="C65" s="88"/>
      <c r="D65" s="88"/>
      <c r="E65" s="88"/>
      <c r="F65" s="88"/>
      <c r="G65" s="88"/>
      <c r="H65" s="88"/>
      <c r="I65" s="88"/>
      <c r="J65" s="88"/>
      <c r="K65" s="88"/>
      <c r="L65" s="88"/>
      <c r="M65" s="88"/>
      <c r="N65" s="88"/>
      <c r="O65" s="88"/>
      <c r="P65" s="88"/>
      <c r="Q65" s="88"/>
      <c r="R65" s="95"/>
    </row>
    <row r="66" spans="2:18" x14ac:dyDescent="0.35">
      <c r="B66" s="98"/>
      <c r="C66" s="88"/>
      <c r="D66" s="88"/>
      <c r="E66" s="88"/>
      <c r="F66" s="88"/>
      <c r="G66" s="88"/>
      <c r="H66" s="88"/>
      <c r="I66" s="88"/>
      <c r="J66" s="88"/>
      <c r="K66" s="88"/>
      <c r="L66" s="88"/>
      <c r="M66" s="88"/>
      <c r="N66" s="88"/>
      <c r="O66" s="88"/>
      <c r="P66" s="88"/>
      <c r="Q66" s="88"/>
      <c r="R66" s="95"/>
    </row>
    <row r="67" spans="2:18" x14ac:dyDescent="0.35">
      <c r="B67" s="98"/>
      <c r="C67" s="88"/>
      <c r="D67" s="88"/>
      <c r="E67" s="88"/>
      <c r="F67" s="88"/>
      <c r="G67" s="88"/>
      <c r="H67" s="88"/>
      <c r="I67" s="88"/>
      <c r="J67" s="88"/>
      <c r="K67" s="88"/>
      <c r="L67" s="88"/>
      <c r="M67" s="88"/>
      <c r="N67" s="88"/>
      <c r="O67" s="88"/>
      <c r="P67" s="88"/>
      <c r="Q67" s="88"/>
      <c r="R67" s="95"/>
    </row>
    <row r="68" spans="2:18" x14ac:dyDescent="0.35">
      <c r="B68" s="98"/>
      <c r="C68" s="88"/>
      <c r="D68" s="88"/>
      <c r="E68" s="88"/>
      <c r="F68" s="88"/>
      <c r="G68" s="88"/>
      <c r="H68" s="88"/>
      <c r="I68" s="88"/>
      <c r="J68" s="88"/>
      <c r="K68" s="88"/>
      <c r="L68" s="88"/>
      <c r="M68" s="88"/>
      <c r="N68" s="88"/>
      <c r="O68" s="88"/>
      <c r="P68" s="88"/>
      <c r="Q68" s="88"/>
      <c r="R68" s="95"/>
    </row>
    <row r="69" spans="2:18" x14ac:dyDescent="0.35">
      <c r="B69" s="98"/>
      <c r="C69" s="88"/>
      <c r="D69" s="88"/>
      <c r="E69" s="88"/>
      <c r="F69" s="88"/>
      <c r="G69" s="88"/>
      <c r="H69" s="88"/>
      <c r="I69" s="88"/>
      <c r="J69" s="88"/>
      <c r="K69" s="88"/>
      <c r="L69" s="88"/>
      <c r="M69" s="88"/>
      <c r="N69" s="88"/>
      <c r="O69" s="88"/>
      <c r="P69" s="88"/>
      <c r="Q69" s="88"/>
      <c r="R69" s="95"/>
    </row>
    <row r="70" spans="2:18" x14ac:dyDescent="0.35">
      <c r="B70" s="98"/>
      <c r="C70" s="88"/>
      <c r="D70" s="88"/>
      <c r="E70" s="88"/>
      <c r="F70" s="88"/>
      <c r="G70" s="88"/>
      <c r="H70" s="88"/>
      <c r="I70" s="88"/>
      <c r="J70" s="88"/>
      <c r="K70" s="88"/>
      <c r="L70" s="88"/>
      <c r="M70" s="88"/>
      <c r="N70" s="88"/>
      <c r="O70" s="88"/>
      <c r="P70" s="88"/>
      <c r="Q70" s="88"/>
      <c r="R70" s="95"/>
    </row>
    <row r="71" spans="2:18" ht="15" thickBot="1" x14ac:dyDescent="0.4">
      <c r="B71" s="99"/>
      <c r="C71" s="100"/>
      <c r="D71" s="100"/>
      <c r="E71" s="100"/>
      <c r="F71" s="100"/>
      <c r="G71" s="100"/>
      <c r="H71" s="100"/>
      <c r="I71" s="100"/>
      <c r="J71" s="100"/>
      <c r="K71" s="100"/>
      <c r="L71" s="100"/>
      <c r="M71" s="100"/>
      <c r="N71" s="100"/>
      <c r="O71" s="100"/>
      <c r="P71" s="100"/>
      <c r="Q71" s="100"/>
      <c r="R71" s="101"/>
    </row>
  </sheetData>
  <mergeCells count="1">
    <mergeCell ref="B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ADC6951-548C-41B7-8775-3A57610AF26A}">
  <ds:schemaRefs/>
</ds:datastoreItem>
</file>

<file path=customXml/itemProps2.xml><?xml version="1.0" encoding="utf-8"?>
<ds:datastoreItem xmlns:ds="http://schemas.openxmlformats.org/officeDocument/2006/customXml" ds:itemID="{72DF857B-1C61-4D9A-84E7-5C01B5DDA018}">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043E46FD-2F66-4ABA-AEB9-B2EC5F9A8BBC}">
  <ds:schemaRefs/>
</ds:datastoreItem>
</file>

<file path=customXml/itemProps4.xml><?xml version="1.0" encoding="utf-8"?>
<ds:datastoreItem xmlns:ds="http://schemas.openxmlformats.org/officeDocument/2006/customXml" ds:itemID="{414C84C8-D0BC-40DE-89E8-181FF1DA1FB8}">
  <ds:schemaRefs/>
</ds:datastoreItem>
</file>

<file path=customXml/itemProps5.xml><?xml version="1.0" encoding="utf-8"?>
<ds:datastoreItem xmlns:ds="http://schemas.openxmlformats.org/officeDocument/2006/customXml" ds:itemID="{0E37B6FE-5D25-42BD-A8F1-2C69406F3F73}">
  <ds:schemaRefs/>
</ds:datastoreItem>
</file>

<file path=customXml/itemProps6.xml><?xml version="1.0" encoding="utf-8"?>
<ds:datastoreItem xmlns:ds="http://schemas.openxmlformats.org/officeDocument/2006/customXml" ds:itemID="{2D17740C-052D-4B56-87C9-D4726FE94EDB}">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0CC10B1B-4631-4A96-B3F2-712988135F23}">
  <ds:schemaRefs/>
</ds:datastoreItem>
</file>

<file path=customXml/itemProps8.xml><?xml version="1.0" encoding="utf-8"?>
<ds:datastoreItem xmlns:ds="http://schemas.openxmlformats.org/officeDocument/2006/customXml" ds:itemID="{A5EDDED4-F29D-4C61-96C3-360DCDED25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Datasheet_1</vt:lpstr>
      <vt:lpstr>Datasheet_2</vt:lpstr>
      <vt:lpstr>Datasheet_3</vt:lpstr>
      <vt:lpstr>Datasheet A (1+2)</vt:lpstr>
      <vt:lpstr>Datasheet B(A+3)</vt:lpstr>
      <vt:lpstr>Original Data</vt:lpstr>
      <vt:lpstr>Statistical &amp; Correlation</vt:lpstr>
      <vt:lpstr>pivot chart</vt:lpstr>
      <vt:lpstr>  Forecast &amp; Anomaly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2026-09-16T05:28:07Z</dcterms:created>
  <dcterms:modified xsi:type="dcterms:W3CDTF">2026-10-09T17:31:00Z</dcterms:modified>
</cp:coreProperties>
</file>